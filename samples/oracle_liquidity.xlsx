
<file path=[Content_Types].xml><?xml version="1.0" encoding="utf-8"?>
<ns0:Types xmlns:ns0="http://schemas.openxmlformats.org/package/2006/content-types">
  <ns0:Default Extension="xml" ContentType="application/vnd.openxmlformats-officedocument.spreadsheetml.sheet.main+xml"/>
  <ns0:Default Extension="rels" ContentType="application/vnd.openxmlformats-package.relationships+xml"/>
  <ns0:Override PartName="/xl/styles.xml" ContentType="application/vnd.openxmlformats-officedocument.spreadsheetml.styles+xml"/>
  <ns0:Override PartName="/xl/theme/theme1.xml" ContentType="application/vnd.openxmlformats-officedocument.theme+xml"/>
  <ns0:Override PartName="/xl/sharedStrings.xml" ContentType="application/vnd.openxmlformats-officedocument.spreadsheetml.sharedStrings+xml"/>
  <ns0:Override PartName="/xl/worksheets/sheet1.xml" ContentType="application/vnd.openxmlformats-officedocument.spreadsheetml.worksheet+xml"/>
  <ns0:Override PartName="/xl/worksheets/sheet2.xml" ContentType="application/vnd.openxmlformats-officedocument.spreadsheetml.worksheet+xml"/>
  <ns0:Override PartName="/xl/worksheets/sheet3.xml" ContentType="application/vnd.openxmlformats-officedocument.spreadsheetml.worksheet+xml"/>
  <ns0:Override PartName="/xl/worksheets/sheet4.xml" ContentType="application/vnd.openxmlformats-officedocument.spreadsheetml.worksheet+xml"/>
  <ns0:Override PartName="/xl/worksheets/sheet5.xml" ContentType="application/vnd.openxmlformats-officedocument.spreadsheetml.worksheet+xml"/>
  <ns0:Override PartName="/xl/drawings/drawing1.xml" ContentType="application/vnd.openxmlformats-officedocument.drawing+xml"/>
  <ns0:Override PartName="/xl/drawings/charts/chart1.xml" ContentType="application/vnd.openxmlformats-officedocument.drawingml.chart+xml"/>
  <ns0:Override PartName="/xl/drawings/charts/chart2.xml" ContentType="application/vnd.openxmlformats-officedocument.drawingml.chart+xml"/>
  <ns0:Override PartName="/xl/worksheets/sheet6.xml" ContentType="application/vnd.openxmlformats-officedocument.spreadsheetml.worksheet+xml"/>
  <ns0:Override PartName="/xl/worksheets/sheet7.xml" ContentType="application/vnd.openxmlformats-officedocument.spreadsheetml.worksheet+xml"/>
  <ns0:Override PartName="/xl/drawings/drawing2.xml" ContentType="application/vnd.openxmlformats-officedocument.drawing+xml"/>
  <ns0:Override PartName="/xl/drawings/charts/chart3.xml" ContentType="application/vnd.openxmlformats-officedocument.drawingml.chart+xml"/>
  <ns0:Override PartName="/xl/worksheets/sheet8.xml" ContentType="application/vnd.openxmlformats-officedocument.spreadsheetml.worksheet+xml"/>
  <ns0:Override PartName="/xl/worksheets/sheet9.xml" ContentType="application/vnd.openxmlformats-officedocument.spreadsheetml.worksheet+xml"/>
  <ns0:Override PartName="/xl/worksheets/sheet10.xml" ContentType="application/vnd.openxmlformats-officedocument.spreadsheetml.worksheet+xml"/>
  <ns0:Override PartName="/xl/drawings/charts/chart4.xml" ContentType="application/vnd.openxmlformats-officedocument.drawingml.chart+xml"/>
  <ns0:Override PartName="/xl/drawings/drawing3.xml" ContentType="application/vnd.openxmlformats-officedocument.drawing+xml"/>
</ns0:Types>
</file>

<file path=_rels/.rels>&#65279;<?xml version="1.0" encoding="utf-8"?><Relationships xmlns="http://schemas.openxmlformats.org/package/2006/relationships"><Relationship Type="http://schemas.openxmlformats.org/officeDocument/2006/relationships/officeDocument" Target="/xl/workbook.xml" Id="R3ec1c6e05dd04c74" /></Relationships>
</file>

<file path=xl/workbook.xml><?xml version="1.0" encoding="utf-8"?>
<x:workbook xmlns:x="http://schemas.openxmlformats.org/spreadsheetml/2006/main">
  <x:sheets>
    <x:sheet xmlns:r="http://schemas.openxmlformats.org/officeDocument/2006/relationships" name="Funding conclusion" sheetId="1" r:id="R1c8af66a62e64dda"/>
    <x:sheet xmlns:r="http://schemas.openxmlformats.org/officeDocument/2006/relationships" name="Borrowing and leases" sheetId="2" r:id="R4827a278e9a449ae"/>
    <x:sheet xmlns:r="http://schemas.openxmlformats.org/officeDocument/2006/relationships" name="Debt and liquidity" sheetId="3" r:id="R3991ce6d3dd34991"/>
    <x:sheet xmlns:r="http://schemas.openxmlformats.org/officeDocument/2006/relationships" name="History" sheetId="4" r:id="Rca582e281bdd4e23"/>
    <x:sheet xmlns:r="http://schemas.openxmlformats.org/officeDocument/2006/relationships" name="Core charts" sheetId="5" r:id="R2fde42e019dd4116"/>
    <x:sheet xmlns:r="http://schemas.openxmlformats.org/officeDocument/2006/relationships" name="Repayment review" sheetId="6" r:id="R36cea3b99dc34710"/>
    <x:sheet xmlns:r="http://schemas.openxmlformats.org/officeDocument/2006/relationships" name="Cash analysis" sheetId="7" r:id="R6c21f4568ec9423c"/>
    <x:sheet xmlns:r="http://schemas.openxmlformats.org/officeDocument/2006/relationships" name="Payment dates" sheetId="8" r:id="R8827ffce0c1e4e55"/>
    <x:sheet xmlns:r="http://schemas.openxmlformats.org/officeDocument/2006/relationships" name="Data" sheetId="9" r:id="Rc235c1c8bcea4b74"/>
    <x:sheet xmlns:r="http://schemas.openxmlformats.org/officeDocument/2006/relationships" name="About" sheetId="10" r:id="R814da3365860470a"/>
  </x:sheets>
</x:workbook>
</file>

<file path=xl/sharedStrings.xml><?xml version="1.0" encoding="utf-8"?>
<x:sst xmlns:x="http://schemas.openxmlformats.org/spreadsheetml/2006/main"/>
</file>

<file path=xl/styles.xml><?xml version="1.0" encoding="utf-8"?>
<x:styleSheet xmlns:x="http://schemas.openxmlformats.org/spreadsheetml/2006/main">
  <x:numFmts count="7">
    <x:numFmt numFmtId="200" formatCode="0.00&quot;x&quot;"/>
    <x:numFmt numFmtId="201" formatCode="#,##0,,;(#,##0,,);&quot;-&quot;"/>
    <x:numFmt numFmtId="202" formatCode="0.0&quot;x&quot;"/>
    <x:numFmt numFmtId="203" formatCode="mmm d, yyyy"/>
    <x:numFmt numFmtId="204" formatCode="0.0%"/>
    <x:numFmt numFmtId="205" formatCode="#,##0.00,,;(#,##0.00,,);&quot;-&quot;"/>
    <x:numFmt numFmtId="206" formatCode="#,##0.00,,;(#,##0.00,,);0.00"/>
  </x:numFmts>
  <x:fonts count="22">
    <x:font>
      <x:sz val="11"/>
      <x:name val="Carlito"/>
    </x:font>
    <x:font>
      <x:sz val="11"/>
      <x:name val="Arial"/>
    </x:font>
    <x:font>
      <x:sz val="10"/>
      <x:name val="Arial"/>
    </x:font>
    <x:font>
      <x:b/>
      <x:sz val="10"/>
      <x:name val="Arial"/>
    </x:font>
    <x:font>
      <x:b/>
      <x:sz val="14"/>
      <x:name val="Arial"/>
    </x:font>
    <x:font>
      <x:i/>
      <x:sz val="10"/>
      <x:name val="Arial"/>
    </x:font>
    <x:font>
      <x:i/>
      <x:sz val="10"/>
      <x:color rgb="FF008000"/>
      <x:name val="Arial"/>
    </x:font>
    <x:font>
      <x:sz val="11"/>
      <x:color rgb="FF0000FF"/>
      <x:name val="Carlito"/>
    </x:font>
    <x:font>
      <x:sz val="11"/>
      <x:color rgb="FF008000"/>
      <x:name val="Carlito"/>
    </x:font>
    <x:font>
      <x:sz val="11"/>
      <x:color rgb="FF008000"/>
      <x:name val="Arial"/>
    </x:font>
    <x:font>
      <x:sz val="10"/>
      <x:color rgb="FF008000"/>
      <x:name val="Arial"/>
    </x:font>
    <x:font>
      <x:sz val="11"/>
      <x:color rgb="FF0000FF"/>
      <x:name val="Arial"/>
    </x:font>
    <x:font>
      <x:sz val="10"/>
      <x:color rgb="FF0000FF"/>
      <x:name val="Arial"/>
    </x:font>
    <x:font>
      <x:b/>
      <x:sz val="10"/>
      <x:color rgb="FF008000"/>
      <x:name val="Arial"/>
    </x:font>
    <x:font>
      <x:sz val="10"/>
      <x:color rgb="FF000000"/>
      <x:name val="Arial"/>
    </x:font>
    <x:font>
      <x:b/>
      <x:i/>
      <x:sz val="10"/>
      <x:name val="Arial"/>
    </x:font>
    <x:font>
      <x:b/>
      <x:sz val="10"/>
      <x:color rgb="FF000000"/>
      <x:name val="Arial"/>
    </x:font>
    <x:font>
      <x:b/>
      <x:sz val="11"/>
      <x:name val="Carlito"/>
    </x:font>
    <x:font>
      <x:b/>
      <x:sz val="14"/>
      <x:name val="Carlito"/>
    </x:font>
    <x:font>
      <x:sz val="11"/>
      <x:color rgb="FF000000"/>
      <x:name val="Carlito"/>
    </x:font>
    <x:font>
      <x:sz val="11"/>
      <x:color rgb="FF000000"/>
      <x:name val="Arial"/>
    </x:font>
    <x:font>
      <x:sz val="10"/>
      <x:name val="Arial"/>
    </x:font>
  </x:fonts>
  <x:fills count="3">
    <x:fill>
      <x:patternFill patternType="none"/>
    </x:fill>
    <x:fill>
      <x:patternFill patternType="gray125"/>
    </x:fill>
    <x:fill>
      <x:patternFill patternType="solid">
        <x:fgColor rgb="FFF0F2F5"/>
      </x:patternFill>
    </x:fill>
  </x:fills>
  <x:borders count="213">
    <x:border>
      <x:left/>
      <x:right/>
      <x:top/>
      <x:bottom/>
      <x:diagonal/>
    </x:border>
    <x:border>
      <x:left/>
      <x:right/>
      <x:top/>
      <x:bottom style="thin">
        <x:color rgb="FFBBC3CD"/>
      </x:bottom>
      <x:diagonal/>
    </x:border>
    <x:border>
      <x:left style="thin">
        <x:color rgb="FFBBC3CD"/>
      </x:left>
      <x:right style="thin">
        <x:color rgb="FFDDE2E7"/>
      </x:right>
      <x:top style="thin">
        <x:color rgb="FFBBC3CD"/>
      </x:top>
      <x:bottom style="thin">
        <x:color rgb="FFBBC3CD"/>
      </x:bottom>
      <x:diagonal/>
    </x:border>
    <x:border>
      <x:left style="thin">
        <x:color rgb="FFDDE2E7"/>
      </x:left>
      <x:right style="thin">
        <x:color rgb="FFBBC3CD"/>
      </x:right>
      <x:top style="thin">
        <x:color rgb="FFBBC3CD"/>
      </x:top>
      <x:bottom style="thin">
        <x:color rgb="FFBBC3CD"/>
      </x:bottom>
      <x:diagonal/>
    </x:border>
    <x:border>
      <x:left style="thin">
        <x:color rgb="FFBBC3CD"/>
      </x:left>
      <x:right style="thin">
        <x:color rgb="FFDDE2E7"/>
      </x:right>
      <x:top/>
      <x:bottom/>
      <x:diagonal/>
    </x:border>
    <x:border>
      <x:left style="thin">
        <x:color rgb="FFDDE2E7"/>
      </x:left>
      <x:right style="thin">
        <x:color rgb="FFBBC3CD"/>
      </x:right>
      <x:top/>
      <x:bottom/>
      <x:diagonal/>
    </x:border>
    <x:border>
      <x:left style="thin">
        <x:color rgb="FFBBC3CD"/>
      </x:left>
      <x:right style="thin">
        <x:color rgb="FFDDE2E7"/>
      </x:right>
      <x:top/>
      <x:bottom style="thin">
        <x:color rgb="FFBBC3CD"/>
      </x:bottom>
      <x:diagonal/>
    </x:border>
    <x:border>
      <x:left style="thin">
        <x:color rgb="FFDDE2E7"/>
      </x:left>
      <x:right style="thin">
        <x:color rgb="FFBBC3CD"/>
      </x:right>
      <x:top/>
      <x:bottom style="thin">
        <x:color rgb="FFBBC3CD"/>
      </x:bottom>
      <x:diagonal/>
    </x:border>
    <x:border>
      <x:left/>
      <x:right/>
      <x:top/>
      <x:bottom style="thin">
        <x:color rgb="FFAEB4BD"/>
      </x:bottom>
      <x:diagonal/>
    </x:border>
    <x:border>
      <x:left style="thin">
        <x:color rgb="FFBBC3CD"/>
      </x:left>
      <x:right style="thin">
        <x:color rgb="FFDDE2E7"/>
      </x:right>
      <x:top style="thin">
        <x:color rgb="FFBBC3CD"/>
      </x:top>
      <x:bottom style="thin">
        <x:color rgb="FFAEB4BD"/>
      </x:bottom>
      <x:diagonal/>
    </x:border>
    <x:border>
      <x:left style="thin">
        <x:color rgb="FFDDE2E7"/>
      </x:left>
      <x:right style="thin">
        <x:color rgb="FFBBC3CD"/>
      </x:right>
      <x:top style="thin">
        <x:color rgb="FFBBC3CD"/>
      </x:top>
      <x:bottom style="thin">
        <x:color rgb="FFAEB4BD"/>
      </x:bottom>
      <x:diagonal/>
    </x:border>
    <x:border>
      <x:left style="thin">
        <x:color rgb="FFBBC3CD"/>
      </x:left>
      <x:right style="thin">
        <x:color rgb="FFDDE2E7"/>
      </x:right>
      <x:top style="thin">
        <x:color rgb="FFBBC3CD"/>
      </x:top>
      <x:bottom/>
      <x:diagonal/>
    </x:border>
    <x:border>
      <x:left style="thin">
        <x:color rgb="FFDDE2E7"/>
      </x:left>
      <x:right style="thin">
        <x:color rgb="FFBBC3CD"/>
      </x:right>
      <x:top style="thin">
        <x:color rgb="FFBBC3CD"/>
      </x:top>
      <x:bottom/>
      <x:diagonal/>
    </x:border>
    <x:border>
      <x:left style="thin">
        <x:color rgb="FFDDE2E7"/>
      </x:left>
      <x:right style="thin">
        <x:color rgb="FFDDE2E7"/>
      </x:right>
      <x:top style="thin">
        <x:color rgb="FFBBC3CD"/>
      </x:top>
      <x:bottom style="thin">
        <x:color rgb="FFAEB4BD"/>
      </x:bottom>
      <x:diagonal/>
    </x:border>
    <x:border>
      <x:left style="thin">
        <x:color rgb="FFDDE2E7"/>
      </x:left>
      <x:right style="thin">
        <x:color rgb="FFDDE2E7"/>
      </x:right>
      <x:top/>
      <x:bottom/>
      <x:diagonal/>
    </x:border>
    <x:border>
      <x:left style="thin">
        <x:color rgb="FFDDE2E7"/>
      </x:left>
      <x:right style="thin">
        <x:color rgb="FFDDE2E7"/>
      </x:right>
      <x:top/>
      <x:bottom style="thin">
        <x:color rgb="FFBBC3CD"/>
      </x:bottom>
      <x:diagonal/>
    </x:border>
    <x:border>
      <x:left style="thin">
        <x:color rgb="FFDDE2E7"/>
      </x:left>
      <x:right style="thin">
        <x:color rgb="FFDDE2E7"/>
      </x:right>
      <x:top style="thin">
        <x:color rgb="FFBBC3CD"/>
      </x:top>
      <x:bottom style="thin">
        <x:color rgb="FFBBC3CD"/>
      </x:bottom>
      <x:diagonal/>
    </x:border>
    <x:border>
      <x:left style="thin">
        <x:color rgb="FFDDE2E7"/>
      </x:left>
      <x:right style="thin">
        <x:color rgb="FFDDE2E7"/>
      </x:right>
      <x:top style="thin">
        <x:color rgb="FFBBC3CD"/>
      </x:top>
      <x:bottom/>
      <x:diagonal/>
    </x:border>
    <x:border>
      <x:left/>
      <x:right/>
      <x:top style="thin">
        <x:color rgb="FFBBC3CD"/>
      </x:top>
      <x:bottom/>
      <x:diagonal/>
    </x:border>
    <x:border>
      <x:left style="thin">
        <x:color rgb="FFBBC3CD"/>
      </x:left>
      <x:right style="thin">
        <x:color rgb="FFBBC3CD"/>
      </x:right>
      <x:top style="thin">
        <x:color rgb="FFBBC3CD"/>
      </x:top>
      <x:bottom/>
      <x:diagonal/>
    </x:border>
    <x:border>
      <x:left style="thin">
        <x:color rgb="FFBBC3CD"/>
      </x:left>
      <x:right style="thin">
        <x:color rgb="FFBBC3CD"/>
      </x:right>
      <x:top/>
      <x:bottom/>
      <x:diagonal/>
    </x:border>
    <x:border>
      <x:left style="thin">
        <x:color rgb="FFBBC3CD"/>
      </x:left>
      <x:right style="thin">
        <x:color rgb="FFBBC3CD"/>
      </x:right>
      <x:top/>
      <x:bottom style="thin">
        <x:color rgb="FFBBC3CD"/>
      </x:bottom>
      <x:diagonal/>
    </x:border>
    <x:border>
      <x:left style="thin">
        <x:color rgb="FFBBC3CD"/>
      </x:left>
      <x:right style="thin">
        <x:color rgb="FFBBC3CD"/>
      </x:right>
      <x:top style="thin">
        <x:color rgb="FFBBC3CD"/>
      </x:top>
      <x:bottom style="thin">
        <x:color rgb="FFBBC3CD"/>
      </x:bottom>
      <x:diagonal/>
    </x:border>
    <x:border>
      <x:left/>
      <x:right style="thin">
        <x:color rgb="FFE1E5EA"/>
      </x:right>
      <x:top/>
      <x:bottom/>
      <x:diagonal/>
    </x:border>
    <x:border>
      <x:left style="thin">
        <x:color rgb="FFE1E5EA"/>
      </x:left>
      <x:right/>
      <x:top/>
      <x:bottom/>
      <x:diagonal/>
    </x:border>
    <x:border>
      <x:left/>
      <x:right style="thin">
        <x:color rgb="FFE1E5EA"/>
      </x:right>
      <x:top/>
      <x:bottom/>
      <x:diagonal/>
    </x:border>
    <x:border>
      <x:left/>
      <x:right style="thin">
        <x:color rgb="FFE1E5EA"/>
      </x:right>
      <x:top/>
      <x:bottom/>
      <x:diagonal/>
    </x:border>
    <x:border>
      <x:left style="thin">
        <x:color rgb="FFBBC3CD"/>
      </x:left>
      <x:right style="thin">
        <x:color rgb="FFE1E5EA"/>
      </x:right>
      <x:top style="thin">
        <x:color rgb="FFBBC3CD"/>
      </x:top>
      <x:bottom style="thin">
        <x:color rgb="FFBBC3CD"/>
      </x:bottom>
      <x:diagonal/>
    </x:border>
    <x:border>
      <x:left style="thin">
        <x:color rgb="FFE1E5EA"/>
      </x:left>
      <x:right style="thin">
        <x:color rgb="FFBBC3CD"/>
      </x:right>
      <x:top style="thin">
        <x:color rgb="FFBBC3CD"/>
      </x:top>
      <x:bottom style="thin">
        <x:color rgb="FFBBC3CD"/>
      </x:bottom>
      <x:diagonal/>
    </x:border>
    <x:border>
      <x:left style="thin">
        <x:color rgb="FFBBC3CD"/>
      </x:left>
      <x:right style="thin">
        <x:color rgb="FFE1E5EA"/>
      </x:right>
      <x:top/>
      <x:bottom/>
      <x:diagonal/>
    </x:border>
    <x:border>
      <x:left style="thin">
        <x:color rgb="FFE1E5EA"/>
      </x:left>
      <x:right style="thin">
        <x:color rgb="FFBBC3CD"/>
      </x:right>
      <x:top/>
      <x:bottom/>
      <x:diagonal/>
    </x:border>
    <x:border>
      <x:left style="thin">
        <x:color rgb="FFBBC3CD"/>
      </x:left>
      <x:right style="thin">
        <x:color rgb="FFE1E5EA"/>
      </x:right>
      <x:top/>
      <x:bottom style="thin">
        <x:color rgb="FFBBC3CD"/>
      </x:bottom>
      <x:diagonal/>
    </x:border>
    <x:border>
      <x:left style="thin">
        <x:color rgb="FFE1E5EA"/>
      </x:left>
      <x:right style="thin">
        <x:color rgb="FFBBC3CD"/>
      </x:right>
      <x:top/>
      <x:bottom style="thin">
        <x:color rgb="FFBBC3CD"/>
      </x:bottom>
      <x:diagonal/>
    </x:border>
    <x:border>
      <x:left style="thin">
        <x:color rgb="FFBBC3CD"/>
      </x:left>
      <x:right style="thin">
        <x:color rgb="FFE1E5EA"/>
      </x:right>
      <x:top/>
      <x:bottom/>
      <x:diagonal/>
    </x:border>
    <x:border>
      <x:left style="thin">
        <x:color rgb="FFE1E5EA"/>
      </x:left>
      <x:right style="thin">
        <x:color rgb="FFBBC3CD"/>
      </x:right>
      <x:top/>
      <x:bottom/>
      <x:diagonal/>
    </x:border>
    <x:border>
      <x:left style="thin">
        <x:color rgb="FFBBC3CD"/>
      </x:left>
      <x:right style="thin">
        <x:color rgb="FFE1E5EA"/>
      </x:right>
      <x:top/>
      <x:bottom/>
      <x:diagonal/>
    </x:border>
    <x:border>
      <x:left style="thin">
        <x:color rgb="FFBBC3CD"/>
      </x:left>
      <x:right style="thin">
        <x:color rgb="FFE1E5EA"/>
      </x:right>
      <x:top/>
      <x:bottom style="thin">
        <x:color rgb="FFBBC3CD"/>
      </x:bottom>
      <x:diagonal/>
    </x:border>
    <x:border>
      <x:left/>
      <x:right style="thin">
        <x:color rgb="FFE1E5EA"/>
      </x:right>
      <x:top/>
      <x:bottom/>
      <x:diagonal/>
    </x:border>
    <x:border>
      <x:left style="thin">
        <x:color rgb="FFE1E5EA"/>
      </x:left>
      <x:right/>
      <x:top/>
      <x:bottom/>
      <x:diagonal/>
    </x:border>
    <x:border>
      <x:left/>
      <x:right style="thin">
        <x:color rgb="FFE1E5EA"/>
      </x:right>
      <x:top/>
      <x:bottom/>
      <x:diagonal/>
    </x:border>
    <x:border>
      <x:left style="thin">
        <x:color rgb="FFBBC3CD"/>
      </x:left>
      <x:right style="thin">
        <x:color rgb="FFE1E5EA"/>
      </x:right>
      <x:top style="thin">
        <x:color rgb="FFBBC3CD"/>
      </x:top>
      <x:bottom/>
      <x:diagonal/>
    </x:border>
    <x:border>
      <x:left style="thin">
        <x:color rgb="FFE1E5EA"/>
      </x:left>
      <x:right style="thin">
        <x:color rgb="FFBBC3CD"/>
      </x:right>
      <x:top style="thin">
        <x:color rgb="FFBBC3CD"/>
      </x:top>
      <x:bottom/>
      <x:diagonal/>
    </x:border>
    <x:border>
      <x:left style="thin">
        <x:color rgb="FFE1E5EA"/>
      </x:left>
      <x:right style="thin">
        <x:color rgb="FFE1E5EA"/>
      </x:right>
      <x:top/>
      <x:bottom/>
      <x:diagonal/>
    </x:border>
    <x:border>
      <x:left style="thin">
        <x:color rgb="FFE1E5EA"/>
      </x:left>
      <x:right style="thin">
        <x:color rgb="FFE1E5EA"/>
      </x:right>
      <x:top style="thin">
        <x:color rgb="FFBBC3CD"/>
      </x:top>
      <x:bottom style="thin">
        <x:color rgb="FFBBC3CD"/>
      </x:bottom>
      <x:diagonal/>
    </x:border>
    <x:border>
      <x:left style="thin">
        <x:color rgb="FFE1E5EA"/>
      </x:left>
      <x:right style="thin">
        <x:color rgb="FFE1E5EA"/>
      </x:right>
      <x:top/>
      <x:bottom/>
      <x:diagonal/>
    </x:border>
    <x:border>
      <x:left style="thin">
        <x:color rgb="FFE1E5EA"/>
      </x:left>
      <x:right style="thin">
        <x:color rgb="FFE1E5EA"/>
      </x:right>
      <x:top/>
      <x:bottom/>
      <x:diagonal/>
    </x:border>
    <x:border>
      <x:left style="thin">
        <x:color rgb="FFE1E5EA"/>
      </x:left>
      <x:right style="thin">
        <x:color rgb="FFE1E5EA"/>
      </x:right>
      <x:top/>
      <x:bottom/>
      <x:diagonal/>
    </x:border>
    <x:border>
      <x:left style="thin">
        <x:color rgb="FFBBC3CD"/>
      </x:left>
      <x:right style="thin">
        <x:color rgb="FFE1E5EA"/>
      </x:right>
      <x:top style="thin">
        <x:color rgb="FFBBC3CD"/>
      </x:top>
      <x:bottom style="thin">
        <x:color rgb="FFBBC3CD"/>
      </x:bottom>
      <x:diagonal/>
    </x:border>
    <x:border>
      <x:left style="thin">
        <x:color rgb="FFE1E5EA"/>
      </x:left>
      <x:right style="thin">
        <x:color rgb="FFE1E5EA"/>
      </x:right>
      <x:top style="thin">
        <x:color rgb="FFBBC3CD"/>
      </x:top>
      <x:bottom style="thin">
        <x:color rgb="FFBBC3CD"/>
      </x:bottom>
      <x:diagonal/>
    </x:border>
    <x:border>
      <x:left style="thin">
        <x:color rgb="FFE1E5EA"/>
      </x:left>
      <x:right style="thin">
        <x:color rgb="FFE1E5EA"/>
      </x:right>
      <x:top style="thin">
        <x:color rgb="FFBBC3CD"/>
      </x:top>
      <x:bottom style="thin">
        <x:color rgb="FFBBC3CD"/>
      </x:bottom>
      <x:diagonal/>
    </x:border>
    <x:border>
      <x:left style="thin">
        <x:color rgb="FFE1E5EA"/>
      </x:left>
      <x:right style="thin">
        <x:color rgb="FFE1E5EA"/>
      </x:right>
      <x:top style="thin">
        <x:color rgb="FFBBC3CD"/>
      </x:top>
      <x:bottom style="thin">
        <x:color rgb="FFBBC3CD"/>
      </x:bottom>
      <x:diagonal/>
    </x:border>
    <x:border>
      <x:left style="thin">
        <x:color rgb="FFE1E5EA"/>
      </x:left>
      <x:right style="thin">
        <x:color rgb="FFBBC3CD"/>
      </x:right>
      <x:top style="thin">
        <x:color rgb="FFBBC3CD"/>
      </x:top>
      <x:bottom style="thin">
        <x:color rgb="FFBBC3CD"/>
      </x:bottom>
      <x:diagonal/>
    </x:border>
    <x:border>
      <x:left style="thin">
        <x:color rgb="FFE1E5EA"/>
      </x:left>
      <x:right style="thin">
        <x:color rgb="FFE1E5EA"/>
      </x:right>
      <x:top/>
      <x:bottom/>
      <x:diagonal/>
    </x:border>
    <x:border>
      <x:left style="thin">
        <x:color rgb="FFE1E5EA"/>
      </x:left>
      <x:right style="thin">
        <x:color rgb="FFE1E5EA"/>
      </x:right>
      <x:top/>
      <x:bottom/>
      <x:diagonal/>
    </x:border>
    <x:border>
      <x:left style="thin">
        <x:color rgb="FFE1E5EA"/>
      </x:left>
      <x:right style="thin">
        <x:color rgb="FFE1E5EA"/>
      </x:right>
      <x:top style="thin">
        <x:color rgb="FFBBC3CD"/>
      </x:top>
      <x:bottom style="thin">
        <x:color rgb="FFBBC3CD"/>
      </x:bottom>
      <x:diagonal/>
    </x:border>
    <x:border>
      <x:left style="thin">
        <x:color rgb="FFE1E5EA"/>
      </x:left>
      <x:right style="thin">
        <x:color rgb="FFE1E5EA"/>
      </x:right>
      <x:top style="thin">
        <x:color rgb="FFBBC3CD"/>
      </x:top>
      <x:bottom style="thin">
        <x:color rgb="FFBBC3CD"/>
      </x:bottom>
      <x:diagonal/>
    </x:border>
    <x:border>
      <x:left style="thin">
        <x:color rgb="FFBBC3CD"/>
      </x:left>
      <x:right style="thin">
        <x:color rgb="FFE1E5EA"/>
      </x:right>
      <x:top style="thin">
        <x:color rgb="FFBBC3CD"/>
      </x:top>
      <x:bottom/>
      <x:diagonal/>
    </x:border>
    <x:border>
      <x:left style="thin">
        <x:color rgb="FFE1E5EA"/>
      </x:left>
      <x:right style="thin">
        <x:color rgb="FFE1E5EA"/>
      </x:right>
      <x:top style="thin">
        <x:color rgb="FFBBC3CD"/>
      </x:top>
      <x:bottom/>
      <x:diagonal/>
    </x:border>
    <x:border>
      <x:left style="thin">
        <x:color rgb="FFE1E5EA"/>
      </x:left>
      <x:right style="thin">
        <x:color rgb="FFE1E5EA"/>
      </x:right>
      <x:top style="thin">
        <x:color rgb="FFBBC3CD"/>
      </x:top>
      <x:bottom/>
      <x:diagonal/>
    </x:border>
    <x:border>
      <x:left style="thin">
        <x:color rgb="FFE1E5EA"/>
      </x:left>
      <x:right style="thin">
        <x:color rgb="FFE1E5EA"/>
      </x:right>
      <x:top style="thin">
        <x:color rgb="FFBBC3CD"/>
      </x:top>
      <x:bottom/>
      <x:diagonal/>
    </x:border>
    <x:border>
      <x:left style="thin">
        <x:color rgb="FFE1E5EA"/>
      </x:left>
      <x:right style="thin">
        <x:color rgb="FFBBC3CD"/>
      </x:right>
      <x:top style="thin">
        <x:color rgb="FFBBC3CD"/>
      </x:top>
      <x:bottom/>
      <x:diagonal/>
    </x:border>
    <x:border>
      <x:left style="thin">
        <x:color rgb="FFBBC3CD"/>
      </x:left>
      <x:right style="thin">
        <x:color rgb="FFE1E5EA"/>
      </x:right>
      <x:top style="thin">
        <x:color rgb="FFBBC3CD"/>
      </x:top>
      <x:bottom style="thin">
        <x:color rgb="FFBBC3CD"/>
      </x:bottom>
      <x:diagonal/>
    </x:border>
    <x:border>
      <x:left style="thin">
        <x:color rgb="FFE1E5EA"/>
      </x:left>
      <x:right style="thin">
        <x:color rgb="FFE1E5EA"/>
      </x:right>
      <x:top style="thin">
        <x:color rgb="FFBBC3CD"/>
      </x:top>
      <x:bottom style="thin">
        <x:color rgb="FFBBC3CD"/>
      </x:bottom>
      <x:diagonal/>
    </x:border>
    <x:border>
      <x:left style="thin">
        <x:color rgb="FFE1E5EA"/>
      </x:left>
      <x:right style="thin">
        <x:color rgb="FFE1E5EA"/>
      </x:right>
      <x:top style="thin">
        <x:color rgb="FFBBC3CD"/>
      </x:top>
      <x:bottom style="thin">
        <x:color rgb="FFBBC3CD"/>
      </x:bottom>
      <x:diagonal/>
    </x:border>
    <x:border>
      <x:left style="thin">
        <x:color rgb="FFE1E5EA"/>
      </x:left>
      <x:right style="thin">
        <x:color rgb="FFE1E5EA"/>
      </x:right>
      <x:top style="thin">
        <x:color rgb="FFBBC3CD"/>
      </x:top>
      <x:bottom style="thin">
        <x:color rgb="FFBBC3CD"/>
      </x:bottom>
      <x:diagonal/>
    </x:border>
    <x:border>
      <x:left style="thin">
        <x:color rgb="FFE1E5EA"/>
      </x:left>
      <x:right style="thin">
        <x:color rgb="FFBBC3CD"/>
      </x:right>
      <x:top style="thin">
        <x:color rgb="FFBBC3CD"/>
      </x:top>
      <x:bottom style="thin">
        <x:color rgb="FFBBC3CD"/>
      </x:bottom>
      <x:diagonal/>
    </x:border>
    <x:border>
      <x:left/>
      <x:right style="thin">
        <x:color rgb="FFE1E5EA"/>
      </x:right>
      <x:top/>
      <x:bottom/>
      <x:diagonal/>
    </x:border>
    <x:border>
      <x:left/>
      <x:right style="thin">
        <x:color rgb="FFE1E5EA"/>
      </x:right>
      <x:top/>
      <x:bottom/>
      <x:diagonal/>
    </x:border>
    <x:border>
      <x:left style="thin">
        <x:color rgb="FFE1E5EA"/>
      </x:left>
      <x:right style="thin">
        <x:color rgb="FFBBC3CD"/>
      </x:right>
      <x:top/>
      <x:bottom/>
      <x:diagonal/>
    </x:border>
    <x:border>
      <x:left style="thin">
        <x:color rgb="FFE1E5EA"/>
      </x:left>
      <x:right style="thin">
        <x:color rgb="FFE1E5EA"/>
      </x:right>
      <x:top style="thin">
        <x:color rgb="FFBBC3CD"/>
      </x:top>
      <x:bottom/>
      <x:diagonal/>
    </x:border>
    <x:border>
      <x:left style="thin">
        <x:color rgb="FFE1E5EA"/>
      </x:left>
      <x:right style="thin">
        <x:color rgb="FFBBC3CD"/>
      </x:right>
      <x:top style="thin">
        <x:color rgb="FFBBC3CD"/>
      </x:top>
      <x:bottom/>
      <x:diagonal/>
    </x:border>
    <x:border>
      <x:left style="thin">
        <x:color rgb="FFE1E5EA"/>
      </x:left>
      <x:right style="thin">
        <x:color rgb="FFE1E5EA"/>
      </x:right>
      <x:top/>
      <x:bottom/>
      <x:diagonal/>
    </x:border>
    <x:border>
      <x:left style="thin">
        <x:color rgb="FFE1E5EA"/>
      </x:left>
      <x:right style="thin">
        <x:color rgb="FFE1E5EA"/>
      </x:right>
      <x:top/>
      <x:bottom/>
      <x:diagonal/>
    </x:border>
    <x:border>
      <x:left style="thin">
        <x:color rgb="FFE1E5EA"/>
      </x:left>
      <x:right style="thin">
        <x:color rgb="FFE1E5EA"/>
      </x:right>
      <x:top/>
      <x:bottom style="thin">
        <x:color rgb="FFBBC3CD"/>
      </x:bottom>
      <x:diagonal/>
    </x:border>
    <x:border>
      <x:left style="thin">
        <x:color rgb="FFE1E5EA"/>
      </x:left>
      <x:right style="thin">
        <x:color rgb="FFE1E5EA"/>
      </x:right>
      <x:top/>
      <x:bottom style="thin">
        <x:color rgb="FFBBC3CD"/>
      </x:bottom>
      <x:diagonal/>
    </x:border>
    <x:border>
      <x:left style="thin">
        <x:color rgb="FFE1E5EA"/>
      </x:left>
      <x:right style="thin">
        <x:color rgb="FFBBC3CD"/>
      </x:right>
      <x:top/>
      <x:bottom style="thin">
        <x:color rgb="FFBBC3CD"/>
      </x:bottom>
      <x:diagonal/>
    </x:border>
    <x:border>
      <x:left style="thin">
        <x:color rgb="FFE1E5EA"/>
      </x:left>
      <x:right style="thin">
        <x:color rgb="FFE1E5EA"/>
      </x:right>
      <x:top style="thin">
        <x:color rgb="FFBBC3CD"/>
      </x:top>
      <x:bottom style="thin">
        <x:color rgb="FFBBC3CD"/>
      </x:bottom>
      <x:diagonal/>
    </x:border>
    <x:border>
      <x:left style="thin">
        <x:color rgb="FFE1E5EA"/>
      </x:left>
      <x:right style="thin">
        <x:color rgb="FFE1E5EA"/>
      </x:right>
      <x:top/>
      <x:bottom/>
      <x:diagonal/>
    </x:border>
    <x:border>
      <x:left style="thin">
        <x:color rgb="FFE1E5EA"/>
      </x:left>
      <x:right style="thin">
        <x:color rgb="FFE1E5EA"/>
      </x:right>
      <x:top/>
      <x:bottom style="thin">
        <x:color rgb="FFBBC3CD"/>
      </x:bottom>
      <x:diagonal/>
    </x:border>
    <x:border>
      <x:left style="thin">
        <x:color rgb="FFE1E5EA"/>
      </x:left>
      <x:right style="thin">
        <x:color rgb="FFE1E5EA"/>
      </x:right>
      <x:top/>
      <x:bottom/>
      <x:diagonal/>
    </x:border>
    <x:border>
      <x:left style="thin">
        <x:color rgb="FFE1E5EA"/>
      </x:left>
      <x:right style="thin">
        <x:color rgb="FFE1E5EA"/>
      </x:right>
      <x:top/>
      <x:bottom/>
      <x:diagonal/>
    </x:border>
    <x:border>
      <x:left/>
      <x:right/>
      <x:top/>
      <x:bottom/>
      <x:diagonal/>
    </x:border>
    <x:border>
      <x:left style="thin">
        <x:color rgb="FFE1E5EA"/>
      </x:left>
      <x:right style="thin">
        <x:color rgb="FFE1E5EA"/>
      </x:right>
      <x:top style="thin">
        <x:color rgb="FFBBC3CD"/>
      </x:top>
      <x:bottom style="thin">
        <x:color rgb="FFBBC3CD"/>
      </x:bottom>
      <x:diagonal/>
    </x:border>
    <x:border>
      <x:left style="thin">
        <x:color rgb="FFE1E5EA"/>
      </x:left>
      <x:right style="thin">
        <x:color rgb="FFE1E5EA"/>
      </x:right>
      <x:top/>
      <x:bottom/>
      <x:diagonal/>
    </x:border>
    <x:border>
      <x:left style="thin">
        <x:color rgb="FFE1E5EA"/>
      </x:left>
      <x:right style="thin">
        <x:color rgb="FFE1E5EA"/>
      </x:right>
      <x:top/>
      <x:bottom style="thin">
        <x:color rgb="FFBBC3CD"/>
      </x:bottom>
      <x:diagonal/>
    </x:border>
    <x:border>
      <x:left style="thin">
        <x:color rgb="FFE1E5EA"/>
      </x:left>
      <x:right style="thin">
        <x:color rgb="FFE1E5EA"/>
      </x:right>
      <x:top/>
      <x:bottom style="thin">
        <x:color rgb="FFBBC3CD"/>
      </x:bottom>
      <x:diagonal/>
    </x:border>
    <x:border>
      <x:left/>
      <x:right style="thin">
        <x:color rgb="FFE1E5EA"/>
      </x:right>
      <x:top/>
      <x:bottom/>
      <x:diagonal/>
    </x:border>
    <x:border>
      <x:left style="thin">
        <x:color rgb="FFE1E5EA"/>
      </x:left>
      <x:right style="thin">
        <x:color rgb="FFE1E5EA"/>
      </x:right>
      <x:top/>
      <x:bottom/>
      <x:diagonal/>
    </x:border>
    <x:border>
      <x:left style="thin">
        <x:color rgb="FFE1E5EA"/>
      </x:left>
      <x:right/>
      <x:top/>
      <x:bottom/>
      <x:diagonal/>
    </x:border>
    <x:border>
      <x:left/>
      <x:right style="thin">
        <x:color rgb="FFE1E5EA"/>
      </x:right>
      <x:top/>
      <x:bottom/>
      <x:diagonal/>
    </x:border>
    <x:border>
      <x:left/>
      <x:right style="thin">
        <x:color rgb="FFE1E5EA"/>
      </x:right>
      <x:top/>
      <x:bottom/>
      <x:diagonal/>
    </x:border>
    <x:border>
      <x:left style="thin">
        <x:color rgb="FFBBC3CD"/>
      </x:left>
      <x:right style="thin">
        <x:color rgb="FFE1E5EA"/>
      </x:right>
      <x:top style="thin">
        <x:color rgb="FFBBC3CD"/>
      </x:top>
      <x:bottom style="thin">
        <x:color rgb="FFBBC3CD"/>
      </x:bottom>
      <x:diagonal/>
    </x:border>
    <x:border>
      <x:left style="thin">
        <x:color rgb="FFE1E5EA"/>
      </x:left>
      <x:right style="thin">
        <x:color rgb="FFE1E5EA"/>
      </x:right>
      <x:top style="thin">
        <x:color rgb="FFBBC3CD"/>
      </x:top>
      <x:bottom style="thin">
        <x:color rgb="FFBBC3CD"/>
      </x:bottom>
      <x:diagonal/>
    </x:border>
    <x:border>
      <x:left style="thin">
        <x:color rgb="FFE1E5EA"/>
      </x:left>
      <x:right style="thin">
        <x:color rgb="FFE1E5EA"/>
      </x:right>
      <x:top style="thin">
        <x:color rgb="FFBBC3CD"/>
      </x:top>
      <x:bottom style="thin">
        <x:color rgb="FFBBC3CD"/>
      </x:bottom>
      <x:diagonal/>
    </x:border>
    <x:border>
      <x:left style="thin">
        <x:color rgb="FFE1E5EA"/>
      </x:left>
      <x:right style="thin">
        <x:color rgb="FFE1E5EA"/>
      </x:right>
      <x:top/>
      <x:bottom/>
      <x:diagonal/>
    </x:border>
    <x:border>
      <x:left style="thin">
        <x:color rgb="FFE1E5EA"/>
      </x:left>
      <x:right/>
      <x:top/>
      <x:bottom/>
      <x:diagonal/>
    </x:border>
    <x:border>
      <x:left style="thin">
        <x:color rgb="FFBBC3CD"/>
      </x:left>
      <x:right style="thin">
        <x:color rgb="FFE1E5EA"/>
      </x:right>
      <x:top/>
      <x:bottom/>
      <x:diagonal/>
    </x:border>
    <x:border>
      <x:left style="thin">
        <x:color rgb="FFE1E5EA"/>
      </x:left>
      <x:right style="thin">
        <x:color rgb="FFE1E5EA"/>
      </x:right>
      <x:top/>
      <x:bottom/>
      <x:diagonal/>
    </x:border>
    <x:border>
      <x:left style="thin">
        <x:color rgb="FFE1E5EA"/>
      </x:left>
      <x:right style="thin">
        <x:color rgb="FFE1E5EA"/>
      </x:right>
      <x:top/>
      <x:bottom/>
      <x:diagonal/>
    </x:border>
    <x:border>
      <x:left style="thin">
        <x:color rgb="FFE1E5EA"/>
      </x:left>
      <x:right style="thin">
        <x:color rgb="FFE1E5EA"/>
      </x:right>
      <x:top/>
      <x:bottom/>
      <x:diagonal/>
    </x:border>
    <x:border>
      <x:left style="thin">
        <x:color rgb="FFBBC3CD"/>
      </x:left>
      <x:right style="thin">
        <x:color rgb="FFE1E5EA"/>
      </x:right>
      <x:top/>
      <x:bottom style="thin">
        <x:color rgb="FFBBC3CD"/>
      </x:bottom>
      <x:diagonal/>
    </x:border>
    <x:border>
      <x:left style="thin">
        <x:color rgb="FFE1E5EA"/>
      </x:left>
      <x:right style="thin">
        <x:color rgb="FFE1E5EA"/>
      </x:right>
      <x:top/>
      <x:bottom style="thin">
        <x:color rgb="FFBBC3CD"/>
      </x:bottom>
      <x:diagonal/>
    </x:border>
    <x:border>
      <x:left style="thin">
        <x:color rgb="FFE1E5EA"/>
      </x:left>
      <x:right style="thin">
        <x:color rgb="FFE1E5EA"/>
      </x:right>
      <x:top/>
      <x:bottom style="thin">
        <x:color rgb="FFBBC3CD"/>
      </x:bottom>
      <x:diagonal/>
    </x:border>
    <x:border>
      <x:left style="thin">
        <x:color rgb="FFE1E5EA"/>
      </x:left>
      <x:right style="thin">
        <x:color rgb="FFE1E5EA"/>
      </x:right>
      <x:top/>
      <x:bottom style="thin">
        <x:color rgb="FFBBC3CD"/>
      </x:bottom>
      <x:diagonal/>
    </x:border>
    <x:border>
      <x:left/>
      <x:right style="thin">
        <x:color rgb="FFE1E5EA"/>
      </x:right>
      <x:top/>
      <x:bottom/>
      <x:diagonal/>
    </x:border>
    <x:border>
      <x:left/>
      <x:right style="thin">
        <x:color rgb="FFE1E5EA"/>
      </x:right>
      <x:top/>
      <x:bottom/>
      <x:diagonal/>
    </x:border>
    <x:border>
      <x:left style="thin">
        <x:color rgb="FFE1E5EA"/>
      </x:left>
      <x:right style="thin">
        <x:color rgb="FFE1E5EA"/>
      </x:right>
      <x:top/>
      <x:bottom/>
      <x:diagonal/>
    </x:border>
    <x:border>
      <x:left style="thin">
        <x:color rgb="FFE1E5EA"/>
      </x:left>
      <x:right style="thin">
        <x:color rgb="FFBBC3CD"/>
      </x:right>
      <x:top style="thin">
        <x:color rgb="FFBBC3CD"/>
      </x:top>
      <x:bottom style="thin">
        <x:color rgb="FFBBC3CD"/>
      </x:bottom>
      <x:diagonal/>
    </x:border>
    <x:border>
      <x:left style="thin">
        <x:color rgb="FFE1E5EA"/>
      </x:left>
      <x:right style="thin">
        <x:color rgb="FFE1E5EA"/>
      </x:right>
      <x:top/>
      <x:bottom/>
      <x:diagonal/>
    </x:border>
    <x:border>
      <x:left style="thin">
        <x:color rgb="FFE1E5EA"/>
      </x:left>
      <x:right style="thin">
        <x:color rgb="FFBBC3CD"/>
      </x:right>
      <x:top/>
      <x:bottom/>
      <x:diagonal/>
    </x:border>
    <x:border>
      <x:left style="thin">
        <x:color rgb="FFE1E5EA"/>
      </x:left>
      <x:right style="thin">
        <x:color rgb="FFE1E5EA"/>
      </x:right>
      <x:top/>
      <x:bottom style="thin">
        <x:color rgb="FFBBC3CD"/>
      </x:bottom>
      <x:diagonal/>
    </x:border>
    <x:border>
      <x:left style="thin">
        <x:color rgb="FFE1E5EA"/>
      </x:left>
      <x:right style="thin">
        <x:color rgb="FFBBC3CD"/>
      </x:right>
      <x:top/>
      <x:bottom style="thin">
        <x:color rgb="FFBBC3CD"/>
      </x:bottom>
      <x:diagonal/>
    </x:border>
    <x:border>
      <x:left style="thin">
        <x:color rgb="FFE1E5EA"/>
      </x:left>
      <x:right style="thin">
        <x:color rgb="FFE1E5EA"/>
      </x:right>
      <x:top/>
      <x:bottom/>
      <x:diagonal/>
    </x:border>
    <x:border>
      <x:left style="thin">
        <x:color rgb="FFE1E5EA"/>
      </x:left>
      <x:right style="thin">
        <x:color rgb="FFE1E5EA"/>
      </x:right>
      <x:top/>
      <x:bottom style="thin">
        <x:color rgb="FFBBC3CD"/>
      </x:bottom>
      <x:diagonal/>
    </x:border>
    <x:border>
      <x:left style="thin">
        <x:color rgb="FFE1E5EA"/>
      </x:left>
      <x:right style="thin">
        <x:color rgb="FFE1E5EA"/>
      </x:right>
      <x:top/>
      <x:bottom style="thin">
        <x:color rgb="FFBBC3CD"/>
      </x:bottom>
      <x:diagonal/>
    </x:border>
    <x:border>
      <x:left style="thin">
        <x:color rgb="FFE1E5EA"/>
      </x:left>
      <x:right style="thin">
        <x:color rgb="FFE1E5EA"/>
      </x:right>
      <x:top/>
      <x:bottom/>
      <x:diagonal/>
    </x:border>
    <x:border>
      <x:left style="thin">
        <x:color rgb="FFBBC3CD"/>
      </x:left>
      <x:right style="thin">
        <x:color rgb="FFE1E5EA"/>
      </x:right>
      <x:top/>
      <x:bottom/>
      <x:diagonal/>
    </x:border>
    <x:border>
      <x:left style="thin">
        <x:color rgb="FFE1E5EA"/>
      </x:left>
      <x:right style="thin">
        <x:color rgb="FFE1E5EA"/>
      </x:right>
      <x:top/>
      <x:bottom/>
      <x:diagonal/>
    </x:border>
    <x:border>
      <x:left style="thin">
        <x:color rgb="FFBBC3CD"/>
      </x:left>
      <x:right style="thin">
        <x:color rgb="FFE1E5EA"/>
      </x:right>
      <x:top/>
      <x:bottom style="thin">
        <x:color rgb="FFBBC3CD"/>
      </x:bottom>
      <x:diagonal/>
    </x:border>
    <x:border>
      <x:left/>
      <x:right style="thin">
        <x:color rgb="FFE1E5EA"/>
      </x:right>
      <x:top/>
      <x:bottom/>
      <x:diagonal/>
    </x:border>
    <x:border>
      <x:left style="thin">
        <x:color rgb="FFBBC3CD"/>
      </x:left>
      <x:right style="thin">
        <x:color rgb="FFE1E5EA"/>
      </x:right>
      <x:top style="thin">
        <x:color rgb="FFBBC3CD"/>
      </x:top>
      <x:bottom style="thin">
        <x:color rgb="FFBBC3CD"/>
      </x:bottom>
      <x:diagonal/>
    </x:border>
    <x:border>
      <x:left style="thin">
        <x:color rgb="FFE1E5EA"/>
      </x:left>
      <x:right style="thin">
        <x:color rgb="FFE1E5EA"/>
      </x:right>
      <x:top style="thin">
        <x:color rgb="FFBBC3CD"/>
      </x:top>
      <x:bottom style="thin">
        <x:color rgb="FFBBC3CD"/>
      </x:bottom>
      <x:diagonal/>
    </x:border>
    <x:border>
      <x:left style="thin">
        <x:color rgb="FFE1E5EA"/>
      </x:left>
      <x:right style="thin">
        <x:color rgb="FFE1E5EA"/>
      </x:right>
      <x:top/>
      <x:bottom/>
      <x:diagonal/>
    </x:border>
    <x:border>
      <x:left style="thin">
        <x:color rgb="FFE1E5EA"/>
      </x:left>
      <x:right style="thin">
        <x:color rgb="FFE1E5EA"/>
      </x:right>
      <x:top/>
      <x:bottom/>
      <x:diagonal/>
    </x:border>
    <x:border>
      <x:left style="thin">
        <x:color rgb="FFBBC3CD"/>
      </x:left>
      <x:right style="thin">
        <x:color rgb="FFE1E5EA"/>
      </x:right>
      <x:top style="thin">
        <x:color rgb="FFBBC3CD"/>
      </x:top>
      <x:bottom/>
      <x:diagonal/>
    </x:border>
    <x:border>
      <x:left style="thin">
        <x:color rgb="FFE1E5EA"/>
      </x:left>
      <x:right style="thin">
        <x:color rgb="FFE1E5EA"/>
      </x:right>
      <x:top style="thin">
        <x:color rgb="FFBBC3CD"/>
      </x:top>
      <x:bottom/>
      <x:diagonal/>
    </x:border>
    <x:border>
      <x:left style="thin">
        <x:color rgb="FFE1E5EA"/>
      </x:left>
      <x:right style="thin">
        <x:color rgb="FFE1E5EA"/>
      </x:right>
      <x:top style="thin">
        <x:color rgb="FFBBC3CD"/>
      </x:top>
      <x:bottom/>
      <x:diagonal/>
    </x:border>
    <x:border>
      <x:left style="thin">
        <x:color rgb="FFBBC3CD"/>
      </x:left>
      <x:right style="thin">
        <x:color rgb="FFE1E5EA"/>
      </x:right>
      <x:top style="thin">
        <x:color rgb="FFBBC3CD"/>
      </x:top>
      <x:bottom style="thin">
        <x:color rgb="FFBBC3CD"/>
      </x:bottom>
      <x:diagonal/>
    </x:border>
    <x:border>
      <x:left style="thin">
        <x:color rgb="FFE1E5EA"/>
      </x:left>
      <x:right style="thin">
        <x:color rgb="FFE1E5EA"/>
      </x:right>
      <x:top style="thin">
        <x:color rgb="FFBBC3CD"/>
      </x:top>
      <x:bottom style="thin">
        <x:color rgb="FFBBC3CD"/>
      </x:bottom>
      <x:diagonal/>
    </x:border>
    <x:border>
      <x:left style="thin">
        <x:color rgb="FFBBC3CD"/>
      </x:left>
      <x:right style="thin">
        <x:color rgb="FFE1E5EA"/>
      </x:right>
      <x:top style="thin">
        <x:color rgb="FFBBC3CD"/>
      </x:top>
      <x:bottom/>
      <x:diagonal/>
    </x:border>
    <x:border>
      <x:left style="thin">
        <x:color rgb="FFE1E5EA"/>
      </x:left>
      <x:right style="thin">
        <x:color rgb="FFE1E5EA"/>
      </x:right>
      <x:top style="thin">
        <x:color rgb="FFBBC3CD"/>
      </x:top>
      <x:bottom/>
      <x:diagonal/>
    </x:border>
    <x:border>
      <x:left style="thin">
        <x:color rgb="FFE1E5EA"/>
      </x:left>
      <x:right style="thin">
        <x:color rgb="FFE1E5EA"/>
      </x:right>
      <x:top/>
      <x:bottom/>
      <x:diagonal/>
    </x:border>
    <x:border>
      <x:left style="thin">
        <x:color rgb="FFE1E5EA"/>
      </x:left>
      <x:right style="thin">
        <x:color rgb="FFE1E5EA"/>
      </x:right>
      <x:top style="thin">
        <x:color rgb="FFBBC3CD"/>
      </x:top>
      <x:bottom/>
      <x:diagonal/>
    </x:border>
    <x:border>
      <x:left style="thin">
        <x:color rgb="FFE1E5EA"/>
      </x:left>
      <x:right style="thin">
        <x:color rgb="FFE1E5EA"/>
      </x:right>
      <x:top/>
      <x:bottom/>
      <x:diagonal/>
    </x:border>
    <x:border>
      <x:left style="thin">
        <x:color rgb="FFE1E5EA"/>
      </x:left>
      <x:right style="thin">
        <x:color rgb="FFE1E5EA"/>
      </x:right>
      <x:top/>
      <x:bottom style="thin">
        <x:color rgb="FFBBC3CD"/>
      </x:bottom>
      <x:diagonal/>
    </x:border>
    <x:border>
      <x:left style="thin">
        <x:color rgb="FFE1E5EA"/>
      </x:left>
      <x:right style="thin">
        <x:color rgb="FFE1E5EA"/>
      </x:right>
      <x:top/>
      <x:bottom/>
      <x:diagonal/>
    </x:border>
    <x:border>
      <x:left style="thin">
        <x:color rgb="FFE1E5EA"/>
      </x:left>
      <x:right style="thin">
        <x:color rgb="FFE1E5EA"/>
      </x:right>
      <x:top/>
      <x:bottom style="thin">
        <x:color rgb="FFBBC3CD"/>
      </x:bottom>
      <x:diagonal/>
    </x:border>
    <x:border>
      <x:left style="thin">
        <x:color rgb="FFE1E5EA"/>
      </x:left>
      <x:right style="thin">
        <x:color rgb="FFE1E5EA"/>
      </x:right>
      <x:top style="thin">
        <x:color rgb="FFBBC3CD"/>
      </x:top>
      <x:bottom style="thin">
        <x:color rgb="FFBBC3CD"/>
      </x:bottom>
      <x:diagonal/>
    </x:border>
    <x:border>
      <x:left style="thin">
        <x:color rgb="FFE1E5EA"/>
      </x:left>
      <x:right style="thin">
        <x:color rgb="FFE1E5EA"/>
      </x:right>
      <x:top/>
      <x:bottom/>
      <x:diagonal/>
    </x:border>
    <x:border>
      <x:left style="thin">
        <x:color rgb="FFE1E5EA"/>
      </x:left>
      <x:right style="thin">
        <x:color rgb="FFBBC3CD"/>
      </x:right>
      <x:top/>
      <x:bottom/>
      <x:diagonal/>
    </x:border>
    <x:border>
      <x:left style="thin">
        <x:color rgb="FFE1E5EA"/>
      </x:left>
      <x:right style="thin">
        <x:color rgb="FFE1E5EA"/>
      </x:right>
      <x:top/>
      <x:bottom style="thin">
        <x:color rgb="FFBBC3CD"/>
      </x:bottom>
      <x:diagonal/>
    </x:border>
    <x:border>
      <x:left style="thin">
        <x:color rgb="FFE1E5EA"/>
      </x:left>
      <x:right style="thin">
        <x:color rgb="FFBBC3CD"/>
      </x:right>
      <x:top/>
      <x:bottom style="thin">
        <x:color rgb="FFBBC3CD"/>
      </x:bottom>
      <x:diagonal/>
    </x:border>
    <x:border>
      <x:left style="thin">
        <x:color rgb="FFBBC3CD"/>
      </x:left>
      <x:right style="thin">
        <x:color rgb="FFE1E5EA"/>
      </x:right>
      <x:top/>
      <x:bottom/>
      <x:diagonal/>
    </x:border>
    <x:border>
      <x:left style="thin">
        <x:color rgb="FFE1E5EA"/>
      </x:left>
      <x:right style="thin">
        <x:color rgb="FFE1E5EA"/>
      </x:right>
      <x:top/>
      <x:bottom/>
      <x:diagonal/>
    </x:border>
    <x:border>
      <x:left style="thin">
        <x:color rgb="FFE1E5EA"/>
      </x:left>
      <x:right style="thin">
        <x:color rgb="FFE1E5EA"/>
      </x:right>
      <x:top/>
      <x:bottom/>
      <x:diagonal/>
    </x:border>
    <x:border>
      <x:left style="thin">
        <x:color rgb="FFBBC3CD"/>
      </x:left>
      <x:right style="thin">
        <x:color rgb="FFE1E5EA"/>
      </x:right>
      <x:top/>
      <x:bottom style="thin">
        <x:color rgb="FFBBC3CD"/>
      </x:bottom>
      <x:diagonal/>
    </x:border>
    <x:border>
      <x:left style="thin">
        <x:color rgb="FFE1E5EA"/>
      </x:left>
      <x:right style="thin">
        <x:color rgb="FFE1E5EA"/>
      </x:right>
      <x:top/>
      <x:bottom style="thin">
        <x:color rgb="FFBBC3CD"/>
      </x:bottom>
      <x:diagonal/>
    </x:border>
    <x:border>
      <x:left style="thin">
        <x:color rgb="FFE1E5EA"/>
      </x:left>
      <x:right style="thin">
        <x:color rgb="FFE1E5EA"/>
      </x:right>
      <x:top/>
      <x:bottom style="thin">
        <x:color rgb="FFBBC3CD"/>
      </x:bottom>
      <x:diagonal/>
    </x:border>
    <x:border>
      <x:left/>
      <x:right style="thin">
        <x:color rgb="FFE1E5EA"/>
      </x:right>
      <x:top style="thin">
        <x:color rgb="FFBBC3CD"/>
      </x:top>
      <x:bottom/>
      <x:diagonal/>
    </x:border>
    <x:border>
      <x:left style="thin">
        <x:color rgb="FFE1E5EA"/>
      </x:left>
      <x:right style="thin">
        <x:color rgb="FFE1E5EA"/>
      </x:right>
      <x:top style="thin">
        <x:color rgb="FFBBC3CD"/>
      </x:top>
      <x:bottom/>
      <x:diagonal/>
    </x:border>
    <x:border>
      <x:left style="thin">
        <x:color rgb="FFE1E5EA"/>
      </x:left>
      <x:right style="thin">
        <x:color rgb="FFE1E5EA"/>
      </x:right>
      <x:top style="thin">
        <x:color rgb="FFBBC3CD"/>
      </x:top>
      <x:bottom style="thin">
        <x:color rgb="FFBBC3CD"/>
      </x:bottom>
      <x:diagonal/>
    </x:border>
    <x:border>
      <x:left style="thin">
        <x:color rgb="FFE1E5EA"/>
      </x:left>
      <x:right style="thin">
        <x:color rgb="FFE1E5EA"/>
      </x:right>
      <x:top style="thin">
        <x:color rgb="FFBBC3CD"/>
      </x:top>
      <x:bottom style="thin">
        <x:color rgb="FFBBC3CD"/>
      </x:bottom>
      <x:diagonal/>
    </x:border>
    <x:border>
      <x:left style="thin">
        <x:color rgb="FFE1E5EA"/>
      </x:left>
      <x:right style="thin">
        <x:color rgb="FFBBC3CD"/>
      </x:right>
      <x:top style="thin">
        <x:color rgb="FFBBC3CD"/>
      </x:top>
      <x:bottom style="thin">
        <x:color rgb="FFBBC3CD"/>
      </x:bottom>
      <x:diagonal/>
    </x:border>
    <x:border>
      <x:left style="thin">
        <x:color rgb="FFE1E5EA"/>
      </x:left>
      <x:right style="thin">
        <x:color rgb="FFE1E5EA"/>
      </x:right>
      <x:top/>
      <x:bottom/>
      <x:diagonal/>
    </x:border>
    <x:border>
      <x:left style="thin">
        <x:color rgb="FFE1E5EA"/>
      </x:left>
      <x:right style="thin">
        <x:color rgb="FFE1E5EA"/>
      </x:right>
      <x:top/>
      <x:bottom/>
      <x:diagonal/>
    </x:border>
    <x:border>
      <x:left style="thin">
        <x:color rgb="FFE1E5EA"/>
      </x:left>
      <x:right style="thin">
        <x:color rgb="FFE1E5EA"/>
      </x:right>
      <x:top/>
      <x:bottom/>
      <x:diagonal/>
    </x:border>
    <x:border>
      <x:left style="thin">
        <x:color rgb="FFE1E5EA"/>
      </x:left>
      <x:right style="thin">
        <x:color rgb="FFBBC3CD"/>
      </x:right>
      <x:top/>
      <x:bottom/>
      <x:diagonal/>
    </x:border>
    <x:border>
      <x:left style="thin">
        <x:color rgb="FFE1E5EA"/>
      </x:left>
      <x:right style="thin">
        <x:color rgb="FFBBC3CD"/>
      </x:right>
      <x:top/>
      <x:bottom/>
      <x:diagonal/>
    </x:border>
    <x:border>
      <x:left style="thin">
        <x:color rgb="FFBBC3CD"/>
      </x:left>
      <x:right style="thin">
        <x:color rgb="FFE1E5EA"/>
      </x:right>
      <x:top/>
      <x:bottom/>
      <x:diagonal/>
    </x:border>
    <x:border>
      <x:left style="thin">
        <x:color rgb="FFE1E5EA"/>
      </x:left>
      <x:right style="thin">
        <x:color rgb="FFE1E5EA"/>
      </x:right>
      <x:top/>
      <x:bottom/>
      <x:diagonal/>
    </x:border>
    <x:border>
      <x:left style="thin">
        <x:color rgb="FFE1E5EA"/>
      </x:left>
      <x:right style="thin">
        <x:color rgb="FFE1E5EA"/>
      </x:right>
      <x:top/>
      <x:bottom/>
      <x:diagonal/>
    </x:border>
    <x:border>
      <x:left style="thin">
        <x:color rgb="FFE1E5EA"/>
      </x:left>
      <x:right style="thin">
        <x:color rgb="FFBBC3CD"/>
      </x:right>
      <x:top/>
      <x:bottom/>
      <x:diagonal/>
    </x:border>
    <x:border>
      <x:left style="thin">
        <x:color rgb="FFBBC3CD"/>
      </x:left>
      <x:right style="thin">
        <x:color rgb="FFE1E5EA"/>
      </x:right>
      <x:top style="thin">
        <x:color rgb="FFBBC3CD"/>
      </x:top>
      <x:bottom/>
      <x:diagonal/>
    </x:border>
    <x:border>
      <x:left style="thin">
        <x:color rgb="FFE1E5EA"/>
      </x:left>
      <x:right style="thin">
        <x:color rgb="FFE1E5EA"/>
      </x:right>
      <x:top style="thin">
        <x:color rgb="FFBBC3CD"/>
      </x:top>
      <x:bottom/>
      <x:diagonal/>
    </x:border>
    <x:border>
      <x:left style="thin">
        <x:color rgb="FFE1E5EA"/>
      </x:left>
      <x:right style="thin">
        <x:color rgb="FFE1E5EA"/>
      </x:right>
      <x:top style="thin">
        <x:color rgb="FFBBC3CD"/>
      </x:top>
      <x:bottom/>
      <x:diagonal/>
    </x:border>
    <x:border>
      <x:left style="thin">
        <x:color rgb="FFE1E5EA"/>
      </x:left>
      <x:right style="thin">
        <x:color rgb="FFE1E5EA"/>
      </x:right>
      <x:top/>
      <x:bottom/>
      <x:diagonal/>
    </x:border>
    <x:border>
      <x:left style="thin">
        <x:color rgb="FFE1E5EA"/>
      </x:left>
      <x:right style="thin">
        <x:color rgb="FFE1E5EA"/>
      </x:right>
      <x:top/>
      <x:bottom/>
      <x:diagonal/>
    </x:border>
    <x:border>
      <x:left style="thin">
        <x:color rgb="FFE1E5EA"/>
      </x:left>
      <x:right style="thin">
        <x:color rgb="FFE1E5EA"/>
      </x:right>
      <x:top style="thin">
        <x:color rgb="FFBBC3CD"/>
      </x:top>
      <x:bottom/>
      <x:diagonal/>
    </x:border>
    <x:border>
      <x:left style="thin">
        <x:color rgb="FFE1E5EA"/>
      </x:left>
      <x:right style="thin">
        <x:color rgb="FFE1E5EA"/>
      </x:right>
      <x:top/>
      <x:bottom style="thin">
        <x:color rgb="FFBBC3CD"/>
      </x:bottom>
      <x:diagonal/>
    </x:border>
    <x:border>
      <x:left style="thin">
        <x:color rgb="FFE1E5EA"/>
      </x:left>
      <x:right style="thin">
        <x:color rgb="FFE1E5EA"/>
      </x:right>
      <x:top/>
      <x:bottom style="thin">
        <x:color rgb="FFBBC3CD"/>
      </x:bottom>
      <x:diagonal/>
    </x:border>
    <x:border>
      <x:left style="thin">
        <x:color rgb="FFE1E5EA"/>
      </x:left>
      <x:right style="thin">
        <x:color rgb="FFE1E5EA"/>
      </x:right>
      <x:top/>
      <x:bottom style="thin">
        <x:color rgb="FFBBC3CD"/>
      </x:bottom>
      <x:diagonal/>
    </x:border>
    <x:border>
      <x:left style="thin">
        <x:color rgb="FFE1E5EA"/>
      </x:left>
      <x:right style="thin">
        <x:color rgb="FFBBC3CD"/>
      </x:right>
      <x:top/>
      <x:bottom style="thin">
        <x:color rgb="FFBBC3CD"/>
      </x:bottom>
      <x:diagonal/>
    </x:border>
    <x:border>
      <x:left style="thin">
        <x:color rgb="FFBBC3CD"/>
      </x:left>
      <x:right style="thin">
        <x:color rgb="FFE1E5EA"/>
      </x:right>
      <x:top style="thin">
        <x:color rgb="FFBBC3CD"/>
      </x:top>
      <x:bottom style="thin">
        <x:color rgb="FFBBC3CD"/>
      </x:bottom>
      <x:diagonal/>
    </x:border>
    <x:border>
      <x:left style="thin">
        <x:color rgb="FFE1E5EA"/>
      </x:left>
      <x:right style="thin">
        <x:color rgb="FFE1E5EA"/>
      </x:right>
      <x:top style="thin">
        <x:color rgb="FFBBC3CD"/>
      </x:top>
      <x:bottom style="thin">
        <x:color rgb="FFBBC3CD"/>
      </x:bottom>
      <x:diagonal/>
    </x:border>
    <x:border>
      <x:left style="thin">
        <x:color rgb="FFBBC3CD"/>
      </x:left>
      <x:right style="thin">
        <x:color rgb="FFE1E5EA"/>
      </x:right>
      <x:top style="thin">
        <x:color rgb="FFBBC3CD"/>
      </x:top>
      <x:bottom/>
      <x:diagonal/>
    </x:border>
    <x:border>
      <x:left style="thin">
        <x:color rgb="FFE1E5EA"/>
      </x:left>
      <x:right style="thin">
        <x:color rgb="FFE1E5EA"/>
      </x:right>
      <x:top/>
      <x:bottom/>
      <x:diagonal/>
    </x:border>
    <x:border>
      <x:left style="thin">
        <x:color rgb="FFE1E5EA"/>
      </x:left>
      <x:right style="thin">
        <x:color rgb="FFE1E5EA"/>
      </x:right>
      <x:top/>
      <x:bottom style="thin">
        <x:color rgb="FFBBC3CD"/>
      </x:bottom>
      <x:diagonal/>
    </x:border>
    <x:border>
      <x:left/>
      <x:right style="thin">
        <x:color rgb="FFE1E5EA"/>
      </x:right>
      <x:top/>
      <x:bottom/>
      <x:diagonal/>
    </x:border>
    <x:border>
      <x:left style="thin">
        <x:color rgb="FFE1E5EA"/>
      </x:left>
      <x:right style="thin">
        <x:color rgb="FFE1E5EA"/>
      </x:right>
      <x:top style="thin">
        <x:color rgb="FFBBC3CD"/>
      </x:top>
      <x:bottom style="thin">
        <x:color rgb="FFBBC3CD"/>
      </x:bottom>
      <x:diagonal/>
    </x:border>
    <x:border>
      <x:left/>
      <x:right style="thin">
        <x:color rgb="FFE1E5EA"/>
      </x:right>
      <x:top/>
      <x:bottom/>
      <x:diagonal/>
    </x:border>
    <x:border>
      <x:left/>
      <x:right style="thin">
        <x:color rgb="FFE1E5EA"/>
      </x:right>
      <x:top/>
      <x:bottom/>
      <x:diagonal/>
    </x:border>
    <x:border>
      <x:left style="thin">
        <x:color rgb="FFE1E5EA"/>
      </x:left>
      <x:right style="thin">
        <x:color rgb="FFE1E5EA"/>
      </x:right>
      <x:top/>
      <x:bottom/>
      <x:diagonal/>
    </x:border>
    <x:border>
      <x:left style="thin">
        <x:color rgb="FFE1E5EA"/>
      </x:left>
      <x:right style="thin">
        <x:color rgb="FFE1E5EA"/>
      </x:right>
      <x:top/>
      <x:bottom/>
      <x:diagonal/>
    </x:border>
    <x:border>
      <x:left style="thin">
        <x:color rgb="FFE1E5EA"/>
      </x:left>
      <x:right style="thin">
        <x:color rgb="FFE1E5EA"/>
      </x:right>
      <x:top/>
      <x:bottom/>
      <x:diagonal/>
    </x:border>
    <x:border>
      <x:left/>
      <x:right style="thin">
        <x:color rgb="FFE1E5EA"/>
      </x:right>
      <x:top/>
      <x:bottom/>
      <x:diagonal/>
    </x:border>
    <x:border>
      <x:left style="thin">
        <x:color rgb="FFE1E5EA"/>
      </x:left>
      <x:right style="thin">
        <x:color rgb="FFE1E5EA"/>
      </x:right>
      <x:top/>
      <x:bottom/>
      <x:diagonal/>
    </x:border>
    <x:border>
      <x:left style="thin">
        <x:color rgb="FFE1E5EA"/>
      </x:left>
      <x:right style="thin">
        <x:color rgb="FFE1E5EA"/>
      </x:right>
      <x:top/>
      <x:bottom/>
      <x:diagonal/>
    </x:border>
    <x:border>
      <x:left style="thin">
        <x:color rgb="FFE1E5EA"/>
      </x:left>
      <x:right/>
      <x:top/>
      <x:bottom/>
      <x:diagonal/>
    </x:border>
    <x:border>
      <x:left style="thin">
        <x:color rgb="FFE1E5EA"/>
      </x:left>
      <x:right/>
      <x:top/>
      <x:bottom/>
      <x:diagonal/>
    </x:border>
    <x:border>
      <x:left style="thin">
        <x:color rgb="FFE1E5EA"/>
      </x:left>
      <x:right style="thin">
        <x:color rgb="FFE1E5EA"/>
      </x:right>
      <x:top/>
      <x:bottom/>
      <x:diagonal/>
    </x:border>
    <x:border>
      <x:left style="thin">
        <x:color rgb="FFE1E5EA"/>
      </x:left>
      <x:right style="thin">
        <x:color rgb="FFE1E5EA"/>
      </x:right>
      <x:top/>
      <x:bottom/>
      <x:diagonal/>
    </x:border>
    <x:border>
      <x:left style="thin">
        <x:color rgb="FFE1E5EA"/>
      </x:left>
      <x:right style="thin">
        <x:color rgb="FFE1E5EA"/>
      </x:right>
      <x:top/>
      <x:bottom/>
      <x:diagonal/>
    </x:border>
    <x:border>
      <x:left style="thin">
        <x:color rgb="FFE1E5EA"/>
      </x:left>
      <x:right style="thin">
        <x:color rgb="FFBBC3CD"/>
      </x:right>
      <x:top/>
      <x:bottom/>
      <x:diagonal/>
    </x:border>
    <x:border>
      <x:left style="thin">
        <x:color rgb="FFE1E5EA"/>
      </x:left>
      <x:right style="thin">
        <x:color rgb="FFE1E5EA"/>
      </x:right>
      <x:top/>
      <x:bottom/>
      <x:diagonal/>
    </x:border>
    <x:border>
      <x:left style="thin">
        <x:color rgb="FFE1E5EA"/>
      </x:left>
      <x:right style="thin">
        <x:color rgb="FFE1E5EA"/>
      </x:right>
      <x:top/>
      <x:bottom/>
      <x:diagonal/>
    </x:border>
    <x:border>
      <x:left style="thin">
        <x:color rgb="FFE1E5EA"/>
      </x:left>
      <x:right style="thin">
        <x:color rgb="FFE1E5EA"/>
      </x:right>
      <x:top/>
      <x:bottom/>
      <x:diagonal/>
    </x:border>
    <x:border>
      <x:left style="thin">
        <x:color rgb="FFE1E5EA"/>
      </x:left>
      <x:right style="thin">
        <x:color rgb="FFE1E5EA"/>
      </x:right>
      <x:top/>
      <x:bottom style="thin">
        <x:color rgb="FFBBC3CD"/>
      </x:bottom>
      <x:diagonal/>
    </x:border>
    <x:border>
      <x:left style="thin">
        <x:color rgb="FFE1E5EA"/>
      </x:left>
      <x:right style="thin">
        <x:color rgb="FFE1E5EA"/>
      </x:right>
      <x:top/>
      <x:bottom style="thin">
        <x:color rgb="FFBBC3CD"/>
      </x:bottom>
      <x:diagonal/>
    </x:border>
    <x:border>
      <x:left style="thin">
        <x:color rgb="FFE1E5EA"/>
      </x:left>
      <x:right style="thin">
        <x:color rgb="FFBBC3CD"/>
      </x:right>
      <x:top/>
      <x:bottom style="thin">
        <x:color rgb="FFBBC3CD"/>
      </x:bottom>
      <x:diagonal/>
    </x:border>
    <x:border>
      <x:left style="thin">
        <x:color rgb="FFE1E5EA"/>
      </x:left>
      <x:right style="thin">
        <x:color rgb="FFE1E5EA"/>
      </x:right>
      <x:top style="thin">
        <x:color rgb="FFBBC3CD"/>
      </x:top>
      <x:bottom style="thin">
        <x:color rgb="FFBBC3CD"/>
      </x:bottom>
      <x:diagonal/>
    </x:border>
    <x:border>
      <x:left style="thin">
        <x:color rgb="FFE1E5EA"/>
      </x:left>
      <x:right style="thin">
        <x:color rgb="FFE1E5EA"/>
      </x:right>
      <x:top/>
      <x:bottom/>
      <x:diagonal/>
    </x:border>
    <x:border>
      <x:left style="thin">
        <x:color rgb="FFE1E5EA"/>
      </x:left>
      <x:right style="thin">
        <x:color rgb="FFE1E5EA"/>
      </x:right>
      <x:top/>
      <x:bottom/>
      <x:diagonal/>
    </x:border>
    <x:border>
      <x:left style="thin">
        <x:color rgb="FFE1E5EA"/>
      </x:left>
      <x:right style="thin">
        <x:color rgb="FFE1E5EA"/>
      </x:right>
      <x:top/>
      <x:bottom style="thin">
        <x:color rgb="FFBBC3CD"/>
      </x:bottom>
      <x:diagonal/>
    </x:border>
    <x:border>
      <x:left style="thin">
        <x:color rgb="FFE1E5EA"/>
      </x:left>
      <x:right style="thin">
        <x:color rgb="FFE1E5EA"/>
      </x:right>
      <x:top/>
      <x:bottom style="thin">
        <x:color rgb="FFBBC3CD"/>
      </x:bottom>
      <x:diagonal/>
    </x:border>
    <x:border>
      <x:left style="thin">
        <x:color rgb="FFE1E5EA"/>
      </x:left>
      <x:right style="thin">
        <x:color rgb="FFE1E5EA"/>
      </x:right>
      <x:top/>
      <x:bottom style="thin">
        <x:color rgb="FFBBC3CD"/>
      </x:bottom>
      <x:diagonal/>
    </x:border>
    <x:border>
      <x:left style="thin">
        <x:color rgb="FFE1E5EA"/>
      </x:left>
      <x:right style="thin">
        <x:color rgb="FFE1E5EA"/>
      </x:right>
      <x:top/>
      <x:bottom/>
      <x:diagonal/>
    </x:border>
    <x:border>
      <x:left style="thin">
        <x:color rgb="FFE1E5EA"/>
      </x:left>
      <x:right style="thin">
        <x:color rgb="FFE1E5EA"/>
      </x:right>
      <x:top/>
      <x:bottom/>
      <x:diagonal/>
    </x:border>
    <x:border>
      <x:left style="thin">
        <x:color rgb="FFE1E5EA"/>
      </x:left>
      <x:right style="thin">
        <x:color rgb="FFE1E5EA"/>
      </x:right>
      <x:top/>
      <x:bottom style="thin">
        <x:color rgb="FFBBC3CD"/>
      </x:bottom>
      <x:diagonal/>
    </x:border>
    <x:border>
      <x:left style="thin">
        <x:color rgb="FFE1E5EA"/>
      </x:left>
      <x:right style="thin">
        <x:color rgb="FFE1E5EA"/>
      </x:right>
      <x:top/>
      <x:bottom style="thin">
        <x:color rgb="FFBBC3CD"/>
      </x:bottom>
      <x:diagonal/>
    </x:border>
    <x:border>
      <x:left style="thin">
        <x:color rgb="FFE1E5EA"/>
      </x:left>
      <x:right style="thin">
        <x:color rgb="FFE1E5EA"/>
      </x:right>
      <x:top/>
      <x:bottom/>
      <x:diagonal/>
    </x:border>
    <x:border>
      <x:left style="thin">
        <x:color rgb="FFBBC3CD"/>
      </x:left>
      <x:right style="thin">
        <x:color rgb="FFE1E5EA"/>
      </x:right>
      <x:top style="thin">
        <x:color rgb="FFBBC3CD"/>
      </x:top>
      <x:bottom style="thin">
        <x:color rgb="FFBBC3CD"/>
      </x:bottom>
      <x:diagonal/>
    </x:border>
    <x:border>
      <x:left style="thin">
        <x:color rgb="FFE1E5EA"/>
      </x:left>
      <x:right style="thin">
        <x:color rgb="FFE1E5EA"/>
      </x:right>
      <x:top style="thin">
        <x:color rgb="FFBBC3CD"/>
      </x:top>
      <x:bottom style="thin">
        <x:color rgb="FFBBC3CD"/>
      </x:bottom>
      <x:diagonal/>
    </x:border>
    <x:border>
      <x:left style="thin">
        <x:color rgb="FFE1E5EA"/>
      </x:left>
      <x:right style="thin">
        <x:color rgb="FFBBC3CD"/>
      </x:right>
      <x:top style="thin">
        <x:color rgb="FFBBC3CD"/>
      </x:top>
      <x:bottom style="thin">
        <x:color rgb="FFBBC3CD"/>
      </x:bottom>
      <x:diagonal/>
    </x:border>
  </x:borders>
  <x:cellStyleXfs count="1">
    <x:xf numFmtId="0" fontId="0" fillId="0" borderId="0"/>
  </x:cellStyleXfs>
  <x:cellXfs count="502">
    <x:xf numFmtId="0" fontId="0" fillId="0" borderId="0" xfId="0"/>
    <x:xf numFmtId="0" fontId="1" fillId="0" borderId="0" xfId="0" applyNumberFormat="1" applyFont="1" applyFill="1" applyBorder="1"/>
    <x:xf numFmtId="0" fontId="2" fillId="0" borderId="0" xfId="0" applyNumberFormat="1" applyFont="1" applyFill="1" applyBorder="1"/>
    <x:xf numFmtId="0" fontId="2" fillId="0" borderId="0" xfId="0" applyNumberFormat="1" applyFont="1" applyFill="1" applyBorder="1" applyAlignment="1">
      <x:alignment vertical="top"/>
    </x:xf>
    <x:xf numFmtId="0" fontId="2" fillId="0" borderId="0" xfId="0" applyNumberFormat="1" applyFont="1" applyFill="1" applyBorder="1" applyAlignment="1">
      <x:alignment vertical="top" wrapText="1"/>
    </x:xf>
    <x:xf numFmtId="0" fontId="3" fillId="0" borderId="0" xfId="0" applyNumberFormat="1" applyFont="1" applyFill="1" applyBorder="1" applyAlignment="1">
      <x:alignment vertical="top" wrapText="1"/>
    </x:xf>
    <x:xf numFmtId="0" fontId="4" fillId="0" borderId="0" xfId="0" applyNumberFormat="1" applyFont="1" applyFill="1" applyBorder="1" applyAlignment="1">
      <x:alignment vertical="top" wrapText="1"/>
    </x:xf>
    <x:xf numFmtId="0" fontId="4" fillId="0" borderId="0" xfId="0" applyNumberFormat="1" applyFont="1" applyFill="1" applyBorder="1" applyAlignment="1">
      <x:alignment vertical="top" wrapText="0"/>
    </x:xf>
    <x:xf numFmtId="0" fontId="2" fillId="0" borderId="0" xfId="0" applyNumberFormat="1" applyFont="1" applyFill="1" applyBorder="1" applyAlignment="1">
      <x:alignment vertical="top" wrapText="0"/>
    </x:xf>
    <x:xf numFmtId="0" fontId="2" fillId="2" borderId="0" xfId="0" applyNumberFormat="1" applyFont="1" applyFill="1" applyBorder="1" applyAlignment="1">
      <x:alignment vertical="top" wrapText="1"/>
    </x:xf>
    <x:xf numFmtId="0" fontId="3" fillId="2" borderId="0" xfId="0" applyNumberFormat="1" applyFont="1" applyFill="1" applyBorder="1" applyAlignment="1">
      <x:alignment vertical="top" wrapText="1"/>
    </x:xf>
    <x:xf numFmtId="0" fontId="3" fillId="2" borderId="0" xfId="0" applyNumberFormat="1" applyFont="1" applyFill="1" applyBorder="1" applyAlignment="1">
      <x:alignment horizontal="center" vertical="top" wrapText="1"/>
    </x:xf>
    <x:xf numFmtId="0" fontId="3" fillId="2" borderId="1" xfId="0" applyNumberFormat="1" applyFont="1" applyFill="1" applyBorder="1" applyAlignment="1">
      <x:alignment horizontal="center" vertical="top" wrapText="1"/>
    </x:xf>
    <x:xf numFmtId="0" fontId="3" fillId="2" borderId="2" xfId="0" applyNumberFormat="1" applyFont="1" applyFill="1" applyBorder="1" applyAlignment="1">
      <x:alignment horizontal="center" vertical="top" wrapText="1"/>
    </x:xf>
    <x:xf numFmtId="0" fontId="3" fillId="2" borderId="3" xfId="0" applyNumberFormat="1" applyFont="1" applyFill="1" applyBorder="1" applyAlignment="1">
      <x:alignment horizontal="center" vertical="top" wrapText="1"/>
    </x:xf>
    <x:xf numFmtId="0" fontId="3" fillId="0" borderId="4" xfId="0" applyNumberFormat="1" applyFont="1" applyFill="1" applyBorder="1" applyAlignment="1">
      <x:alignment vertical="top" wrapText="1"/>
    </x:xf>
    <x:xf numFmtId="0" fontId="2" fillId="0" borderId="5" xfId="0" applyNumberFormat="1" applyFont="1" applyFill="1" applyBorder="1" applyAlignment="1">
      <x:alignment vertical="top" wrapText="1"/>
    </x:xf>
    <x:xf numFmtId="0" fontId="3" fillId="0" borderId="6" xfId="0" applyNumberFormat="1" applyFont="1" applyFill="1" applyBorder="1" applyAlignment="1">
      <x:alignment vertical="top" wrapText="1"/>
    </x:xf>
    <x:xf numFmtId="0" fontId="2" fillId="0" borderId="7" xfId="0" applyNumberFormat="1" applyFont="1" applyFill="1" applyBorder="1" applyAlignment="1">
      <x:alignment vertical="top" wrapText="1"/>
    </x:xf>
    <x:xf numFmtId="200" fontId="2" fillId="0" borderId="0" xfId="0" applyNumberFormat="1" applyFont="1" applyFill="1" applyBorder="1" applyAlignment="1">
      <x:alignment vertical="top" wrapText="1"/>
    </x:xf>
    <x:xf numFmtId="0" fontId="5" fillId="0" borderId="0" xfId="0" applyNumberFormat="1" applyFont="1" applyFill="1" applyBorder="1" applyAlignment="1">
      <x:alignment vertical="top" wrapText="1"/>
    </x:xf>
    <x:xf numFmtId="200" fontId="5" fillId="0" borderId="0" xfId="0" applyNumberFormat="1" applyFont="1" applyFill="1" applyBorder="1" applyAlignment="1">
      <x:alignment vertical="top" wrapText="1"/>
    </x:xf>
    <x:xf numFmtId="200" fontId="6" fillId="0" borderId="0" xfId="0" applyNumberFormat="1" applyFont="1" applyFill="1" applyBorder="1" applyAlignment="1">
      <x:alignment vertical="top" wrapText="1"/>
    </x:xf>
    <x:xf numFmtId="0" fontId="5" fillId="0" borderId="4" xfId="0" applyNumberFormat="1" applyFont="1" applyFill="1" applyBorder="1" applyAlignment="1">
      <x:alignment vertical="top" wrapText="1"/>
    </x:xf>
    <x:xf numFmtId="200" fontId="6" fillId="0" borderId="5" xfId="0" applyNumberFormat="1" applyFont="1" applyFill="1" applyBorder="1" applyAlignment="1">
      <x:alignment vertical="top" wrapText="1"/>
    </x:xf>
    <x:xf numFmtId="0" fontId="2" fillId="0" borderId="4" xfId="0" applyNumberFormat="1" applyFont="1" applyFill="1" applyBorder="1" applyAlignment="1">
      <x:alignment vertical="top" wrapText="1"/>
    </x:xf>
    <x:xf numFmtId="0" fontId="2" fillId="0" borderId="6" xfId="0" applyNumberFormat="1" applyFont="1" applyFill="1" applyBorder="1" applyAlignment="1">
      <x:alignment vertical="top" wrapText="1"/>
    </x:xf>
    <x:xf numFmtId="201" fontId="0" fillId="0" borderId="0" xfId="0" applyNumberFormat="1" applyFont="1" applyFill="1" applyBorder="1"/>
    <x:xf numFmtId="202" fontId="0" fillId="0" borderId="0" xfId="0" applyNumberFormat="1" applyFont="1" applyFill="1" applyBorder="1"/>
    <x:xf numFmtId="201" fontId="7" fillId="0" borderId="0" xfId="0" applyNumberFormat="1" applyFont="1" applyFill="1" applyBorder="1"/>
    <x:xf numFmtId="202" fontId="7" fillId="0" borderId="0" xfId="0" applyNumberFormat="1" applyFont="1" applyFill="1" applyBorder="1"/>
    <x:xf numFmtId="203" fontId="0" fillId="0" borderId="0" xfId="0" applyNumberFormat="1" applyFont="1" applyFill="1" applyBorder="1"/>
    <x:xf numFmtId="0" fontId="8" fillId="0" borderId="0" xfId="0" applyNumberFormat="1" applyFont="1" applyFill="1" applyBorder="1"/>
    <x:xf numFmtId="204" fontId="0" fillId="0" borderId="0" xfId="0" applyNumberFormat="1" applyFont="1" applyFill="1" applyBorder="1"/>
    <x:xf numFmtId="205" fontId="0" fillId="0" borderId="0" xfId="0" applyNumberFormat="1" applyFont="1" applyFill="1" applyBorder="1"/>
    <x:xf numFmtId="202" fontId="8" fillId="0" borderId="0" xfId="0" applyNumberFormat="1" applyFont="1" applyFill="1" applyBorder="1"/>
    <x:xf numFmtId="203" fontId="1" fillId="0" borderId="0" xfId="0" applyNumberFormat="1" applyFont="1" applyFill="1" applyBorder="1"/>
    <x:xf numFmtId="203" fontId="2" fillId="0" borderId="0" xfId="0" applyNumberFormat="1" applyFont="1" applyFill="1" applyBorder="1"/>
    <x:xf numFmtId="0" fontId="2" fillId="0" borderId="0" xfId="0" applyNumberFormat="1" applyFont="1" applyFill="1" applyBorder="1" applyAlignment="1">
      <x:alignment vertical="center"/>
    </x:xf>
    <x:xf numFmtId="203" fontId="2" fillId="0" borderId="0" xfId="0" applyNumberFormat="1" applyFont="1" applyFill="1" applyBorder="1" applyAlignment="1">
      <x:alignment vertical="center"/>
    </x:xf>
    <x:xf numFmtId="0" fontId="2" fillId="0" borderId="0" xfId="0" applyNumberFormat="1" applyFont="1" applyFill="1" applyBorder="1" applyAlignment="1">
      <x:alignment vertical="center" wrapText="0"/>
    </x:xf>
    <x:xf numFmtId="203" fontId="2" fillId="0" borderId="0" xfId="0" applyNumberFormat="1" applyFont="1" applyFill="1" applyBorder="1" applyAlignment="1">
      <x:alignment vertical="center" wrapText="0"/>
    </x:xf>
    <x:xf numFmtId="0" fontId="9" fillId="0" borderId="0" xfId="0" applyNumberFormat="1" applyFont="1" applyFill="1" applyBorder="1"/>
    <x:xf numFmtId="205" fontId="1" fillId="0" borderId="0" xfId="0" applyNumberFormat="1" applyFont="1" applyFill="1" applyBorder="1"/>
    <x:xf numFmtId="204" fontId="1" fillId="0" borderId="0" xfId="0" applyNumberFormat="1" applyFont="1" applyFill="1" applyBorder="1"/>
    <x:xf numFmtId="201" fontId="1" fillId="0" borderId="0" xfId="0" applyNumberFormat="1" applyFont="1" applyFill="1" applyBorder="1"/>
    <x:xf numFmtId="0" fontId="10" fillId="0" borderId="0" xfId="0" applyNumberFormat="1" applyFont="1" applyFill="1" applyBorder="1"/>
    <x:xf numFmtId="205" fontId="2" fillId="0" borderId="0" xfId="0" applyNumberFormat="1" applyFont="1" applyFill="1" applyBorder="1"/>
    <x:xf numFmtId="204" fontId="2" fillId="0" borderId="0" xfId="0" applyNumberFormat="1" applyFont="1" applyFill="1" applyBorder="1"/>
    <x:xf numFmtId="201" fontId="2" fillId="0" borderId="0" xfId="0" applyNumberFormat="1" applyFont="1" applyFill="1" applyBorder="1"/>
    <x:xf numFmtId="0" fontId="10" fillId="0" borderId="0" xfId="0" applyNumberFormat="1" applyFont="1" applyFill="1" applyBorder="1" applyAlignment="1">
      <x:alignment vertical="center"/>
    </x:xf>
    <x:xf numFmtId="205" fontId="2" fillId="0" borderId="0" xfId="0" applyNumberFormat="1" applyFont="1" applyFill="1" applyBorder="1" applyAlignment="1">
      <x:alignment vertical="center"/>
    </x:xf>
    <x:xf numFmtId="204" fontId="2" fillId="0" borderId="0" xfId="0" applyNumberFormat="1" applyFont="1" applyFill="1" applyBorder="1" applyAlignment="1">
      <x:alignment vertical="center"/>
    </x:xf>
    <x:xf numFmtId="201" fontId="2" fillId="0" borderId="0" xfId="0" applyNumberFormat="1" applyFont="1" applyFill="1" applyBorder="1" applyAlignment="1">
      <x:alignment vertical="center"/>
    </x:xf>
    <x:xf numFmtId="0" fontId="10" fillId="0" borderId="0" xfId="0" applyNumberFormat="1" applyFont="1" applyFill="1" applyBorder="1" applyAlignment="1">
      <x:alignment vertical="center" wrapText="0"/>
    </x:xf>
    <x:xf numFmtId="205" fontId="2" fillId="0" borderId="0" xfId="0" applyNumberFormat="1" applyFont="1" applyFill="1" applyBorder="1" applyAlignment="1">
      <x:alignment vertical="center" wrapText="0"/>
    </x:xf>
    <x:xf numFmtId="204" fontId="2" fillId="0" borderId="0" xfId="0" applyNumberFormat="1" applyFont="1" applyFill="1" applyBorder="1" applyAlignment="1">
      <x:alignment vertical="center" wrapText="0"/>
    </x:xf>
    <x:xf numFmtId="201" fontId="2" fillId="0" borderId="0" xfId="0" applyNumberFormat="1" applyFont="1" applyFill="1" applyBorder="1" applyAlignment="1">
      <x:alignment vertical="center" wrapText="0"/>
    </x:xf>
    <x:xf numFmtId="202" fontId="9" fillId="0" borderId="0" xfId="0" applyNumberFormat="1" applyFont="1" applyFill="1" applyBorder="1"/>
    <x:xf numFmtId="202" fontId="10" fillId="0" borderId="0" xfId="0" applyNumberFormat="1" applyFont="1" applyFill="1" applyBorder="1"/>
    <x:xf numFmtId="202" fontId="10" fillId="0" borderId="0" xfId="0" applyNumberFormat="1" applyFont="1" applyFill="1" applyBorder="1" applyAlignment="1">
      <x:alignment vertical="center"/>
    </x:xf>
    <x:xf numFmtId="202" fontId="10" fillId="0" borderId="0" xfId="0" applyNumberFormat="1" applyFont="1" applyFill="1" applyBorder="1" applyAlignment="1">
      <x:alignment vertical="center" wrapText="0"/>
    </x:xf>
    <x:xf numFmtId="201" fontId="11" fillId="0" borderId="0" xfId="0" applyNumberFormat="1" applyFont="1" applyFill="1" applyBorder="1"/>
    <x:xf numFmtId="202" fontId="11" fillId="0" borderId="0" xfId="0" applyNumberFormat="1" applyFont="1" applyFill="1" applyBorder="1"/>
    <x:xf numFmtId="201" fontId="12" fillId="0" borderId="0" xfId="0" applyNumberFormat="1" applyFont="1" applyFill="1" applyBorder="1"/>
    <x:xf numFmtId="202" fontId="12" fillId="0" borderId="0" xfId="0" applyNumberFormat="1" applyFont="1" applyFill="1" applyBorder="1"/>
    <x:xf numFmtId="201" fontId="12" fillId="0" borderId="0" xfId="0" applyNumberFormat="1" applyFont="1" applyFill="1" applyBorder="1" applyAlignment="1">
      <x:alignment vertical="center"/>
    </x:xf>
    <x:xf numFmtId="202" fontId="12" fillId="0" borderId="0" xfId="0" applyNumberFormat="1" applyFont="1" applyFill="1" applyBorder="1" applyAlignment="1">
      <x:alignment vertical="center"/>
    </x:xf>
    <x:xf numFmtId="201" fontId="12" fillId="0" borderId="0" xfId="0" applyNumberFormat="1" applyFont="1" applyFill="1" applyBorder="1" applyAlignment="1">
      <x:alignment vertical="center" wrapText="0"/>
    </x:xf>
    <x:xf numFmtId="202" fontId="12" fillId="0" borderId="0" xfId="0" applyNumberFormat="1" applyFont="1" applyFill="1" applyBorder="1" applyAlignment="1">
      <x:alignment vertical="center" wrapText="0"/>
    </x:xf>
    <x:xf numFmtId="0" fontId="3" fillId="0" borderId="0" xfId="0" applyNumberFormat="1" applyFont="1" applyFill="1" applyBorder="1" applyAlignment="1">
      <x:alignment vertical="center" wrapText="0"/>
    </x:xf>
    <x:xf numFmtId="0" fontId="4" fillId="0" borderId="0" xfId="0" applyNumberFormat="1" applyFont="1" applyFill="1" applyBorder="1" applyAlignment="1">
      <x:alignment vertical="center" wrapText="0"/>
    </x:xf>
    <x:xf numFmtId="0" fontId="5" fillId="0" borderId="0" xfId="0" applyNumberFormat="1" applyFont="1" applyFill="1" applyBorder="1" applyAlignment="1">
      <x:alignment vertical="center" wrapText="0"/>
    </x:xf>
    <x:xf numFmtId="201" fontId="10" fillId="0" borderId="0" xfId="0" applyNumberFormat="1" applyFont="1" applyFill="1" applyBorder="1" applyAlignment="1">
      <x:alignment vertical="center" wrapText="0"/>
    </x:xf>
    <x:xf numFmtId="0" fontId="2" fillId="0" borderId="0" xfId="0" applyNumberFormat="1" applyFont="1" applyFill="1" applyBorder="1" applyAlignment="1">
      <x:alignment vertical="center" wrapText="1"/>
    </x:xf>
    <x:xf numFmtId="201" fontId="2" fillId="0" borderId="0" xfId="0" applyNumberFormat="1" applyFont="1" applyFill="1" applyBorder="1" applyAlignment="1">
      <x:alignment vertical="center" wrapText="1"/>
    </x:xf>
    <x:xf numFmtId="0" fontId="3" fillId="0" borderId="8" xfId="0" applyNumberFormat="1" applyFont="1" applyFill="1" applyBorder="1" applyAlignment="1">
      <x:alignment vertical="center" wrapText="0"/>
    </x:xf>
    <x:xf numFmtId="201" fontId="3" fillId="0" borderId="0" xfId="0" applyNumberFormat="1" applyFont="1" applyFill="1" applyBorder="1" applyAlignment="1">
      <x:alignment vertical="center" wrapText="0"/>
    </x:xf>
    <x:xf numFmtId="0" fontId="3" fillId="0" borderId="0" xfId="0" applyNumberFormat="1" applyFont="1" applyFill="1" applyBorder="1" applyAlignment="1">
      <x:alignment vertical="center" wrapText="1"/>
    </x:xf>
    <x:xf numFmtId="201" fontId="3" fillId="0" borderId="8" xfId="0" applyNumberFormat="1" applyFont="1" applyFill="1" applyBorder="1" applyAlignment="1">
      <x:alignment vertical="center" wrapText="0"/>
    </x:xf>
    <x:xf numFmtId="0" fontId="3" fillId="0" borderId="8" xfId="0" applyNumberFormat="1" applyFont="1" applyFill="1" applyBorder="1" applyAlignment="1">
      <x:alignment vertical="center" wrapText="1"/>
    </x:xf>
    <x:xf numFmtId="201" fontId="13" fillId="0" borderId="0" xfId="0" applyNumberFormat="1" applyFont="1" applyFill="1" applyBorder="1" applyAlignment="1">
      <x:alignment vertical="center" wrapText="0"/>
    </x:xf>
    <x:xf numFmtId="206" fontId="2" fillId="0" borderId="0" xfId="0" applyNumberFormat="1" applyFont="1" applyFill="1" applyBorder="1" applyAlignment="1">
      <x:alignment vertical="center" wrapText="0"/>
    </x:xf>
    <x:xf numFmtId="206" fontId="2" fillId="0" borderId="0" xfId="0" applyNumberFormat="1" applyFont="1" applyFill="1" applyBorder="1" applyAlignment="1">
      <x:alignment vertical="center" wrapText="1"/>
    </x:xf>
    <x:xf numFmtId="201" fontId="12" fillId="0" borderId="0" xfId="0" applyNumberFormat="1" applyFont="1" applyFill="1" applyBorder="1" applyAlignment="1">
      <x:alignment vertical="center" wrapText="1"/>
    </x:xf>
    <x:xf numFmtId="203" fontId="2" fillId="0" borderId="0" xfId="0" applyNumberFormat="1" applyFont="1" applyFill="1" applyBorder="1" applyAlignment="1">
      <x:alignment vertical="center" wrapText="1"/>
    </x:xf>
    <x:xf numFmtId="202" fontId="12" fillId="0" borderId="0" xfId="0" applyNumberFormat="1" applyFont="1" applyFill="1" applyBorder="1" applyAlignment="1">
      <x:alignment vertical="center" wrapText="1"/>
    </x:xf>
    <x:xf numFmtId="0" fontId="3" fillId="0" borderId="9" xfId="0" applyNumberFormat="1" applyFont="1" applyFill="1" applyBorder="1" applyAlignment="1">
      <x:alignment vertical="center" wrapText="0"/>
    </x:xf>
    <x:xf numFmtId="0" fontId="3" fillId="0" borderId="10" xfId="0" applyNumberFormat="1" applyFont="1" applyFill="1" applyBorder="1" applyAlignment="1">
      <x:alignment vertical="center" wrapText="0"/>
    </x:xf>
    <x:xf numFmtId="0" fontId="2" fillId="0" borderId="4" xfId="0" applyNumberFormat="1" applyFont="1" applyFill="1" applyBorder="1" applyAlignment="1">
      <x:alignment vertical="center" wrapText="1"/>
    </x:xf>
    <x:xf numFmtId="201" fontId="10" fillId="0" borderId="5" xfId="0" applyNumberFormat="1" applyFont="1" applyFill="1" applyBorder="1" applyAlignment="1">
      <x:alignment vertical="center" wrapText="0"/>
    </x:xf>
    <x:xf numFmtId="201" fontId="2" fillId="0" borderId="5" xfId="0" applyNumberFormat="1" applyFont="1" applyFill="1" applyBorder="1" applyAlignment="1">
      <x:alignment vertical="center" wrapText="0"/>
    </x:xf>
    <x:xf numFmtId="0" fontId="3" fillId="0" borderId="4" xfId="0" applyNumberFormat="1" applyFont="1" applyFill="1" applyBorder="1" applyAlignment="1">
      <x:alignment vertical="center" wrapText="1"/>
    </x:xf>
    <x:xf numFmtId="201" fontId="3" fillId="0" borderId="5" xfId="0" applyNumberFormat="1" applyFont="1" applyFill="1" applyBorder="1" applyAlignment="1">
      <x:alignment vertical="center" wrapText="0"/>
    </x:xf>
    <x:xf numFmtId="0" fontId="3" fillId="0" borderId="6" xfId="0" applyNumberFormat="1" applyFont="1" applyFill="1" applyBorder="1" applyAlignment="1">
      <x:alignment vertical="center" wrapText="1"/>
    </x:xf>
    <x:xf numFmtId="201" fontId="3" fillId="0" borderId="7" xfId="0" applyNumberFormat="1" applyFont="1" applyFill="1" applyBorder="1" applyAlignment="1">
      <x:alignment vertical="center" wrapText="0"/>
    </x:xf>
    <x:xf numFmtId="0" fontId="2" fillId="0" borderId="11" xfId="0" applyNumberFormat="1" applyFont="1" applyFill="1" applyBorder="1" applyAlignment="1">
      <x:alignment vertical="center" wrapText="1"/>
    </x:xf>
    <x:xf numFmtId="201" fontId="10" fillId="0" borderId="12" xfId="0" applyNumberFormat="1" applyFont="1" applyFill="1" applyBorder="1" applyAlignment="1">
      <x:alignment vertical="center" wrapText="0"/>
    </x:xf>
    <x:xf numFmtId="206" fontId="2" fillId="0" borderId="5" xfId="0" applyNumberFormat="1" applyFont="1" applyFill="1" applyBorder="1" applyAlignment="1">
      <x:alignment vertical="center" wrapText="0"/>
    </x:xf>
    <x:xf numFmtId="201" fontId="13" fillId="0" borderId="5" xfId="0" applyNumberFormat="1" applyFont="1" applyFill="1" applyBorder="1" applyAlignment="1">
      <x:alignment vertical="center" wrapText="0"/>
    </x:xf>
    <x:xf numFmtId="0" fontId="2" fillId="0" borderId="6" xfId="0" applyNumberFormat="1" applyFont="1" applyFill="1" applyBorder="1" applyAlignment="1">
      <x:alignment vertical="center" wrapText="1"/>
    </x:xf>
    <x:xf numFmtId="206" fontId="2" fillId="0" borderId="7" xfId="0" applyNumberFormat="1" applyFont="1" applyFill="1" applyBorder="1" applyAlignment="1">
      <x:alignment vertical="center" wrapText="0"/>
    </x:xf>
    <x:xf numFmtId="0" fontId="3" fillId="0" borderId="11" xfId="0" applyNumberFormat="1" applyFont="1" applyFill="1" applyBorder="1" applyAlignment="1">
      <x:alignment vertical="center" wrapText="1"/>
    </x:xf>
    <x:xf numFmtId="201" fontId="3" fillId="0" borderId="12" xfId="0" applyNumberFormat="1" applyFont="1" applyFill="1" applyBorder="1" applyAlignment="1">
      <x:alignment vertical="center" wrapText="0"/>
    </x:xf>
    <x:xf numFmtId="204" fontId="2" fillId="0" borderId="7" xfId="0" applyNumberFormat="1" applyFont="1" applyFill="1" applyBorder="1" applyAlignment="1">
      <x:alignment vertical="center" wrapText="0"/>
    </x:xf>
    <x:xf numFmtId="0" fontId="2" fillId="0" borderId="12" xfId="0" applyNumberFormat="1" applyFont="1" applyFill="1" applyBorder="1" applyAlignment="1">
      <x:alignment vertical="center" wrapText="1"/>
    </x:xf>
    <x:xf numFmtId="201" fontId="2" fillId="0" borderId="5" xfId="0" applyNumberFormat="1" applyFont="1" applyFill="1" applyBorder="1" applyAlignment="1">
      <x:alignment vertical="center" wrapText="1"/>
    </x:xf>
    <x:xf numFmtId="201" fontId="2" fillId="0" borderId="7" xfId="0" applyNumberFormat="1" applyFont="1" applyFill="1" applyBorder="1" applyAlignment="1">
      <x:alignment vertical="center" wrapText="1"/>
    </x:xf>
    <x:xf numFmtId="201" fontId="3" fillId="0" borderId="13" xfId="0" applyNumberFormat="1" applyFont="1" applyFill="1" applyBorder="1" applyAlignment="1">
      <x:alignment vertical="center" wrapText="0"/>
    </x:xf>
    <x:xf numFmtId="0" fontId="3" fillId="0" borderId="13" xfId="0" applyNumberFormat="1" applyFont="1" applyFill="1" applyBorder="1" applyAlignment="1">
      <x:alignment vertical="center" wrapText="0"/>
    </x:xf>
    <x:xf numFmtId="0" fontId="3" fillId="0" borderId="13" xfId="0" applyNumberFormat="1" applyFont="1" applyFill="1" applyBorder="1" applyAlignment="1">
      <x:alignment vertical="center" wrapText="1"/>
    </x:xf>
    <x:xf numFmtId="0" fontId="2" fillId="0" borderId="4" xfId="0" applyNumberFormat="1" applyFont="1" applyFill="1" applyBorder="1" applyAlignment="1">
      <x:alignment vertical="center" wrapText="0"/>
    </x:xf>
    <x:xf numFmtId="201" fontId="2" fillId="0" borderId="14" xfId="0" applyNumberFormat="1" applyFont="1" applyFill="1" applyBorder="1" applyAlignment="1">
      <x:alignment vertical="center" wrapText="0"/>
    </x:xf>
    <x:xf numFmtId="201" fontId="2" fillId="0" borderId="14" xfId="0" applyNumberFormat="1" applyFont="1" applyFill="1" applyBorder="1" applyAlignment="1">
      <x:alignment vertical="center" wrapText="1"/>
    </x:xf>
    <x:xf numFmtId="203" fontId="2" fillId="0" borderId="14" xfId="0" applyNumberFormat="1" applyFont="1" applyFill="1" applyBorder="1" applyAlignment="1">
      <x:alignment vertical="center" wrapText="0"/>
    </x:xf>
    <x:xf numFmtId="203" fontId="2" fillId="0" borderId="5" xfId="0" applyNumberFormat="1" applyFont="1" applyFill="1" applyBorder="1" applyAlignment="1">
      <x:alignment vertical="center" wrapText="0"/>
    </x:xf>
    <x:xf numFmtId="0" fontId="2" fillId="0" borderId="14" xfId="0" applyNumberFormat="1" applyFont="1" applyFill="1" applyBorder="1" applyAlignment="1">
      <x:alignment vertical="center" wrapText="0"/>
    </x:xf>
    <x:xf numFmtId="0" fontId="2" fillId="0" borderId="5" xfId="0" applyNumberFormat="1" applyFont="1" applyFill="1" applyBorder="1" applyAlignment="1">
      <x:alignment vertical="center" wrapText="0"/>
    </x:xf>
    <x:xf numFmtId="206" fontId="2" fillId="0" borderId="14" xfId="0" applyNumberFormat="1" applyFont="1" applyFill="1" applyBorder="1" applyAlignment="1">
      <x:alignment vertical="center" wrapText="0"/>
    </x:xf>
    <x:xf numFmtId="206" fontId="2" fillId="0" borderId="14" xfId="0" applyNumberFormat="1" applyFont="1" applyFill="1" applyBorder="1" applyAlignment="1">
      <x:alignment vertical="center" wrapText="1"/>
    </x:xf>
    <x:xf numFmtId="0" fontId="2" fillId="0" borderId="6" xfId="0" applyNumberFormat="1" applyFont="1" applyFill="1" applyBorder="1" applyAlignment="1">
      <x:alignment vertical="center" wrapText="0"/>
    </x:xf>
    <x:xf numFmtId="206" fontId="2" fillId="0" borderId="15" xfId="0" applyNumberFormat="1" applyFont="1" applyFill="1" applyBorder="1" applyAlignment="1">
      <x:alignment vertical="center" wrapText="0"/>
    </x:xf>
    <x:xf numFmtId="206" fontId="2" fillId="0" borderId="15" xfId="0" applyNumberFormat="1" applyFont="1" applyFill="1" applyBorder="1" applyAlignment="1">
      <x:alignment vertical="center" wrapText="1"/>
    </x:xf>
    <x:xf numFmtId="0" fontId="2" fillId="0" borderId="15" xfId="0" applyNumberFormat="1" applyFont="1" applyFill="1" applyBorder="1" applyAlignment="1">
      <x:alignment vertical="center" wrapText="0"/>
    </x:xf>
    <x:xf numFmtId="0" fontId="2" fillId="0" borderId="7" xfId="0" applyNumberFormat="1" applyFont="1" applyFill="1" applyBorder="1" applyAlignment="1">
      <x:alignment vertical="center" wrapText="0"/>
    </x:xf>
    <x:xf numFmtId="0" fontId="2" fillId="0" borderId="2" xfId="0" applyNumberFormat="1" applyFont="1" applyFill="1" applyBorder="1" applyAlignment="1">
      <x:alignment vertical="center" wrapText="0"/>
    </x:xf>
    <x:xf numFmtId="201" fontId="2" fillId="0" borderId="3" xfId="0" applyNumberFormat="1" applyFont="1" applyFill="1" applyBorder="1" applyAlignment="1">
      <x:alignment vertical="center" wrapText="0"/>
    </x:xf>
    <x:xf numFmtId="0" fontId="2" fillId="0" borderId="11" xfId="0" applyNumberFormat="1" applyFont="1" applyFill="1" applyBorder="1" applyAlignment="1">
      <x:alignment vertical="center" wrapText="0"/>
    </x:xf>
    <x:xf numFmtId="202" fontId="10" fillId="0" borderId="7" xfId="0" applyNumberFormat="1" applyFont="1" applyFill="1" applyBorder="1" applyAlignment="1">
      <x:alignment vertical="center" wrapText="0"/>
    </x:xf>
    <x:xf numFmtId="201" fontId="10" fillId="0" borderId="3" xfId="0" applyNumberFormat="1" applyFont="1" applyFill="1" applyBorder="1" applyAlignment="1">
      <x:alignment vertical="center" wrapText="0"/>
    </x:xf>
    <x:xf numFmtId="0" fontId="3" fillId="2" borderId="9" xfId="0" applyNumberFormat="1" applyFont="1" applyFill="1" applyBorder="1" applyAlignment="1">
      <x:alignment vertical="center" wrapText="0"/>
    </x:xf>
    <x:xf numFmtId="0" fontId="3" fillId="2" borderId="10" xfId="0" applyNumberFormat="1" applyFont="1" applyFill="1" applyBorder="1" applyAlignment="1">
      <x:alignment vertical="center" wrapText="0"/>
    </x:xf>
    <x:xf numFmtId="0" fontId="3" fillId="2" borderId="9" xfId="0" applyNumberFormat="1" applyFont="1" applyFill="1" applyBorder="1" applyAlignment="1">
      <x:alignment horizontal="center" vertical="center" wrapText="0"/>
    </x:xf>
    <x:xf numFmtId="0" fontId="3" fillId="2" borderId="10" xfId="0" applyNumberFormat="1" applyFont="1" applyFill="1" applyBorder="1" applyAlignment="1">
      <x:alignment horizontal="center" vertical="center" wrapText="0"/>
    </x:xf>
    <x:xf numFmtId="0" fontId="3" fillId="2" borderId="2" xfId="0" applyNumberFormat="1" applyFont="1" applyFill="1" applyBorder="1" applyAlignment="1">
      <x:alignment horizontal="center" vertical="center" wrapText="0"/>
    </x:xf>
    <x:xf numFmtId="0" fontId="3" fillId="2" borderId="3" xfId="0" applyNumberFormat="1" applyFont="1" applyFill="1" applyBorder="1" applyAlignment="1">
      <x:alignment horizontal="center" vertical="center" wrapText="0"/>
    </x:xf>
    <x:xf numFmtId="0" fontId="2" fillId="2" borderId="11" xfId="0" applyNumberFormat="1" applyFont="1" applyFill="1" applyBorder="1" applyAlignment="1">
      <x:alignment vertical="center" wrapText="1"/>
    </x:xf>
    <x:xf numFmtId="0" fontId="2" fillId="2" borderId="12" xfId="0" applyNumberFormat="1" applyFont="1" applyFill="1" applyBorder="1" applyAlignment="1">
      <x:alignment vertical="center" wrapText="1"/>
    </x:xf>
    <x:xf numFmtId="0" fontId="3" fillId="2" borderId="11" xfId="0" applyNumberFormat="1" applyFont="1" applyFill="1" applyBorder="1" applyAlignment="1">
      <x:alignment vertical="center" wrapText="1"/>
    </x:xf>
    <x:xf numFmtId="0" fontId="3" fillId="2" borderId="12" xfId="0" applyNumberFormat="1" applyFont="1" applyFill="1" applyBorder="1" applyAlignment="1">
      <x:alignment vertical="center" wrapText="1"/>
    </x:xf>
    <x:xf numFmtId="0" fontId="3" fillId="2" borderId="11" xfId="0" applyNumberFormat="1" applyFont="1" applyFill="1" applyBorder="1" applyAlignment="1">
      <x:alignment horizontal="center" vertical="center" wrapText="1"/>
    </x:xf>
    <x:xf numFmtId="0" fontId="3" fillId="2" borderId="12" xfId="0" applyNumberFormat="1" applyFont="1" applyFill="1" applyBorder="1" applyAlignment="1">
      <x:alignment horizontal="center" vertical="center" wrapText="1"/>
    </x:xf>
    <x:xf numFmtId="0" fontId="3" fillId="2" borderId="2" xfId="0" applyNumberFormat="1" applyFont="1" applyFill="1" applyBorder="1" applyAlignment="1">
      <x:alignment horizontal="center" vertical="center" wrapText="1"/>
    </x:xf>
    <x:xf numFmtId="0" fontId="3" fillId="2" borderId="3" xfId="0" applyNumberFormat="1" applyFont="1" applyFill="1" applyBorder="1" applyAlignment="1">
      <x:alignment horizontal="center" vertical="center" wrapText="1"/>
    </x:xf>
    <x:xf numFmtId="201" fontId="3" fillId="2" borderId="13" xfId="0" applyNumberFormat="1" applyFont="1" applyFill="1" applyBorder="1" applyAlignment="1">
      <x:alignment vertical="center" wrapText="0"/>
    </x:xf>
    <x:xf numFmtId="0" fontId="3" fillId="2" borderId="13" xfId="0" applyNumberFormat="1" applyFont="1" applyFill="1" applyBorder="1" applyAlignment="1">
      <x:alignment vertical="center" wrapText="0"/>
    </x:xf>
    <x:xf numFmtId="0" fontId="3" fillId="2" borderId="13" xfId="0" applyNumberFormat="1" applyFont="1" applyFill="1" applyBorder="1" applyAlignment="1">
      <x:alignment vertical="center" wrapText="1"/>
    </x:xf>
    <x:xf numFmtId="201" fontId="3" fillId="2" borderId="13" xfId="0" applyNumberFormat="1" applyFont="1" applyFill="1" applyBorder="1" applyAlignment="1">
      <x:alignment horizontal="center" vertical="center" wrapText="0"/>
    </x:xf>
    <x:xf numFmtId="0" fontId="3" fillId="2" borderId="13" xfId="0" applyNumberFormat="1" applyFont="1" applyFill="1" applyBorder="1" applyAlignment="1">
      <x:alignment horizontal="center" vertical="center" wrapText="0"/>
    </x:xf>
    <x:xf numFmtId="0" fontId="3" fillId="2" borderId="13" xfId="0" applyNumberFormat="1" applyFont="1" applyFill="1" applyBorder="1" applyAlignment="1">
      <x:alignment horizontal="center" vertical="center" wrapText="1"/>
    </x:xf>
    <x:xf numFmtId="201" fontId="3" fillId="2" borderId="16" xfId="0" applyNumberFormat="1" applyFont="1" applyFill="1" applyBorder="1" applyAlignment="1">
      <x:alignment horizontal="center" vertical="center" wrapText="0"/>
    </x:xf>
    <x:xf numFmtId="0" fontId="3" fillId="2" borderId="16" xfId="0" applyNumberFormat="1" applyFont="1" applyFill="1" applyBorder="1" applyAlignment="1">
      <x:alignment horizontal="center" vertical="center" wrapText="0"/>
    </x:xf>
    <x:xf numFmtId="0" fontId="3" fillId="2" borderId="16" xfId="0" applyNumberFormat="1" applyFont="1" applyFill="1" applyBorder="1" applyAlignment="1">
      <x:alignment horizontal="center" vertical="center" wrapText="1"/>
    </x:xf>
    <x:xf numFmtId="0" fontId="3" fillId="2" borderId="8" xfId="0" applyNumberFormat="1" applyFont="1" applyFill="1" applyBorder="1" applyAlignment="1">
      <x:alignment vertical="center" wrapText="1"/>
    </x:xf>
    <x:xf numFmtId="0" fontId="3" fillId="2" borderId="8" xfId="0" applyNumberFormat="1" applyFont="1" applyFill="1" applyBorder="1" applyAlignment="1">
      <x:alignment horizontal="center" vertical="center" wrapText="1"/>
    </x:xf>
    <x:xf numFmtId="0" fontId="3" fillId="2" borderId="1" xfId="0" applyNumberFormat="1" applyFont="1" applyFill="1" applyBorder="1" applyAlignment="1">
      <x:alignment horizontal="center" vertical="center" wrapText="1"/>
    </x:xf>
    <x:xf numFmtId="0" fontId="3" fillId="0" borderId="2" xfId="0" applyNumberFormat="1" applyFont="1" applyFill="1" applyBorder="1" applyAlignment="1">
      <x:alignment vertical="center" wrapText="1"/>
    </x:xf>
    <x:xf numFmtId="201" fontId="3" fillId="0" borderId="3" xfId="0" applyNumberFormat="1" applyFont="1" applyFill="1" applyBorder="1" applyAlignment="1">
      <x:alignment vertical="center" wrapText="0"/>
    </x:xf>
    <x:xf numFmtId="201" fontId="13" fillId="0" borderId="12" xfId="0" applyNumberFormat="1" applyFont="1" applyFill="1" applyBorder="1" applyAlignment="1">
      <x:alignment vertical="center" wrapText="0"/>
    </x:xf>
    <x:xf numFmtId="0" fontId="3" fillId="0" borderId="4" xfId="0" applyNumberFormat="1" applyFont="1" applyFill="1" applyBorder="1" applyAlignment="1">
      <x:alignment vertical="center" wrapText="0"/>
    </x:xf>
    <x:xf numFmtId="201" fontId="3" fillId="0" borderId="14" xfId="0" applyNumberFormat="1" applyFont="1" applyFill="1" applyBorder="1" applyAlignment="1">
      <x:alignment vertical="center" wrapText="0"/>
    </x:xf>
    <x:xf numFmtId="201" fontId="3" fillId="0" borderId="14" xfId="0" applyNumberFormat="1" applyFont="1" applyFill="1" applyBorder="1" applyAlignment="1">
      <x:alignment vertical="center" wrapText="1"/>
    </x:xf>
    <x:xf numFmtId="0" fontId="3" fillId="0" borderId="11" xfId="0" applyNumberFormat="1" applyFont="1" applyFill="1" applyBorder="1" applyAlignment="1">
      <x:alignment vertical="center" wrapText="0"/>
    </x:xf>
    <x:xf numFmtId="201" fontId="3" fillId="0" borderId="17" xfId="0" applyNumberFormat="1" applyFont="1" applyFill="1" applyBorder="1" applyAlignment="1">
      <x:alignment vertical="center" wrapText="0"/>
    </x:xf>
    <x:xf numFmtId="201" fontId="3" fillId="0" borderId="17" xfId="0" applyNumberFormat="1" applyFont="1" applyFill="1" applyBorder="1" applyAlignment="1">
      <x:alignment vertical="center" wrapText="1"/>
    </x:xf>
    <x:xf numFmtId="0" fontId="2" fillId="0" borderId="17" xfId="0" applyNumberFormat="1" applyFont="1" applyFill="1" applyBorder="1" applyAlignment="1">
      <x:alignment vertical="center" wrapText="1"/>
    </x:xf>
    <x:xf numFmtId="201" fontId="12" fillId="0" borderId="14" xfId="0" applyNumberFormat="1" applyFont="1" applyFill="1" applyBorder="1" applyAlignment="1">
      <x:alignment vertical="center" wrapText="1"/>
    </x:xf>
    <x:xf numFmtId="0" fontId="2" fillId="0" borderId="14" xfId="0" applyNumberFormat="1" applyFont="1" applyFill="1" applyBorder="1" applyAlignment="1">
      <x:alignment vertical="center" wrapText="1"/>
    </x:xf>
    <x:xf numFmtId="203" fontId="2" fillId="0" borderId="14" xfId="0" applyNumberFormat="1" applyFont="1" applyFill="1" applyBorder="1" applyAlignment="1">
      <x:alignment vertical="center" wrapText="1"/>
    </x:xf>
    <x:xf numFmtId="0" fontId="2" fillId="0" borderId="5" xfId="0" applyNumberFormat="1" applyFont="1" applyFill="1" applyBorder="1" applyAlignment="1">
      <x:alignment vertical="center" wrapText="1"/>
    </x:xf>
    <x:xf numFmtId="202" fontId="12" fillId="0" borderId="14" xfId="0" applyNumberFormat="1" applyFont="1" applyFill="1" applyBorder="1" applyAlignment="1">
      <x:alignment vertical="center" wrapText="1"/>
    </x:xf>
    <x:xf numFmtId="201" fontId="12" fillId="0" borderId="15" xfId="0" applyNumberFormat="1" applyFont="1" applyFill="1" applyBorder="1" applyAlignment="1">
      <x:alignment vertical="center" wrapText="1"/>
    </x:xf>
    <x:xf numFmtId="0" fontId="2" fillId="0" borderId="15" xfId="0" applyNumberFormat="1" applyFont="1" applyFill="1" applyBorder="1" applyAlignment="1">
      <x:alignment vertical="center" wrapText="1"/>
    </x:xf>
    <x:xf numFmtId="203" fontId="2" fillId="0" borderId="15" xfId="0" applyNumberFormat="1" applyFont="1" applyFill="1" applyBorder="1" applyAlignment="1">
      <x:alignment vertical="center" wrapText="1"/>
    </x:xf>
    <x:xf numFmtId="0" fontId="2" fillId="0" borderId="7" xfId="0" applyNumberFormat="1" applyFont="1" applyFill="1" applyBorder="1" applyAlignment="1">
      <x:alignment vertical="center" wrapText="1"/>
    </x:xf>
    <x:xf numFmtId="0" fontId="2" fillId="2" borderId="17" xfId="0" applyNumberFormat="1" applyFont="1" applyFill="1" applyBorder="1" applyAlignment="1">
      <x:alignment vertical="center" wrapText="1"/>
    </x:xf>
    <x:xf numFmtId="0" fontId="3" fillId="2" borderId="17" xfId="0" applyNumberFormat="1" applyFont="1" applyFill="1" applyBorder="1" applyAlignment="1">
      <x:alignment vertical="center" wrapText="1"/>
    </x:xf>
    <x:xf numFmtId="0" fontId="3" fillId="2" borderId="17" xfId="0" applyNumberFormat="1" applyFont="1" applyFill="1" applyBorder="1" applyAlignment="1">
      <x:alignment horizontal="center" vertical="center" wrapText="1"/>
    </x:xf>
    <x:xf numFmtId="201" fontId="14" fillId="0" borderId="0" xfId="0" applyNumberFormat="1" applyFont="1" applyFill="1" applyBorder="1" applyAlignment="1">
      <x:alignment vertical="center" wrapText="0"/>
    </x:xf>
    <x:xf numFmtId="200" fontId="2" fillId="0" borderId="0" xfId="0" applyNumberFormat="1" applyFont="1" applyFill="1" applyBorder="1" applyAlignment="1">
      <x:alignment vertical="center" wrapText="0"/>
    </x:xf>
    <x:xf numFmtId="200" fontId="5" fillId="0" borderId="0" xfId="0" applyNumberFormat="1" applyFont="1" applyFill="1" applyBorder="1" applyAlignment="1">
      <x:alignment vertical="center" wrapText="0"/>
    </x:xf>
    <x:xf numFmtId="0" fontId="2" fillId="2" borderId="0" xfId="0" applyNumberFormat="1" applyFont="1" applyFill="1" applyBorder="1" applyAlignment="1">
      <x:alignment vertical="center" wrapText="1"/>
    </x:xf>
    <x:xf numFmtId="0" fontId="3" fillId="2" borderId="0" xfId="0" applyNumberFormat="1" applyFont="1" applyFill="1" applyBorder="1" applyAlignment="1">
      <x:alignment vertical="center" wrapText="1"/>
    </x:xf>
    <x:xf numFmtId="0" fontId="3" fillId="2" borderId="0" xfId="0" applyNumberFormat="1" applyFont="1" applyFill="1" applyBorder="1" applyAlignment="1">
      <x:alignment horizontal="center" vertical="center" wrapText="1"/>
    </x:xf>
    <x:xf numFmtId="201" fontId="10" fillId="0" borderId="14" xfId="0" applyNumberFormat="1" applyFont="1" applyFill="1" applyBorder="1" applyAlignment="1">
      <x:alignment vertical="center" wrapText="0"/>
    </x:xf>
    <x:xf numFmtId="201" fontId="14" fillId="0" borderId="5" xfId="0" applyNumberFormat="1" applyFont="1" applyFill="1" applyBorder="1" applyAlignment="1">
      <x:alignment vertical="center" wrapText="0"/>
    </x:xf>
    <x:xf numFmtId="201" fontId="10" fillId="0" borderId="15" xfId="0" applyNumberFormat="1" applyFont="1" applyFill="1" applyBorder="1" applyAlignment="1">
      <x:alignment vertical="center" wrapText="0"/>
    </x:xf>
    <x:xf numFmtId="201" fontId="14" fillId="0" borderId="7" xfId="0" applyNumberFormat="1" applyFont="1" applyFill="1" applyBorder="1" applyAlignment="1">
      <x:alignment vertical="center" wrapText="0"/>
    </x:xf>
    <x:xf numFmtId="0" fontId="15" fillId="0" borderId="0" xfId="0" applyNumberFormat="1" applyFont="1" applyFill="1" applyBorder="1" applyAlignment="1">
      <x:alignment vertical="center" wrapText="0"/>
    </x:xf>
    <x:xf numFmtId="200" fontId="15" fillId="0" borderId="0" xfId="0" applyNumberFormat="1" applyFont="1" applyFill="1" applyBorder="1" applyAlignment="1">
      <x:alignment vertical="center" wrapText="0"/>
    </x:xf>
    <x:xf numFmtId="0" fontId="15" fillId="0" borderId="18" xfId="0" applyNumberFormat="1" applyFont="1" applyFill="1" applyBorder="1" applyAlignment="1">
      <x:alignment vertical="center" wrapText="0"/>
    </x:xf>
    <x:xf numFmtId="200" fontId="15" fillId="0" borderId="18" xfId="0" applyNumberFormat="1" applyFont="1" applyFill="1" applyBorder="1" applyAlignment="1">
      <x:alignment vertical="center" wrapText="0"/>
    </x:xf>
    <x:xf numFmtId="201" fontId="10" fillId="0" borderId="0" xfId="0" applyNumberFormat="1" applyFont="1" applyFill="1" applyBorder="1" applyAlignment="1">
      <x:alignment vertical="center" wrapText="1"/>
    </x:xf>
    <x:xf numFmtId="201" fontId="10" fillId="0" borderId="14" xfId="0" applyNumberFormat="1" applyFont="1" applyFill="1" applyBorder="1" applyAlignment="1">
      <x:alignment vertical="center" wrapText="1"/>
    </x:xf>
    <x:xf numFmtId="201" fontId="10" fillId="0" borderId="15" xfId="0" applyNumberFormat="1" applyFont="1" applyFill="1" applyBorder="1" applyAlignment="1">
      <x:alignment vertical="center" wrapText="1"/>
    </x:xf>
    <x:xf numFmtId="201" fontId="2" fillId="0" borderId="15" xfId="0" applyNumberFormat="1" applyFont="1" applyFill="1" applyBorder="1" applyAlignment="1">
      <x:alignment vertical="center" wrapText="1"/>
    </x:xf>
    <x:xf numFmtId="201" fontId="14" fillId="0" borderId="0" xfId="0" applyNumberFormat="1" applyFont="1" applyFill="1" applyBorder="1" applyAlignment="1">
      <x:alignment vertical="center" wrapText="1"/>
    </x:xf>
    <x:xf numFmtId="203" fontId="2" fillId="0" borderId="4" xfId="0" applyNumberFormat="1" applyFont="1" applyFill="1" applyBorder="1" applyAlignment="1">
      <x:alignment vertical="center" wrapText="1"/>
    </x:xf>
    <x:xf numFmtId="201" fontId="14" fillId="0" borderId="14" xfId="0" applyNumberFormat="1" applyFont="1" applyFill="1" applyBorder="1" applyAlignment="1">
      <x:alignment vertical="center" wrapText="1"/>
    </x:xf>
    <x:xf numFmtId="203" fontId="2" fillId="0" borderId="6" xfId="0" applyNumberFormat="1" applyFont="1" applyFill="1" applyBorder="1" applyAlignment="1">
      <x:alignment vertical="center" wrapText="1"/>
    </x:xf>
    <x:xf numFmtId="201" fontId="16" fillId="0" borderId="12" xfId="0" applyNumberFormat="1" applyFont="1" applyFill="1" applyBorder="1" applyAlignment="1">
      <x:alignment vertical="center" wrapText="0"/>
    </x:xf>
    <x:xf numFmtId="0" fontId="2" fillId="0" borderId="0" xfId="0" applyNumberFormat="1" applyFont="1" applyFill="1" applyBorder="1" applyAlignment="1">
      <x:alignment wrapText="1"/>
    </x:xf>
    <x:xf numFmtId="0" fontId="2" fillId="0" borderId="11" xfId="0" applyNumberFormat="1" applyFont="1" applyFill="1" applyBorder="1" applyAlignment="1">
      <x:alignment vertical="top" wrapText="1"/>
    </x:xf>
    <x:xf numFmtId="0" fontId="2" fillId="0" borderId="17" xfId="0" applyNumberFormat="1" applyFont="1" applyFill="1" applyBorder="1" applyAlignment="1">
      <x:alignment vertical="top" wrapText="1"/>
    </x:xf>
    <x:xf numFmtId="0" fontId="2" fillId="0" borderId="12" xfId="0" applyNumberFormat="1" applyFont="1" applyFill="1" applyBorder="1" applyAlignment="1">
      <x:alignment vertical="top" wrapText="1"/>
    </x:xf>
    <x:xf numFmtId="0" fontId="2" fillId="0" borderId="14" xfId="0" applyNumberFormat="1" applyFont="1" applyFill="1" applyBorder="1" applyAlignment="1">
      <x:alignment vertical="top" wrapText="1"/>
    </x:xf>
    <x:xf numFmtId="0" fontId="2" fillId="0" borderId="15" xfId="0" applyNumberFormat="1" applyFont="1" applyFill="1" applyBorder="1" applyAlignment="1">
      <x:alignment vertical="top" wrapText="1"/>
    </x:xf>
    <x:xf numFmtId="0" fontId="2" fillId="0" borderId="19" xfId="0" applyNumberFormat="1" applyFont="1" applyFill="1" applyBorder="1" applyAlignment="1">
      <x:alignment vertical="top" wrapText="1"/>
    </x:xf>
    <x:xf numFmtId="0" fontId="2" fillId="0" borderId="20" xfId="0" applyNumberFormat="1" applyFont="1" applyFill="1" applyBorder="1" applyAlignment="1">
      <x:alignment vertical="top" wrapText="1"/>
    </x:xf>
    <x:xf numFmtId="0" fontId="2" fillId="0" borderId="21" xfId="0" applyNumberFormat="1" applyFont="1" applyFill="1" applyBorder="1" applyAlignment="1">
      <x:alignment vertical="top" wrapText="1"/>
    </x:xf>
    <x:xf numFmtId="0" fontId="2" fillId="2" borderId="11" xfId="0" applyNumberFormat="1" applyFont="1" applyFill="1" applyBorder="1" applyAlignment="1">
      <x:alignment vertical="top" wrapText="1"/>
    </x:xf>
    <x:xf numFmtId="0" fontId="2" fillId="2" borderId="17" xfId="0" applyNumberFormat="1" applyFont="1" applyFill="1" applyBorder="1" applyAlignment="1">
      <x:alignment vertical="top" wrapText="1"/>
    </x:xf>
    <x:xf numFmtId="0" fontId="2" fillId="2" borderId="12" xfId="0" applyNumberFormat="1" applyFont="1" applyFill="1" applyBorder="1" applyAlignment="1">
      <x:alignment vertical="top" wrapText="1"/>
    </x:xf>
    <x:xf numFmtId="0" fontId="3" fillId="2" borderId="11" xfId="0" applyNumberFormat="1" applyFont="1" applyFill="1" applyBorder="1" applyAlignment="1">
      <x:alignment vertical="top" wrapText="1"/>
    </x:xf>
    <x:xf numFmtId="0" fontId="3" fillId="2" borderId="17" xfId="0" applyNumberFormat="1" applyFont="1" applyFill="1" applyBorder="1" applyAlignment="1">
      <x:alignment vertical="top" wrapText="1"/>
    </x:xf>
    <x:xf numFmtId="0" fontId="3" fillId="2" borderId="12" xfId="0" applyNumberFormat="1" applyFont="1" applyFill="1" applyBorder="1" applyAlignment="1">
      <x:alignment vertical="top" wrapText="1"/>
    </x:xf>
    <x:xf numFmtId="0" fontId="3" fillId="2" borderId="11" xfId="0" applyNumberFormat="1" applyFont="1" applyFill="1" applyBorder="1" applyAlignment="1">
      <x:alignment horizontal="center" vertical="top" wrapText="1"/>
    </x:xf>
    <x:xf numFmtId="0" fontId="3" fillId="2" borderId="17" xfId="0" applyNumberFormat="1" applyFont="1" applyFill="1" applyBorder="1" applyAlignment="1">
      <x:alignment horizontal="center" vertical="top" wrapText="1"/>
    </x:xf>
    <x:xf numFmtId="0" fontId="3" fillId="2" borderId="12" xfId="0" applyNumberFormat="1" applyFont="1" applyFill="1" applyBorder="1" applyAlignment="1">
      <x:alignment horizontal="center" vertical="top" wrapText="1"/>
    </x:xf>
    <x:xf numFmtId="0" fontId="3" fillId="2" borderId="16" xfId="0" applyNumberFormat="1" applyFont="1" applyFill="1" applyBorder="1" applyAlignment="1">
      <x:alignment horizontal="center" vertical="top" wrapText="1"/>
    </x:xf>
    <x:xf numFmtId="0" fontId="2" fillId="2" borderId="19" xfId="0" applyNumberFormat="1" applyFont="1" applyFill="1" applyBorder="1" applyAlignment="1">
      <x:alignment vertical="top" wrapText="1"/>
    </x:xf>
    <x:xf numFmtId="0" fontId="3" fillId="2" borderId="19" xfId="0" applyNumberFormat="1" applyFont="1" applyFill="1" applyBorder="1" applyAlignment="1">
      <x:alignment vertical="top" wrapText="1"/>
    </x:xf>
    <x:xf numFmtId="0" fontId="3" fillId="2" borderId="19" xfId="0" applyNumberFormat="1" applyFont="1" applyFill="1" applyBorder="1" applyAlignment="1">
      <x:alignment horizontal="center" vertical="top" wrapText="1"/>
    </x:xf>
    <x:xf numFmtId="0" fontId="3" fillId="2" borderId="22" xfId="0" applyNumberFormat="1" applyFont="1" applyFill="1" applyBorder="1" applyAlignment="1">
      <x:alignment horizontal="center" vertical="top" wrapText="1"/>
    </x:xf>
    <x:xf numFmtId="201" fontId="2" fillId="0" borderId="0" xfId="0" applyNumberFormat="1" applyFont="1" applyFill="1" applyBorder="1" applyAlignment="1">
      <x:alignment vertical="top" wrapText="1"/>
    </x:xf>
    <x:xf numFmtId="201" fontId="12" fillId="0" borderId="0" xfId="0" applyNumberFormat="1" applyFont="1" applyFill="1" applyBorder="1" applyAlignment="1">
      <x:alignment vertical="top" wrapText="1"/>
    </x:xf>
    <x:xf numFmtId="203" fontId="2" fillId="0" borderId="0" xfId="0" applyNumberFormat="1" applyFont="1" applyFill="1" applyBorder="1" applyAlignment="1">
      <x:alignment vertical="top" wrapText="1"/>
    </x:xf>
    <x:xf numFmtId="201" fontId="12" fillId="0" borderId="14" xfId="0" applyNumberFormat="1" applyFont="1" applyFill="1" applyBorder="1" applyAlignment="1">
      <x:alignment vertical="top" wrapText="1"/>
    </x:xf>
    <x:xf numFmtId="203" fontId="2" fillId="0" borderId="14" xfId="0" applyNumberFormat="1" applyFont="1" applyFill="1" applyBorder="1" applyAlignment="1">
      <x:alignment vertical="top" wrapText="1"/>
    </x:xf>
    <x:xf numFmtId="201" fontId="12" fillId="0" borderId="15" xfId="0" applyNumberFormat="1" applyFont="1" applyFill="1" applyBorder="1" applyAlignment="1">
      <x:alignment vertical="top" wrapText="1"/>
    </x:xf>
    <x:xf numFmtId="203" fontId="2" fillId="0" borderId="15" xfId="0" applyNumberFormat="1" applyFont="1" applyFill="1" applyBorder="1" applyAlignment="1">
      <x:alignment vertical="top" wrapText="1"/>
    </x:xf>
    <x:xf numFmtId="201" fontId="10" fillId="0" borderId="0" xfId="0" applyNumberFormat="1" applyFont="1" applyFill="1" applyBorder="1" applyAlignment="1">
      <x:alignment vertical="top" wrapText="1"/>
    </x:xf>
    <x:xf numFmtId="201" fontId="14" fillId="0" borderId="0" xfId="0" applyNumberFormat="1" applyFont="1" applyFill="1" applyBorder="1" applyAlignment="1">
      <x:alignment vertical="top" wrapText="1"/>
    </x:xf>
    <x:xf numFmtId="201" fontId="2" fillId="2" borderId="0" xfId="0" applyNumberFormat="1" applyFont="1" applyFill="1" applyBorder="1" applyAlignment="1">
      <x:alignment vertical="top" wrapText="1"/>
    </x:xf>
    <x:xf numFmtId="203" fontId="2" fillId="2" borderId="0" xfId="0" applyNumberFormat="1" applyFont="1" applyFill="1" applyBorder="1" applyAlignment="1">
      <x:alignment vertical="top" wrapText="1"/>
    </x:xf>
    <x:xf numFmtId="201" fontId="3" fillId="2" borderId="0" xfId="0" applyNumberFormat="1" applyFont="1" applyFill="1" applyBorder="1" applyAlignment="1">
      <x:alignment vertical="top" wrapText="1"/>
    </x:xf>
    <x:xf numFmtId="203" fontId="3" fillId="2" borderId="0" xfId="0" applyNumberFormat="1" applyFont="1" applyFill="1" applyBorder="1" applyAlignment="1">
      <x:alignment vertical="top" wrapText="1"/>
    </x:xf>
    <x:xf numFmtId="201" fontId="3" fillId="2" borderId="0" xfId="0" applyNumberFormat="1" applyFont="1" applyFill="1" applyBorder="1" applyAlignment="1">
      <x:alignment horizontal="center" vertical="top" wrapText="1"/>
    </x:xf>
    <x:xf numFmtId="203" fontId="3" fillId="2" borderId="0" xfId="0" applyNumberFormat="1" applyFont="1" applyFill="1" applyBorder="1" applyAlignment="1">
      <x:alignment horizontal="center" vertical="top" wrapText="1"/>
    </x:xf>
    <x:xf numFmtId="201" fontId="3" fillId="2" borderId="1" xfId="0" applyNumberFormat="1" applyFont="1" applyFill="1" applyBorder="1" applyAlignment="1">
      <x:alignment horizontal="center" vertical="top" wrapText="1"/>
    </x:xf>
    <x:xf numFmtId="203" fontId="3" fillId="2" borderId="1" xfId="0" applyNumberFormat="1" applyFont="1" applyFill="1" applyBorder="1" applyAlignment="1">
      <x:alignment horizontal="center" vertical="top" wrapText="1"/>
    </x:xf>
    <x:xf numFmtId="201" fontId="10" fillId="0" borderId="14" xfId="0" applyNumberFormat="1" applyFont="1" applyFill="1" applyBorder="1" applyAlignment="1">
      <x:alignment vertical="top" wrapText="1"/>
    </x:xf>
    <x:xf numFmtId="201" fontId="14" fillId="0" borderId="15" xfId="0" applyNumberFormat="1" applyFont="1" applyFill="1" applyBorder="1" applyAlignment="1">
      <x:alignment vertical="top" wrapText="1"/>
    </x:xf>
    <x:xf numFmtId="201" fontId="3" fillId="2" borderId="16" xfId="0" applyNumberFormat="1" applyFont="1" applyFill="1" applyBorder="1" applyAlignment="1">
      <x:alignment horizontal="center" vertical="top" wrapText="1"/>
    </x:xf>
    <x:xf numFmtId="203" fontId="3" fillId="2" borderId="16" xfId="0" applyNumberFormat="1" applyFont="1" applyFill="1" applyBorder="1" applyAlignment="1">
      <x:alignment horizontal="center" vertical="top" wrapText="1"/>
    </x:xf>
    <x:xf numFmtId="201" fontId="14" fillId="0" borderId="14" xfId="0" applyNumberFormat="1" applyFont="1" applyFill="1" applyBorder="1" applyAlignment="1">
      <x:alignment vertical="top" wrapText="1"/>
    </x:xf>
    <x:xf numFmtId="0" fontId="2" fillId="0" borderId="2" xfId="0" applyNumberFormat="1" applyFont="1" applyFill="1" applyBorder="1" applyAlignment="1">
      <x:alignment vertical="top" wrapText="1"/>
    </x:xf>
    <x:xf numFmtId="201" fontId="10" fillId="0" borderId="16" xfId="0" applyNumberFormat="1" applyFont="1" applyFill="1" applyBorder="1" applyAlignment="1">
      <x:alignment vertical="top" wrapText="1"/>
    </x:xf>
    <x:xf numFmtId="203" fontId="2" fillId="0" borderId="16" xfId="0" applyNumberFormat="1" applyFont="1" applyFill="1" applyBorder="1" applyAlignment="1">
      <x:alignment vertical="top" wrapText="1"/>
    </x:xf>
    <x:xf numFmtId="0" fontId="2" fillId="0" borderId="16" xfId="0" applyNumberFormat="1" applyFont="1" applyFill="1" applyBorder="1" applyAlignment="1">
      <x:alignment vertical="top" wrapText="1"/>
    </x:xf>
    <x:xf numFmtId="0" fontId="2" fillId="0" borderId="3" xfId="0" applyNumberFormat="1" applyFont="1" applyFill="1" applyBorder="1" applyAlignment="1">
      <x:alignment vertical="top" wrapText="1"/>
    </x:xf>
    <x:xf numFmtId="201" fontId="16" fillId="0" borderId="15" xfId="0" applyNumberFormat="1" applyFont="1" applyFill="1" applyBorder="1" applyAlignment="1">
      <x:alignment vertical="top" wrapText="1"/>
    </x:xf>
    <x:xf numFmtId="203" fontId="3" fillId="0" borderId="15" xfId="0" applyNumberFormat="1" applyFont="1" applyFill="1" applyBorder="1" applyAlignment="1">
      <x:alignment vertical="top" wrapText="1"/>
    </x:xf>
    <x:xf numFmtId="0" fontId="3" fillId="0" borderId="15" xfId="0" applyNumberFormat="1" applyFont="1" applyFill="1" applyBorder="1" applyAlignment="1">
      <x:alignment vertical="top" wrapText="1"/>
    </x:xf>
    <x:xf numFmtId="0" fontId="3" fillId="0" borderId="7" xfId="0" applyNumberFormat="1" applyFont="1" applyFill="1" applyBorder="1" applyAlignment="1">
      <x:alignment vertical="top" wrapText="1"/>
    </x:xf>
    <x:xf numFmtId="0" fontId="3" fillId="0" borderId="2" xfId="0" applyNumberFormat="1" applyFont="1" applyFill="1" applyBorder="1" applyAlignment="1">
      <x:alignment vertical="top" wrapText="1"/>
    </x:xf>
    <x:xf numFmtId="201" fontId="16" fillId="0" borderId="16" xfId="0" applyNumberFormat="1" applyFont="1" applyFill="1" applyBorder="1" applyAlignment="1">
      <x:alignment vertical="top" wrapText="1"/>
    </x:xf>
    <x:xf numFmtId="203" fontId="3" fillId="0" borderId="16" xfId="0" applyNumberFormat="1" applyFont="1" applyFill="1" applyBorder="1" applyAlignment="1">
      <x:alignment vertical="top" wrapText="1"/>
    </x:xf>
    <x:xf numFmtId="0" fontId="3" fillId="0" borderId="16" xfId="0" applyNumberFormat="1" applyFont="1" applyFill="1" applyBorder="1" applyAlignment="1">
      <x:alignment vertical="top" wrapText="1"/>
    </x:xf>
    <x:xf numFmtId="0" fontId="3" fillId="0" borderId="3" xfId="0" applyNumberFormat="1" applyFont="1" applyFill="1" applyBorder="1" applyAlignment="1">
      <x:alignment vertical="top" wrapText="1"/>
    </x:xf>
    <x:xf numFmtId="201" fontId="16" fillId="0" borderId="14" xfId="0" applyNumberFormat="1" applyFont="1" applyFill="1" applyBorder="1" applyAlignment="1">
      <x:alignment vertical="top" wrapText="1"/>
    </x:xf>
    <x:xf numFmtId="203" fontId="3" fillId="0" borderId="14" xfId="0" applyNumberFormat="1" applyFont="1" applyFill="1" applyBorder="1" applyAlignment="1">
      <x:alignment vertical="top" wrapText="1"/>
    </x:xf>
    <x:xf numFmtId="0" fontId="3" fillId="0" borderId="14" xfId="0" applyNumberFormat="1" applyFont="1" applyFill="1" applyBorder="1" applyAlignment="1">
      <x:alignment vertical="top" wrapText="1"/>
    </x:xf>
    <x:xf numFmtId="0" fontId="3" fillId="0" borderId="5" xfId="0" applyNumberFormat="1" applyFont="1" applyFill="1" applyBorder="1" applyAlignment="1">
      <x:alignment vertical="top" wrapText="1"/>
    </x:xf>
    <x:xf numFmtId="0" fontId="3" fillId="0" borderId="11" xfId="0" applyNumberFormat="1" applyFont="1" applyFill="1" applyBorder="1" applyAlignment="1">
      <x:alignment vertical="top" wrapText="1"/>
    </x:xf>
    <x:xf numFmtId="201" fontId="16" fillId="0" borderId="17" xfId="0" applyNumberFormat="1" applyFont="1" applyFill="1" applyBorder="1" applyAlignment="1">
      <x:alignment vertical="top" wrapText="1"/>
    </x:xf>
    <x:xf numFmtId="203" fontId="3" fillId="0" borderId="17" xfId="0" applyNumberFormat="1" applyFont="1" applyFill="1" applyBorder="1" applyAlignment="1">
      <x:alignment vertical="top" wrapText="1"/>
    </x:xf>
    <x:xf numFmtId="0" fontId="3" fillId="0" borderId="17" xfId="0" applyNumberFormat="1" applyFont="1" applyFill="1" applyBorder="1" applyAlignment="1">
      <x:alignment vertical="top" wrapText="1"/>
    </x:xf>
    <x:xf numFmtId="0" fontId="3" fillId="0" borderId="12" xfId="0" applyNumberFormat="1" applyFont="1" applyFill="1" applyBorder="1" applyAlignment="1">
      <x:alignment vertical="top" wrapText="1"/>
    </x:xf>
    <x:xf numFmtId="0" fontId="0" fillId="0" borderId="0" xfId="0" applyNumberFormat="1" applyFont="1" applyFill="1" applyBorder="1" applyAlignment="1">
      <x:alignment wrapText="0"/>
    </x:xf>
    <x:xf numFmtId="0" fontId="17" fillId="0" borderId="0" xfId="0" applyNumberFormat="1" applyFont="1" applyFill="1" applyBorder="1" applyAlignment="1">
      <x:alignment wrapText="0"/>
    </x:xf>
    <x:xf numFmtId="0" fontId="18" fillId="0" borderId="0" xfId="0" applyNumberFormat="1" applyFont="1" applyFill="1" applyBorder="1" applyAlignment="1">
      <x:alignment wrapText="0"/>
    </x:xf>
    <x:xf numFmtId="201" fontId="8" fillId="0" borderId="0" xfId="0" applyNumberFormat="1" applyFont="1" applyFill="1" applyBorder="1"/>
    <x:xf numFmtId="201" fontId="19" fillId="0" borderId="0" xfId="0" applyNumberFormat="1" applyFont="1" applyFill="1" applyBorder="1"/>
    <x:xf numFmtId="200" fontId="0" fillId="0" borderId="0" xfId="0" applyNumberFormat="1" applyFont="1" applyFill="1" applyBorder="1"/>
    <x:xf numFmtId="200" fontId="8" fillId="0" borderId="0" xfId="0" applyNumberFormat="1" applyFont="1" applyFill="1" applyBorder="1"/>
    <x:xf numFmtId="204" fontId="19" fillId="0" borderId="0" xfId="0" applyNumberFormat="1" applyFont="1" applyFill="1" applyBorder="1"/>
    <x:xf numFmtId="201" fontId="9" fillId="0" borderId="0" xfId="0" applyNumberFormat="1" applyFont="1" applyFill="1" applyBorder="1"/>
    <x:xf numFmtId="201" fontId="20" fillId="0" borderId="0" xfId="0" applyNumberFormat="1" applyFont="1" applyFill="1" applyBorder="1"/>
    <x:xf numFmtId="200" fontId="9" fillId="0" borderId="0" xfId="0" applyNumberFormat="1" applyFont="1" applyFill="1" applyBorder="1"/>
    <x:xf numFmtId="204" fontId="20" fillId="0" borderId="0" xfId="0" applyNumberFormat="1" applyFont="1" applyFill="1" applyBorder="1"/>
    <x:xf numFmtId="201" fontId="10" fillId="0" borderId="0" xfId="0" applyNumberFormat="1" applyFont="1" applyFill="1" applyBorder="1"/>
    <x:xf numFmtId="201" fontId="14" fillId="0" borderId="0" xfId="0" applyNumberFormat="1" applyFont="1" applyFill="1" applyBorder="1"/>
    <x:xf numFmtId="200" fontId="10" fillId="0" borderId="0" xfId="0" applyNumberFormat="1" applyFont="1" applyFill="1" applyBorder="1"/>
    <x:xf numFmtId="204" fontId="14" fillId="0" borderId="0" xfId="0" applyNumberFormat="1" applyFont="1" applyFill="1" applyBorder="1"/>
    <x:xf numFmtId="201" fontId="10" fillId="0" borderId="0" xfId="0" applyNumberFormat="1" applyFont="1" applyFill="1" applyBorder="1" applyAlignment="1">
      <x:alignment wrapText="1"/>
    </x:xf>
    <x:xf numFmtId="201" fontId="14" fillId="0" borderId="0" xfId="0" applyNumberFormat="1" applyFont="1" applyFill="1" applyBorder="1" applyAlignment="1">
      <x:alignment wrapText="1"/>
    </x:xf>
    <x:xf numFmtId="200" fontId="10" fillId="0" borderId="0" xfId="0" applyNumberFormat="1" applyFont="1" applyFill="1" applyBorder="1" applyAlignment="1">
      <x:alignment wrapText="1"/>
    </x:xf>
    <x:xf numFmtId="204" fontId="14" fillId="0" borderId="0" xfId="0" applyNumberFormat="1" applyFont="1" applyFill="1" applyBorder="1" applyAlignment="1">
      <x:alignment wrapText="1"/>
    </x:xf>
    <x:xf numFmtId="200" fontId="10" fillId="0" borderId="0" xfId="0" applyNumberFormat="1" applyFont="1" applyFill="1" applyBorder="1" applyAlignment="1">
      <x:alignment vertical="top" wrapText="1"/>
    </x:xf>
    <x:xf numFmtId="204" fontId="14" fillId="0" borderId="0" xfId="0" applyNumberFormat="1" applyFont="1" applyFill="1" applyBorder="1" applyAlignment="1">
      <x:alignment vertical="top" wrapText="1"/>
    </x:xf>
    <x:xf numFmtId="200" fontId="10" fillId="0" borderId="14" xfId="0" applyNumberFormat="1" applyFont="1" applyFill="1" applyBorder="1" applyAlignment="1">
      <x:alignment vertical="top" wrapText="1"/>
    </x:xf>
    <x:xf numFmtId="204" fontId="14" fillId="0" borderId="14" xfId="0" applyNumberFormat="1" applyFont="1" applyFill="1" applyBorder="1" applyAlignment="1">
      <x:alignment vertical="top" wrapText="1"/>
    </x:xf>
    <x:xf numFmtId="200" fontId="10" fillId="0" borderId="15" xfId="0" applyNumberFormat="1" applyFont="1" applyFill="1" applyBorder="1" applyAlignment="1">
      <x:alignment vertical="top" wrapText="1"/>
    </x:xf>
    <x:xf numFmtId="201" fontId="13" fillId="0" borderId="14" xfId="0" applyNumberFormat="1" applyFont="1" applyFill="1" applyBorder="1" applyAlignment="1">
      <x:alignment vertical="top" wrapText="1"/>
    </x:xf>
    <x:xf numFmtId="201" fontId="13" fillId="0" borderId="17" xfId="0" applyNumberFormat="1" applyFont="1" applyFill="1" applyBorder="1" applyAlignment="1">
      <x:alignment vertical="top" wrapText="1"/>
    </x:xf>
    <x:xf numFmtId="0" fontId="21" fillId="0" borderId="5" xfId="0" applyNumberFormat="1" applyFont="1" applyFill="1" applyBorder="1" applyAlignment="1">
      <x:alignment vertical="top" wrapText="1"/>
    </x:xf>
    <x:xf numFmtId="0" fontId="21" fillId="0" borderId="12" xfId="0" applyNumberFormat="1" applyFont="1" applyFill="1" applyBorder="1" applyAlignment="1">
      <x:alignment vertical="top" wrapText="1"/>
    </x:xf>
    <x:xf numFmtId="0" fontId="21" fillId="0" borderId="7" xfId="0" applyNumberFormat="1" applyFont="1" applyFill="1" applyBorder="1" applyAlignment="1">
      <x:alignment vertical="top" wrapText="1"/>
    </x:xf>
    <x:xf numFmtId="204" fontId="8" fillId="0" borderId="0" xfId="0" applyNumberFormat="1" applyFont="1" applyFill="1" applyBorder="1"/>
    <x:xf numFmtId="204" fontId="9" fillId="0" borderId="0" xfId="0" applyNumberFormat="1" applyFont="1" applyFill="1" applyBorder="1"/>
    <x:xf numFmtId="204" fontId="10" fillId="0" borderId="0" xfId="0" applyNumberFormat="1" applyFont="1" applyFill="1" applyBorder="1"/>
    <x:xf numFmtId="204" fontId="10" fillId="0" borderId="0" xfId="0" applyNumberFormat="1" applyFont="1" applyFill="1" applyBorder="1" applyAlignment="1">
      <x:alignment wrapText="1"/>
    </x:xf>
    <x:xf numFmtId="204" fontId="10" fillId="0" borderId="0" xfId="0" applyNumberFormat="1" applyFont="1" applyFill="1" applyBorder="1" applyAlignment="1">
      <x:alignment vertical="top" wrapText="1"/>
    </x:xf>
    <x:xf numFmtId="204" fontId="10" fillId="0" borderId="14" xfId="0" applyNumberFormat="1" applyFont="1" applyFill="1" applyBorder="1" applyAlignment="1">
      <x:alignment vertical="top" wrapText="1"/>
    </x:xf>
    <x:xf numFmtId="0" fontId="2" fillId="0" borderId="2" xfId="0" applyNumberFormat="1" applyFont="1" applyFill="1" applyBorder="1" applyAlignment="1">
      <x:alignment wrapText="1"/>
    </x:xf>
    <x:xf numFmtId="0" fontId="2" fillId="0" borderId="16" xfId="0" applyNumberFormat="1" applyFont="1" applyFill="1" applyBorder="1" applyAlignment="1">
      <x:alignment wrapText="1"/>
    </x:xf>
    <x:xf numFmtId="0" fontId="2" fillId="0" borderId="3" xfId="0" applyNumberFormat="1" applyFont="1" applyFill="1" applyBorder="1" applyAlignment="1">
      <x:alignment wrapText="1"/>
    </x:xf>
    <x:xf numFmtId="0" fontId="10" fillId="0" borderId="0" xfId="0" applyNumberFormat="1" applyFont="1" applyFill="1" applyBorder="1" applyAlignment="1">
      <x:alignment vertical="top" wrapText="1"/>
    </x:xf>
    <x:xf numFmtId="201" fontId="10" fillId="0" borderId="5" xfId="0" applyNumberFormat="1" applyFont="1" applyFill="1" applyBorder="1" applyAlignment="1">
      <x:alignment vertical="top" wrapText="1"/>
    </x:xf>
    <x:xf numFmtId="201" fontId="10" fillId="0" borderId="7" xfId="0" applyNumberFormat="1" applyFont="1" applyFill="1" applyBorder="1" applyAlignment="1">
      <x:alignment vertical="top" wrapText="1"/>
    </x:xf>
    <x:xf numFmtId="201" fontId="10" fillId="0" borderId="15" xfId="0" applyNumberFormat="1" applyFont="1" applyFill="1" applyBorder="1" applyAlignment="1">
      <x:alignment vertical="top" wrapText="1"/>
    </x:xf>
    <x:xf numFmtId="0" fontId="2" fillId="0" borderId="23" xfId="0" applyNumberFormat="1" applyFont="1" applyFill="1" applyBorder="1" applyAlignment="1">
      <x:alignment vertical="top" wrapText="1"/>
    </x:xf>
    <x:xf numFmtId="0" fontId="2" fillId="0" borderId="24" xfId="0" applyNumberFormat="1" applyFont="1" applyFill="1" applyBorder="1" applyAlignment="1">
      <x:alignment vertical="top" wrapText="1"/>
    </x:xf>
    <x:xf numFmtId="0" fontId="4" fillId="0" borderId="25" xfId="0" applyNumberFormat="1" applyFont="1" applyFill="1" applyBorder="1" applyAlignment="1">
      <x:alignment vertical="top" wrapText="0"/>
    </x:xf>
    <x:xf numFmtId="0" fontId="2" fillId="0" borderId="26" xfId="0" applyNumberFormat="1" applyFont="1" applyFill="1" applyBorder="1" applyAlignment="1">
      <x:alignment vertical="top" wrapText="0"/>
    </x:xf>
    <x:xf numFmtId="0" fontId="3" fillId="2" borderId="27" xfId="0" applyNumberFormat="1" applyFont="1" applyFill="1" applyBorder="1" applyAlignment="1">
      <x:alignment horizontal="center" vertical="top" wrapText="1"/>
    </x:xf>
    <x:xf numFmtId="0" fontId="3" fillId="2" borderId="28" xfId="0" applyNumberFormat="1" applyFont="1" applyFill="1" applyBorder="1" applyAlignment="1">
      <x:alignment horizontal="center" vertical="top" wrapText="1"/>
    </x:xf>
    <x:xf numFmtId="0" fontId="3" fillId="0" borderId="29" xfId="0" applyNumberFormat="1" applyFont="1" applyFill="1" applyBorder="1" applyAlignment="1">
      <x:alignment vertical="top" wrapText="1"/>
    </x:xf>
    <x:xf numFmtId="0" fontId="2" fillId="0" borderId="30" xfId="0" applyNumberFormat="1" applyFont="1" applyFill="1" applyBorder="1" applyAlignment="1">
      <x:alignment vertical="top" wrapText="1"/>
    </x:xf>
    <x:xf numFmtId="0" fontId="3" fillId="0" borderId="31" xfId="0" applyNumberFormat="1" applyFont="1" applyFill="1" applyBorder="1" applyAlignment="1">
      <x:alignment vertical="top" wrapText="1"/>
    </x:xf>
    <x:xf numFmtId="0" fontId="2" fillId="0" borderId="32" xfId="0" applyNumberFormat="1" applyFont="1" applyFill="1" applyBorder="1" applyAlignment="1">
      <x:alignment vertical="top" wrapText="1"/>
    </x:xf>
    <x:xf numFmtId="0" fontId="5" fillId="0" borderId="33" xfId="0" applyNumberFormat="1" applyFont="1" applyFill="1" applyBorder="1" applyAlignment="1">
      <x:alignment vertical="top" wrapText="1"/>
    </x:xf>
    <x:xf numFmtId="200" fontId="6" fillId="0" borderId="34" xfId="0" applyNumberFormat="1" applyFont="1" applyFill="1" applyBorder="1" applyAlignment="1">
      <x:alignment vertical="top" wrapText="1"/>
    </x:xf>
    <x:xf numFmtId="0" fontId="2" fillId="0" borderId="35" xfId="0" applyNumberFormat="1" applyFont="1" applyFill="1" applyBorder="1" applyAlignment="1">
      <x:alignment vertical="top" wrapText="1"/>
    </x:xf>
    <x:xf numFmtId="0" fontId="2" fillId="0" borderId="36" xfId="0" applyNumberFormat="1" applyFont="1" applyFill="1" applyBorder="1" applyAlignment="1">
      <x:alignment vertical="top" wrapText="1"/>
    </x:xf>
    <x:xf numFmtId="0" fontId="3" fillId="0" borderId="37" xfId="0" applyNumberFormat="1" applyFont="1" applyFill="1" applyBorder="1" applyAlignment="1">
      <x:alignment vertical="top" wrapText="1"/>
    </x:xf>
    <x:xf numFmtId="0" fontId="2" fillId="0" borderId="38" xfId="0" applyNumberFormat="1" applyFont="1" applyFill="1" applyBorder="1" applyAlignment="1">
      <x:alignment vertical="top" wrapText="1"/>
    </x:xf>
    <x:xf numFmtId="0" fontId="2" fillId="0" borderId="39" xfId="0" applyNumberFormat="1" applyFont="1" applyFill="1" applyBorder="1" applyAlignment="1">
      <x:alignment vertical="top" wrapText="1"/>
    </x:xf>
    <x:xf numFmtId="0" fontId="2" fillId="0" borderId="40" xfId="0" applyNumberFormat="1" applyFont="1" applyFill="1" applyBorder="1" applyAlignment="1">
      <x:alignment vertical="top" wrapText="1"/>
    </x:xf>
    <x:xf numFmtId="0" fontId="2" fillId="0" borderId="41" xfId="0" applyNumberFormat="1" applyFont="1" applyFill="1" applyBorder="1" applyAlignment="1">
      <x:alignment vertical="top" wrapText="1"/>
    </x:xf>
    <x:xf numFmtId="0" fontId="2" fillId="0" borderId="42" xfId="0" applyNumberFormat="1" applyFont="1" applyFill="1" applyBorder="1" applyAlignment="1">
      <x:alignment vertical="top" wrapText="1"/>
    </x:xf>
    <x:xf numFmtId="0" fontId="3" fillId="2" borderId="43" xfId="0" applyNumberFormat="1" applyFont="1" applyFill="1" applyBorder="1" applyAlignment="1">
      <x:alignment horizontal="center" vertical="top" wrapText="1"/>
    </x:xf>
    <x:xf numFmtId="201" fontId="10" fillId="0" borderId="44" xfId="0" applyNumberFormat="1" applyFont="1" applyFill="1" applyBorder="1" applyAlignment="1">
      <x:alignment vertical="top" wrapText="1"/>
    </x:xf>
    <x:xf numFmtId="203" fontId="2" fillId="0" borderId="45" xfId="0" applyNumberFormat="1" applyFont="1" applyFill="1" applyBorder="1" applyAlignment="1">
      <x:alignment vertical="top" wrapText="1"/>
    </x:xf>
    <x:xf numFmtId="0" fontId="2" fillId="0" borderId="46" xfId="0" applyNumberFormat="1" applyFont="1" applyFill="1" applyBorder="1" applyAlignment="1">
      <x:alignment vertical="top" wrapText="1"/>
    </x:xf>
    <x:xf numFmtId="0" fontId="3" fillId="0" borderId="47" xfId="0" applyNumberFormat="1" applyFont="1" applyFill="1" applyBorder="1" applyAlignment="1">
      <x:alignment vertical="top" wrapText="1"/>
    </x:xf>
    <x:xf numFmtId="201" fontId="16" fillId="0" borderId="48" xfId="0" applyNumberFormat="1" applyFont="1" applyFill="1" applyBorder="1" applyAlignment="1">
      <x:alignment vertical="top" wrapText="1"/>
    </x:xf>
    <x:xf numFmtId="203" fontId="3" fillId="0" borderId="49" xfId="0" applyNumberFormat="1" applyFont="1" applyFill="1" applyBorder="1" applyAlignment="1">
      <x:alignment vertical="top" wrapText="1"/>
    </x:xf>
    <x:xf numFmtId="0" fontId="3" fillId="0" borderId="50" xfId="0" applyNumberFormat="1" applyFont="1" applyFill="1" applyBorder="1" applyAlignment="1">
      <x:alignment vertical="top" wrapText="1"/>
    </x:xf>
    <x:xf numFmtId="0" fontId="3" fillId="0" borderId="51" xfId="0" applyNumberFormat="1" applyFont="1" applyFill="1" applyBorder="1" applyAlignment="1">
      <x:alignment vertical="top" wrapText="1"/>
    </x:xf>
    <x:xf numFmtId="201" fontId="2" fillId="0" borderId="52" xfId="0" applyNumberFormat="1" applyFont="1" applyFill="1" applyBorder="1" applyAlignment="1">
      <x:alignment vertical="top" wrapText="1"/>
    </x:xf>
    <x:xf numFmtId="203" fontId="2" fillId="0" borderId="53" xfId="0" applyNumberFormat="1" applyFont="1" applyFill="1" applyBorder="1" applyAlignment="1">
      <x:alignment vertical="top" wrapText="1"/>
    </x:xf>
    <x:xf numFmtId="201" fontId="3" fillId="2" borderId="54" xfId="0" applyNumberFormat="1" applyFont="1" applyFill="1" applyBorder="1" applyAlignment="1">
      <x:alignment horizontal="center" vertical="top" wrapText="1"/>
    </x:xf>
    <x:xf numFmtId="203" fontId="3" fillId="2" borderId="55" xfId="0" applyNumberFormat="1" applyFont="1" applyFill="1" applyBorder="1" applyAlignment="1">
      <x:alignment horizontal="center" vertical="top" wrapText="1"/>
    </x:xf>
    <x:xf numFmtId="0" fontId="3" fillId="0" borderId="56" xfId="0" applyNumberFormat="1" applyFont="1" applyFill="1" applyBorder="1" applyAlignment="1">
      <x:alignment vertical="top" wrapText="1"/>
    </x:xf>
    <x:xf numFmtId="201" fontId="16" fillId="0" borderId="57" xfId="0" applyNumberFormat="1" applyFont="1" applyFill="1" applyBorder="1" applyAlignment="1">
      <x:alignment vertical="top" wrapText="1"/>
    </x:xf>
    <x:xf numFmtId="203" fontId="3" fillId="0" borderId="58" xfId="0" applyNumberFormat="1" applyFont="1" applyFill="1" applyBorder="1" applyAlignment="1">
      <x:alignment vertical="top" wrapText="1"/>
    </x:xf>
    <x:xf numFmtId="0" fontId="3" fillId="0" borderId="59" xfId="0" applyNumberFormat="1" applyFont="1" applyFill="1" applyBorder="1" applyAlignment="1">
      <x:alignment vertical="top" wrapText="1"/>
    </x:xf>
    <x:xf numFmtId="0" fontId="3" fillId="0" borderId="60" xfId="0" applyNumberFormat="1" applyFont="1" applyFill="1" applyBorder="1" applyAlignment="1">
      <x:alignment vertical="top" wrapText="1"/>
    </x:xf>
    <x:xf numFmtId="0" fontId="2" fillId="0" borderId="61" xfId="0" applyNumberFormat="1" applyFont="1" applyFill="1" applyBorder="1" applyAlignment="1">
      <x:alignment vertical="top" wrapText="1"/>
    </x:xf>
    <x:xf numFmtId="201" fontId="10" fillId="0" borderId="62" xfId="0" applyNumberFormat="1" applyFont="1" applyFill="1" applyBorder="1" applyAlignment="1">
      <x:alignment vertical="top" wrapText="1"/>
    </x:xf>
    <x:xf numFmtId="203" fontId="2" fillId="0" borderId="63" xfId="0" applyNumberFormat="1" applyFont="1" applyFill="1" applyBorder="1" applyAlignment="1">
      <x:alignment vertical="top" wrapText="1"/>
    </x:xf>
    <x:xf numFmtId="0" fontId="2" fillId="0" borderId="64" xfId="0" applyNumberFormat="1" applyFont="1" applyFill="1" applyBorder="1" applyAlignment="1">
      <x:alignment vertical="top" wrapText="1"/>
    </x:xf>
    <x:xf numFmtId="0" fontId="2" fillId="0" borderId="65" xfId="0" applyNumberFormat="1" applyFont="1" applyFill="1" applyBorder="1" applyAlignment="1">
      <x:alignment vertical="top" wrapText="1"/>
    </x:xf>
    <x:xf numFmtId="0" fontId="18" fillId="0" borderId="66" xfId="0" applyNumberFormat="1" applyFont="1" applyFill="1" applyBorder="1" applyAlignment="1">
      <x:alignment wrapText="0"/>
    </x:xf>
    <x:xf numFmtId="0" fontId="0" fillId="0" borderId="67" xfId="0" applyNumberFormat="1" applyFont="1" applyFill="1" applyBorder="1" applyAlignment="1">
      <x:alignment wrapText="0"/>
    </x:xf>
    <x:xf numFmtId="0" fontId="21" fillId="0" borderId="68" xfId="0" applyNumberFormat="1" applyFont="1" applyFill="1" applyBorder="1" applyAlignment="1">
      <x:alignment vertical="top" wrapText="1"/>
    </x:xf>
    <x:xf numFmtId="201" fontId="13" fillId="0" borderId="69" xfId="0" applyNumberFormat="1" applyFont="1" applyFill="1" applyBorder="1" applyAlignment="1">
      <x:alignment vertical="top" wrapText="1"/>
    </x:xf>
    <x:xf numFmtId="0" fontId="21" fillId="0" borderId="70" xfId="0" applyNumberFormat="1" applyFont="1" applyFill="1" applyBorder="1" applyAlignment="1">
      <x:alignment vertical="top" wrapText="1"/>
    </x:xf>
    <x:xf numFmtId="200" fontId="10" fillId="0" borderId="71" xfId="0" applyNumberFormat="1" applyFont="1" applyFill="1" applyBorder="1" applyAlignment="1">
      <x:alignment vertical="top" wrapText="1"/>
    </x:xf>
    <x:xf numFmtId="204" fontId="14" fillId="0" borderId="72" xfId="0" applyNumberFormat="1" applyFont="1" applyFill="1" applyBorder="1" applyAlignment="1">
      <x:alignment vertical="top" wrapText="1"/>
    </x:xf>
    <x:xf numFmtId="200" fontId="10" fillId="0" borderId="73" xfId="0" applyNumberFormat="1" applyFont="1" applyFill="1" applyBorder="1" applyAlignment="1">
      <x:alignment vertical="top" wrapText="1"/>
    </x:xf>
    <x:xf numFmtId="203" fontId="2" fillId="0" borderId="74" xfId="0" applyNumberFormat="1" applyFont="1" applyFill="1" applyBorder="1" applyAlignment="1">
      <x:alignment vertical="top" wrapText="1"/>
    </x:xf>
    <x:xf numFmtId="0" fontId="21" fillId="0" borderId="75" xfId="0" applyNumberFormat="1" applyFont="1" applyFill="1" applyBorder="1" applyAlignment="1">
      <x:alignment vertical="top" wrapText="1"/>
    </x:xf>
    <x:xf numFmtId="0" fontId="3" fillId="2" borderId="76" xfId="0" applyNumberFormat="1" applyFont="1" applyFill="1" applyBorder="1" applyAlignment="1">
      <x:alignment horizontal="center" vertical="top" wrapText="1"/>
    </x:xf>
    <x:xf numFmtId="0" fontId="2" fillId="0" borderId="77" xfId="0" applyNumberFormat="1" applyFont="1" applyFill="1" applyBorder="1" applyAlignment="1">
      <x:alignment vertical="top" wrapText="1"/>
    </x:xf>
    <x:xf numFmtId="0" fontId="2" fillId="0" borderId="78" xfId="0" applyNumberFormat="1" applyFont="1" applyFill="1" applyBorder="1" applyAlignment="1">
      <x:alignment vertical="top" wrapText="1"/>
    </x:xf>
    <x:xf numFmtId="201" fontId="14" fillId="0" borderId="79" xfId="0" applyNumberFormat="1" applyFont="1" applyFill="1" applyBorder="1" applyAlignment="1">
      <x:alignment vertical="top" wrapText="1"/>
    </x:xf>
    <x:xf numFmtId="204" fontId="10" fillId="0" borderId="80" xfId="0" applyNumberFormat="1" applyFont="1" applyFill="1" applyBorder="1" applyAlignment="1">
      <x:alignment vertical="top" wrapText="1"/>
    </x:xf>
    <x:xf numFmtId="0" fontId="2" fillId="0" borderId="81" xfId="0" applyNumberFormat="1" applyFont="1" applyFill="1" applyBorder="1"/>
    <x:xf numFmtId="0" fontId="3" fillId="2" borderId="82" xfId="0" applyNumberFormat="1" applyFont="1" applyFill="1" applyBorder="1" applyAlignment="1">
      <x:alignment horizontal="center" vertical="top" wrapText="1"/>
    </x:xf>
    <x:xf numFmtId="201" fontId="10" fillId="0" borderId="83" xfId="0" applyNumberFormat="1" applyFont="1" applyFill="1" applyBorder="1" applyAlignment="1">
      <x:alignment vertical="top" wrapText="1"/>
    </x:xf>
    <x:xf numFmtId="201" fontId="10" fillId="0" borderId="84" xfId="0" applyNumberFormat="1" applyFont="1" applyFill="1" applyBorder="1" applyAlignment="1">
      <x:alignment vertical="top" wrapText="1"/>
    </x:xf>
    <x:xf numFmtId="201" fontId="10" fillId="0" borderId="85" xfId="0" applyNumberFormat="1" applyFont="1" applyFill="1" applyBorder="1" applyAlignment="1">
      <x:alignment vertical="top" wrapText="1"/>
    </x:xf>
    <x:xf numFmtId="0" fontId="4" fillId="0" borderId="86" xfId="0" applyNumberFormat="1" applyFont="1" applyFill="1" applyBorder="1" applyAlignment="1">
      <x:alignment vertical="center" wrapText="0"/>
    </x:xf>
    <x:xf numFmtId="0" fontId="2" fillId="0" borderId="87" xfId="0" applyNumberFormat="1" applyFont="1" applyFill="1" applyBorder="1" applyAlignment="1">
      <x:alignment vertical="center" wrapText="0"/>
    </x:xf>
    <x:xf numFmtId="0" fontId="2" fillId="0" borderId="88" xfId="0" applyNumberFormat="1" applyFont="1" applyFill="1" applyBorder="1" applyAlignment="1">
      <x:alignment vertical="center" wrapText="0"/>
    </x:xf>
    <x:xf numFmtId="0" fontId="2" fillId="0" borderId="89" xfId="0" applyNumberFormat="1" applyFont="1" applyFill="1" applyBorder="1" applyAlignment="1">
      <x:alignment vertical="center" wrapText="0"/>
    </x:xf>
    <x:xf numFmtId="0" fontId="2" fillId="0" borderId="90" xfId="0" applyNumberFormat="1" applyFont="1" applyFill="1" applyBorder="1" applyAlignment="1">
      <x:alignment vertical="center" wrapText="0"/>
    </x:xf>
    <x:xf numFmtId="0" fontId="3" fillId="2" borderId="91" xfId="0" applyNumberFormat="1" applyFont="1" applyFill="1" applyBorder="1" applyAlignment="1">
      <x:alignment horizontal="center" vertical="center" wrapText="1"/>
    </x:xf>
    <x:xf numFmtId="0" fontId="3" fillId="2" borderId="92" xfId="0" applyNumberFormat="1" applyFont="1" applyFill="1" applyBorder="1" applyAlignment="1">
      <x:alignment horizontal="center" vertical="center" wrapText="1"/>
    </x:xf>
    <x:xf numFmtId="0" fontId="3" fillId="2" borderId="93" xfId="0" applyNumberFormat="1" applyFont="1" applyFill="1" applyBorder="1" applyAlignment="1">
      <x:alignment horizontal="center" vertical="center" wrapText="1"/>
    </x:xf>
    <x:xf numFmtId="0" fontId="2" fillId="0" borderId="94" xfId="0" applyNumberFormat="1" applyFont="1" applyFill="1" applyBorder="1" applyAlignment="1">
      <x:alignment vertical="center" wrapText="1"/>
    </x:xf>
    <x:xf numFmtId="0" fontId="2" fillId="0" borderId="95" xfId="0" applyNumberFormat="1" applyFont="1" applyFill="1" applyBorder="1" applyAlignment="1">
      <x:alignment vertical="center" wrapText="1"/>
    </x:xf>
    <x:xf numFmtId="0" fontId="2" fillId="0" borderId="96" xfId="0" applyNumberFormat="1" applyFont="1" applyFill="1" applyBorder="1" applyAlignment="1">
      <x:alignment vertical="center" wrapText="1"/>
    </x:xf>
    <x:xf numFmtId="201" fontId="10" fillId="0" borderId="97" xfId="0" applyNumberFormat="1" applyFont="1" applyFill="1" applyBorder="1" applyAlignment="1">
      <x:alignment vertical="center" wrapText="1"/>
    </x:xf>
    <x:xf numFmtId="0" fontId="2" fillId="0" borderId="98" xfId="0" applyNumberFormat="1" applyFont="1" applyFill="1" applyBorder="1" applyAlignment="1">
      <x:alignment vertical="center" wrapText="1"/>
    </x:xf>
    <x:xf numFmtId="0" fontId="2" fillId="0" borderId="99" xfId="0" applyNumberFormat="1" applyFont="1" applyFill="1" applyBorder="1" applyAlignment="1">
      <x:alignment vertical="center" wrapText="1"/>
    </x:xf>
    <x:xf numFmtId="0" fontId="2" fillId="0" borderId="100" xfId="0" applyNumberFormat="1" applyFont="1" applyFill="1" applyBorder="1" applyAlignment="1">
      <x:alignment vertical="center" wrapText="1"/>
    </x:xf>
    <x:xf numFmtId="201" fontId="10" fillId="0" borderId="101" xfId="0" applyNumberFormat="1" applyFont="1" applyFill="1" applyBorder="1" applyAlignment="1">
      <x:alignment vertical="center" wrapText="1"/>
    </x:xf>
    <x:xf numFmtId="0" fontId="2" fillId="0" borderId="102" xfId="0" applyNumberFormat="1" applyFont="1" applyFill="1" applyBorder="1" applyAlignment="1">
      <x:alignment vertical="center" wrapText="1"/>
    </x:xf>
    <x:xf numFmtId="0" fontId="2" fillId="0" borderId="103" xfId="0" applyNumberFormat="1" applyFont="1" applyFill="1" applyBorder="1" applyAlignment="1">
      <x:alignment vertical="center" wrapText="1"/>
    </x:xf>
    <x:xf numFmtId="0" fontId="2" fillId="0" borderId="104" xfId="0" applyNumberFormat="1" applyFont="1" applyFill="1" applyBorder="1" applyAlignment="1">
      <x:alignment vertical="center" wrapText="1"/>
    </x:xf>
    <x:xf numFmtId="0" fontId="2" fillId="0" borderId="105" xfId="0" applyNumberFormat="1" applyFont="1" applyFill="1" applyBorder="1" applyAlignment="1">
      <x:alignment vertical="center" wrapText="1"/>
    </x:xf>
    <x:xf numFmtId="0" fontId="2" fillId="0" borderId="106" xfId="0" applyNumberFormat="1" applyFont="1" applyFill="1" applyBorder="1" applyAlignment="1">
      <x:alignment vertical="center" wrapText="1"/>
    </x:xf>
    <x:xf numFmtId="0" fontId="3" fillId="2" borderId="107" xfId="0" applyNumberFormat="1" applyFont="1" applyFill="1" applyBorder="1" applyAlignment="1">
      <x:alignment horizontal="center" vertical="center" wrapText="1"/>
    </x:xf>
    <x:xf numFmtId="201" fontId="2" fillId="0" borderId="108" xfId="0" applyNumberFormat="1" applyFont="1" applyFill="1" applyBorder="1" applyAlignment="1">
      <x:alignment vertical="center" wrapText="1"/>
    </x:xf>
    <x:xf numFmtId="0" fontId="2" fillId="0" borderId="109" xfId="0" applyNumberFormat="1" applyFont="1" applyFill="1" applyBorder="1" applyAlignment="1">
      <x:alignment vertical="center" wrapText="1"/>
    </x:xf>
    <x:xf numFmtId="201" fontId="2" fillId="0" borderId="110" xfId="0" applyNumberFormat="1" applyFont="1" applyFill="1" applyBorder="1" applyAlignment="1">
      <x:alignment vertical="center" wrapText="1"/>
    </x:xf>
    <x:xf numFmtId="0" fontId="2" fillId="0" borderId="111" xfId="0" applyNumberFormat="1" applyFont="1" applyFill="1" applyBorder="1" applyAlignment="1">
      <x:alignment vertical="center" wrapText="1"/>
    </x:xf>
    <x:xf numFmtId="203" fontId="2" fillId="0" borderId="112" xfId="0" applyNumberFormat="1" applyFont="1" applyFill="1" applyBorder="1" applyAlignment="1">
      <x:alignment vertical="center" wrapText="1"/>
    </x:xf>
    <x:xf numFmtId="203" fontId="2" fillId="0" borderId="113" xfId="0" applyNumberFormat="1" applyFont="1" applyFill="1" applyBorder="1" applyAlignment="1">
      <x:alignment vertical="center" wrapText="1"/>
    </x:xf>
    <x:xf numFmtId="203" fontId="2" fillId="0" borderId="114" xfId="0" applyNumberFormat="1" applyFont="1" applyFill="1" applyBorder="1" applyAlignment="1">
      <x:alignment vertical="center" wrapText="1"/>
    </x:xf>
    <x:xf numFmtId="201" fontId="10" fillId="0" borderId="115" xfId="0" applyNumberFormat="1" applyFont="1" applyFill="1" applyBorder="1" applyAlignment="1">
      <x:alignment vertical="center" wrapText="1"/>
    </x:xf>
    <x:xf numFmtId="203" fontId="2" fillId="0" borderId="116" xfId="0" applyNumberFormat="1" applyFont="1" applyFill="1" applyBorder="1" applyAlignment="1">
      <x:alignment vertical="center" wrapText="1"/>
    </x:xf>
    <x:xf numFmtId="201" fontId="14" fillId="0" borderId="117" xfId="0" applyNumberFormat="1" applyFont="1" applyFill="1" applyBorder="1" applyAlignment="1">
      <x:alignment vertical="center" wrapText="1"/>
    </x:xf>
    <x:xf numFmtId="203" fontId="2" fillId="0" borderId="118" xfId="0" applyNumberFormat="1" applyFont="1" applyFill="1" applyBorder="1" applyAlignment="1">
      <x:alignment vertical="center" wrapText="1"/>
    </x:xf>
    <x:xf numFmtId="0" fontId="5" fillId="0" borderId="119" xfId="0" applyNumberFormat="1" applyFont="1" applyFill="1" applyBorder="1" applyAlignment="1">
      <x:alignment vertical="center" wrapText="0"/>
    </x:xf>
    <x:xf numFmtId="0" fontId="3" fillId="2" borderId="120" xfId="0" applyNumberFormat="1" applyFont="1" applyFill="1" applyBorder="1" applyAlignment="1">
      <x:alignment horizontal="center" vertical="center" wrapText="0"/>
    </x:xf>
    <x:xf numFmtId="0" fontId="3" fillId="2" borderId="121" xfId="0" applyNumberFormat="1" applyFont="1" applyFill="1" applyBorder="1" applyAlignment="1">
      <x:alignment horizontal="center" vertical="center" wrapText="0"/>
    </x:xf>
    <x:xf numFmtId="0" fontId="2" fillId="0" borderId="122" xfId="0" applyNumberFormat="1" applyFont="1" applyFill="1" applyBorder="1" applyAlignment="1">
      <x:alignment vertical="center" wrapText="0"/>
    </x:xf>
    <x:xf numFmtId="201" fontId="10" fillId="0" borderId="123" xfId="0" applyNumberFormat="1" applyFont="1" applyFill="1" applyBorder="1" applyAlignment="1">
      <x:alignment vertical="center" wrapText="0"/>
    </x:xf>
    <x:xf numFmtId="0" fontId="3" fillId="0" borderId="124" xfId="0" applyNumberFormat="1" applyFont="1" applyFill="1" applyBorder="1" applyAlignment="1">
      <x:alignment vertical="center" wrapText="1"/>
    </x:xf>
    <x:xf numFmtId="201" fontId="16" fillId="0" borderId="125" xfId="0" applyNumberFormat="1" applyFont="1" applyFill="1" applyBorder="1" applyAlignment="1">
      <x:alignment vertical="center" wrapText="0"/>
    </x:xf>
    <x:xf numFmtId="201" fontId="3" fillId="0" borderId="126" xfId="0" applyNumberFormat="1" applyFont="1" applyFill="1" applyBorder="1" applyAlignment="1">
      <x:alignment vertical="center" wrapText="0"/>
    </x:xf>
    <x:xf numFmtId="0" fontId="3" fillId="0" borderId="127" xfId="0" applyNumberFormat="1" applyFont="1" applyFill="1" applyBorder="1" applyAlignment="1">
      <x:alignment vertical="center" wrapText="1"/>
    </x:xf>
    <x:xf numFmtId="201" fontId="3" fillId="0" borderId="128" xfId="0" applyNumberFormat="1" applyFont="1" applyFill="1" applyBorder="1" applyAlignment="1">
      <x:alignment vertical="center" wrapText="0"/>
    </x:xf>
    <x:xf numFmtId="0" fontId="2" fillId="0" borderId="129" xfId="0" applyNumberFormat="1" applyFont="1" applyFill="1" applyBorder="1" applyAlignment="1">
      <x:alignment vertical="center" wrapText="1"/>
    </x:xf>
    <x:xf numFmtId="201" fontId="10" fillId="0" borderId="130" xfId="0" applyNumberFormat="1" applyFont="1" applyFill="1" applyBorder="1" applyAlignment="1">
      <x:alignment vertical="center" wrapText="0"/>
    </x:xf>
    <x:xf numFmtId="206" fontId="2" fillId="0" borderId="131" xfId="0" applyNumberFormat="1" applyFont="1" applyFill="1" applyBorder="1" applyAlignment="1">
      <x:alignment vertical="center" wrapText="0"/>
    </x:xf>
    <x:xf numFmtId="201" fontId="13" fillId="0" borderId="132" xfId="0" applyNumberFormat="1" applyFont="1" applyFill="1" applyBorder="1" applyAlignment="1">
      <x:alignment vertical="center" wrapText="0"/>
    </x:xf>
    <x:xf numFmtId="201" fontId="2" fillId="0" borderId="133" xfId="0" applyNumberFormat="1" applyFont="1" applyFill="1" applyBorder="1" applyAlignment="1">
      <x:alignment vertical="center" wrapText="0"/>
    </x:xf>
    <x:xf numFmtId="206" fontId="2" fillId="0" borderId="134" xfId="0" applyNumberFormat="1" applyFont="1" applyFill="1" applyBorder="1" applyAlignment="1">
      <x:alignment vertical="center" wrapText="0"/>
    </x:xf>
    <x:xf numFmtId="201" fontId="2" fillId="0" borderId="135" xfId="0" applyNumberFormat="1" applyFont="1" applyFill="1" applyBorder="1" applyAlignment="1">
      <x:alignment vertical="center" wrapText="0"/>
    </x:xf>
    <x:xf numFmtId="204" fontId="2" fillId="0" borderId="136" xfId="0" applyNumberFormat="1" applyFont="1" applyFill="1" applyBorder="1" applyAlignment="1">
      <x:alignment vertical="center" wrapText="0"/>
    </x:xf>
    <x:xf numFmtId="0" fontId="3" fillId="2" borderId="137" xfId="0" applyNumberFormat="1" applyFont="1" applyFill="1" applyBorder="1" applyAlignment="1">
      <x:alignment horizontal="center" vertical="center" wrapText="1"/>
    </x:xf>
    <x:xf numFmtId="0" fontId="2" fillId="0" borderId="138" xfId="0" applyNumberFormat="1" applyFont="1" applyFill="1" applyBorder="1" applyAlignment="1">
      <x:alignment vertical="center" wrapText="1"/>
    </x:xf>
    <x:xf numFmtId="201" fontId="2" fillId="0" borderId="139" xfId="0" applyNumberFormat="1" applyFont="1" applyFill="1" applyBorder="1" applyAlignment="1">
      <x:alignment vertical="center" wrapText="1"/>
    </x:xf>
    <x:xf numFmtId="0" fontId="2" fillId="0" borderId="140" xfId="0" applyNumberFormat="1" applyFont="1" applyFill="1" applyBorder="1" applyAlignment="1">
      <x:alignment vertical="center" wrapText="1"/>
    </x:xf>
    <x:xf numFmtId="201" fontId="2" fillId="0" borderId="141" xfId="0" applyNumberFormat="1" applyFont="1" applyFill="1" applyBorder="1" applyAlignment="1">
      <x:alignment vertical="center" wrapText="1"/>
    </x:xf>
    <x:xf numFmtId="0" fontId="2" fillId="0" borderId="142" xfId="0" applyNumberFormat="1" applyFont="1" applyFill="1" applyBorder="1" applyAlignment="1">
      <x:alignment vertical="center" wrapText="0"/>
    </x:xf>
    <x:xf numFmtId="201" fontId="10" fillId="0" borderId="143" xfId="0" applyNumberFormat="1" applyFont="1" applyFill="1" applyBorder="1" applyAlignment="1">
      <x:alignment vertical="center" wrapText="0"/>
    </x:xf>
    <x:xf numFmtId="201" fontId="14" fillId="0" borderId="144" xfId="0" applyNumberFormat="1" applyFont="1" applyFill="1" applyBorder="1" applyAlignment="1">
      <x:alignment vertical="center" wrapText="0"/>
    </x:xf>
    <x:xf numFmtId="0" fontId="2" fillId="0" borderId="145" xfId="0" applyNumberFormat="1" applyFont="1" applyFill="1" applyBorder="1" applyAlignment="1">
      <x:alignment vertical="center" wrapText="0"/>
    </x:xf>
    <x:xf numFmtId="201" fontId="10" fillId="0" borderId="146" xfId="0" applyNumberFormat="1" applyFont="1" applyFill="1" applyBorder="1" applyAlignment="1">
      <x:alignment vertical="center" wrapText="0"/>
    </x:xf>
    <x:xf numFmtId="201" fontId="14" fillId="0" borderId="147" xfId="0" applyNumberFormat="1" applyFont="1" applyFill="1" applyBorder="1" applyAlignment="1">
      <x:alignment vertical="center" wrapText="0"/>
    </x:xf>
    <x:xf numFmtId="0" fontId="15" fillId="0" borderId="148" xfId="0" applyNumberFormat="1" applyFont="1" applyFill="1" applyBorder="1" applyAlignment="1">
      <x:alignment vertical="center" wrapText="0"/>
    </x:xf>
    <x:xf numFmtId="200" fontId="15" fillId="0" borderId="149" xfId="0" applyNumberFormat="1" applyFont="1" applyFill="1" applyBorder="1" applyAlignment="1">
      <x:alignment vertical="center" wrapText="0"/>
    </x:xf>
    <x:xf numFmtId="201" fontId="3" fillId="2" borderId="150" xfId="0" applyNumberFormat="1" applyFont="1" applyFill="1" applyBorder="1" applyAlignment="1">
      <x:alignment horizontal="center" vertical="center" wrapText="0"/>
    </x:xf>
    <x:xf numFmtId="0" fontId="3" fillId="2" borderId="151" xfId="0" applyNumberFormat="1" applyFont="1" applyFill="1" applyBorder="1" applyAlignment="1">
      <x:alignment horizontal="center" vertical="center" wrapText="0"/>
    </x:xf>
    <x:xf numFmtId="0" fontId="3" fillId="2" borderId="152" xfId="0" applyNumberFormat="1" applyFont="1" applyFill="1" applyBorder="1" applyAlignment="1">
      <x:alignment horizontal="center" vertical="center" wrapText="0"/>
    </x:xf>
    <x:xf numFmtId="201" fontId="2" fillId="0" borderId="153" xfId="0" applyNumberFormat="1" applyFont="1" applyFill="1" applyBorder="1" applyAlignment="1">
      <x:alignment vertical="center" wrapText="0"/>
    </x:xf>
    <x:xf numFmtId="201" fontId="2" fillId="0" borderId="154" xfId="0" applyNumberFormat="1" applyFont="1" applyFill="1" applyBorder="1" applyAlignment="1">
      <x:alignment vertical="center" wrapText="1"/>
    </x:xf>
    <x:xf numFmtId="203" fontId="2" fillId="0" borderId="155" xfId="0" applyNumberFormat="1" applyFont="1" applyFill="1" applyBorder="1" applyAlignment="1">
      <x:alignment vertical="center" wrapText="0"/>
    </x:xf>
    <x:xf numFmtId="203" fontId="2" fillId="0" borderId="156" xfId="0" applyNumberFormat="1" applyFont="1" applyFill="1" applyBorder="1" applyAlignment="1">
      <x:alignment vertical="center" wrapText="0"/>
    </x:xf>
    <x:xf numFmtId="203" fontId="2" fillId="0" borderId="157" xfId="0" applyNumberFormat="1" applyFont="1" applyFill="1" applyBorder="1" applyAlignment="1">
      <x:alignment vertical="center" wrapText="0"/>
    </x:xf>
    <x:xf numFmtId="0" fontId="2" fillId="0" borderId="158" xfId="0" applyNumberFormat="1" applyFont="1" applyFill="1" applyBorder="1" applyAlignment="1">
      <x:alignment vertical="center" wrapText="0"/>
    </x:xf>
    <x:xf numFmtId="201" fontId="2" fillId="0" borderId="159" xfId="0" applyNumberFormat="1" applyFont="1" applyFill="1" applyBorder="1" applyAlignment="1">
      <x:alignment vertical="center" wrapText="0"/>
    </x:xf>
    <x:xf numFmtId="0" fontId="2" fillId="0" borderId="160" xfId="0" applyNumberFormat="1" applyFont="1" applyFill="1" applyBorder="1" applyAlignment="1">
      <x:alignment vertical="center" wrapText="0"/>
    </x:xf>
    <x:xf numFmtId="0" fontId="2" fillId="0" borderId="161" xfId="0" applyNumberFormat="1" applyFont="1" applyFill="1" applyBorder="1" applyAlignment="1">
      <x:alignment vertical="center" wrapText="0"/>
    </x:xf>
    <x:xf numFmtId="0" fontId="3" fillId="0" borderId="162" xfId="0" applyNumberFormat="1" applyFont="1" applyFill="1" applyBorder="1" applyAlignment="1">
      <x:alignment vertical="center" wrapText="0"/>
    </x:xf>
    <x:xf numFmtId="201" fontId="3" fillId="0" borderId="163" xfId="0" applyNumberFormat="1" applyFont="1" applyFill="1" applyBorder="1" applyAlignment="1">
      <x:alignment vertical="center" wrapText="0"/>
    </x:xf>
    <x:xf numFmtId="201" fontId="3" fillId="0" borderId="164" xfId="0" applyNumberFormat="1" applyFont="1" applyFill="1" applyBorder="1" applyAlignment="1">
      <x:alignment vertical="center" wrapText="1"/>
    </x:xf>
    <x:xf numFmtId="206" fontId="2" fillId="0" borderId="165" xfId="0" applyNumberFormat="1" applyFont="1" applyFill="1" applyBorder="1" applyAlignment="1">
      <x:alignment vertical="center" wrapText="0"/>
    </x:xf>
    <x:xf numFmtId="206" fontId="2" fillId="0" borderId="166" xfId="0" applyNumberFormat="1" applyFont="1" applyFill="1" applyBorder="1" applyAlignment="1">
      <x:alignment vertical="center" wrapText="1"/>
    </x:xf>
    <x:xf numFmtId="201" fontId="3" fillId="0" borderId="167" xfId="0" applyNumberFormat="1" applyFont="1" applyFill="1" applyBorder="1" applyAlignment="1">
      <x:alignment vertical="center" wrapText="1"/>
    </x:xf>
    <x:xf numFmtId="206" fontId="2" fillId="0" borderId="168" xfId="0" applyNumberFormat="1" applyFont="1" applyFill="1" applyBorder="1" applyAlignment="1">
      <x:alignment vertical="center" wrapText="0"/>
    </x:xf>
    <x:xf numFmtId="206" fontId="2" fillId="0" borderId="169" xfId="0" applyNumberFormat="1" applyFont="1" applyFill="1" applyBorder="1" applyAlignment="1">
      <x:alignment vertical="center" wrapText="1"/>
    </x:xf>
    <x:xf numFmtId="0" fontId="2" fillId="0" borderId="170" xfId="0" applyNumberFormat="1" applyFont="1" applyFill="1" applyBorder="1" applyAlignment="1">
      <x:alignment vertical="center" wrapText="0"/>
    </x:xf>
    <x:xf numFmtId="0" fontId="2" fillId="0" borderId="171" xfId="0" applyNumberFormat="1" applyFont="1" applyFill="1" applyBorder="1" applyAlignment="1">
      <x:alignment vertical="center" wrapText="0"/>
    </x:xf>
    <x:xf numFmtId="0" fontId="2" fillId="0" borderId="172" xfId="0" applyNumberFormat="1" applyFont="1" applyFill="1" applyBorder="1" applyAlignment="1">
      <x:alignment vertical="center" wrapText="0"/>
    </x:xf>
    <x:xf numFmtId="201" fontId="2" fillId="0" borderId="173" xfId="0" applyNumberFormat="1" applyFont="1" applyFill="1" applyBorder="1" applyAlignment="1">
      <x:alignment vertical="center" wrapText="0"/>
    </x:xf>
    <x:xf numFmtId="0" fontId="2" fillId="0" borderId="174" xfId="0" applyNumberFormat="1" applyFont="1" applyFill="1" applyBorder="1" applyAlignment="1">
      <x:alignment vertical="center" wrapText="0"/>
    </x:xf>
    <x:xf numFmtId="201" fontId="2" fillId="0" borderId="175" xfId="0" applyNumberFormat="1" applyFont="1" applyFill="1" applyBorder="1" applyAlignment="1">
      <x:alignment vertical="center" wrapText="0"/>
    </x:xf>
    <x:xf numFmtId="202" fontId="10" fillId="0" borderId="176" xfId="0" applyNumberFormat="1" applyFont="1" applyFill="1" applyBorder="1" applyAlignment="1">
      <x:alignment vertical="center" wrapText="0"/>
    </x:xf>
    <x:xf numFmtId="0" fontId="5" fillId="0" borderId="177" xfId="0" applyNumberFormat="1" applyFont="1" applyFill="1" applyBorder="1" applyAlignment="1">
      <x:alignment vertical="center" wrapText="0"/>
    </x:xf>
    <x:xf numFmtId="201" fontId="10" fillId="0" borderId="178" xfId="0" applyNumberFormat="1" applyFont="1" applyFill="1" applyBorder="1" applyAlignment="1">
      <x:alignment vertical="center" wrapText="0"/>
    </x:xf>
    <x:xf numFmtId="0" fontId="3" fillId="0" borderId="179" xfId="0" applyNumberFormat="1" applyFont="1" applyFill="1" applyBorder="1" applyAlignment="1">
      <x:alignment vertical="center" wrapText="0"/>
    </x:xf>
    <x:xf numFmtId="0" fontId="3" fillId="2" borderId="180" xfId="0" applyNumberFormat="1" applyFont="1" applyFill="1" applyBorder="1" applyAlignment="1">
      <x:alignment vertical="center" wrapText="1"/>
    </x:xf>
    <x:xf numFmtId="0" fontId="3" fillId="2" borderId="181" xfId="0" applyNumberFormat="1" applyFont="1" applyFill="1" applyBorder="1" applyAlignment="1">
      <x:alignment vertical="center" wrapText="1"/>
    </x:xf>
    <x:xf numFmtId="203" fontId="0" fillId="0" borderId="182" xfId="0" applyNumberFormat="1" applyFont="1" applyFill="1" applyBorder="1"/>
    <x:xf numFmtId="201" fontId="2" fillId="0" borderId="183" xfId="0" applyNumberFormat="1" applyFont="1" applyFill="1" applyBorder="1" applyAlignment="1">
      <x:alignment vertical="center" wrapText="0"/>
    </x:xf>
    <x:xf numFmtId="201" fontId="3" fillId="0" borderId="184" xfId="0" applyNumberFormat="1" applyFont="1" applyFill="1" applyBorder="1" applyAlignment="1">
      <x:alignment vertical="center" wrapText="0"/>
    </x:xf>
    <x:xf numFmtId="201" fontId="3" fillId="0" borderId="185" xfId="0" applyNumberFormat="1" applyFont="1" applyFill="1" applyBorder="1" applyAlignment="1">
      <x:alignment vertical="center" wrapText="0"/>
    </x:xf>
    <x:xf numFmtId="201" fontId="7" fillId="0" borderId="186" xfId="0" applyNumberFormat="1" applyFont="1" applyFill="1" applyBorder="1"/>
    <x:xf numFmtId="0" fontId="3" fillId="2" borderId="187" xfId="0" applyNumberFormat="1" applyFont="1" applyFill="1" applyBorder="1" applyAlignment="1">
      <x:alignment vertical="center" wrapText="1"/>
    </x:xf>
    <x:xf numFmtId="0" fontId="2" fillId="0" borderId="188" xfId="0" applyNumberFormat="1" applyFont="1" applyFill="1" applyBorder="1" applyAlignment="1">
      <x:alignment vertical="center" wrapText="0"/>
    </x:xf>
    <x:xf numFmtId="201" fontId="12" fillId="0" borderId="189" xfId="0" applyNumberFormat="1" applyFont="1" applyFill="1" applyBorder="1" applyAlignment="1">
      <x:alignment vertical="center" wrapText="1"/>
    </x:xf>
    <x:xf numFmtId="0" fontId="2" fillId="0" borderId="190" xfId="0" applyNumberFormat="1" applyFont="1" applyFill="1" applyBorder="1" applyAlignment="1">
      <x:alignment vertical="center" wrapText="1"/>
    </x:xf>
    <x:xf numFmtId="0" fontId="2" fillId="0" borderId="191" xfId="0" applyNumberFormat="1" applyFont="1" applyFill="1" applyBorder="1" applyAlignment="1">
      <x:alignment vertical="center" wrapText="1"/>
    </x:xf>
    <x:xf numFmtId="0" fontId="2" fillId="0" borderId="192" xfId="0" applyNumberFormat="1" applyFont="1" applyFill="1" applyBorder="1" applyAlignment="1">
      <x:alignment vertical="center" wrapText="1"/>
    </x:xf>
    <x:xf numFmtId="203" fontId="2" fillId="0" borderId="193" xfId="0" applyNumberFormat="1" applyFont="1" applyFill="1" applyBorder="1" applyAlignment="1">
      <x:alignment vertical="center" wrapText="1"/>
    </x:xf>
    <x:xf numFmtId="202" fontId="12" fillId="0" borderId="194" xfId="0" applyNumberFormat="1" applyFont="1" applyFill="1" applyBorder="1" applyAlignment="1">
      <x:alignment vertical="center" wrapText="1"/>
    </x:xf>
    <x:xf numFmtId="201" fontId="12" fillId="0" borderId="195" xfId="0" applyNumberFormat="1" applyFont="1" applyFill="1" applyBorder="1" applyAlignment="1">
      <x:alignment vertical="center" wrapText="1"/>
    </x:xf>
    <x:xf numFmtId="201" fontId="12" fillId="0" borderId="196" xfId="0" applyNumberFormat="1" applyFont="1" applyFill="1" applyBorder="1" applyAlignment="1">
      <x:alignment vertical="center" wrapText="1"/>
    </x:xf>
    <x:xf numFmtId="0" fontId="2" fillId="0" borderId="197" xfId="0" applyNumberFormat="1" applyFont="1" applyFill="1" applyBorder="1" applyAlignment="1">
      <x:alignment vertical="center" wrapText="1"/>
    </x:xf>
    <x:xf numFmtId="0" fontId="2" fillId="0" borderId="198" xfId="0" applyNumberFormat="1" applyFont="1" applyFill="1" applyBorder="1" applyAlignment="1">
      <x:alignment vertical="center" wrapText="1"/>
    </x:xf>
    <x:xf numFmtId="0" fontId="3" fillId="2" borderId="199" xfId="0" applyNumberFormat="1" applyFont="1" applyFill="1" applyBorder="1" applyAlignment="1">
      <x:alignment horizontal="center" vertical="top" wrapText="1"/>
    </x:xf>
    <x:xf numFmtId="0" fontId="2" fillId="0" borderId="200" xfId="0" applyNumberFormat="1" applyFont="1" applyFill="1" applyBorder="1" applyAlignment="1">
      <x:alignment vertical="top" wrapText="1"/>
    </x:xf>
    <x:xf numFmtId="0" fontId="2" fillId="0" borderId="201" xfId="0" applyNumberFormat="1" applyFont="1" applyFill="1" applyBorder="1" applyAlignment="1">
      <x:alignment vertical="top" wrapText="1"/>
    </x:xf>
    <x:xf numFmtId="0" fontId="2" fillId="0" borderId="202" xfId="0" applyNumberFormat="1" applyFont="1" applyFill="1" applyBorder="1" applyAlignment="1">
      <x:alignment vertical="top" wrapText="1"/>
    </x:xf>
    <x:xf numFmtId="0" fontId="2" fillId="0" borderId="203" xfId="0" applyNumberFormat="1" applyFont="1" applyFill="1" applyBorder="1" applyAlignment="1">
      <x:alignment vertical="top" wrapText="1"/>
    </x:xf>
    <x:xf numFmtId="0" fontId="2" fillId="0" borderId="204" xfId="0" applyNumberFormat="1" applyFont="1" applyFill="1" applyBorder="1" applyAlignment="1">
      <x:alignment vertical="top" wrapText="1"/>
    </x:xf>
    <x:xf numFmtId="201" fontId="12" fillId="0" borderId="205" xfId="0" applyNumberFormat="1" applyFont="1" applyFill="1" applyBorder="1" applyAlignment="1">
      <x:alignment vertical="top" wrapText="1"/>
    </x:xf>
    <x:xf numFmtId="0" fontId="2" fillId="0" borderId="206" xfId="0" applyNumberFormat="1" applyFont="1" applyFill="1" applyBorder="1" applyAlignment="1">
      <x:alignment vertical="top" wrapText="1"/>
    </x:xf>
    <x:xf numFmtId="201" fontId="12" fillId="0" borderId="207" xfId="0" applyNumberFormat="1" applyFont="1" applyFill="1" applyBorder="1" applyAlignment="1">
      <x:alignment vertical="top" wrapText="1"/>
    </x:xf>
    <x:xf numFmtId="0" fontId="2" fillId="0" borderId="208" xfId="0" applyNumberFormat="1" applyFont="1" applyFill="1" applyBorder="1" applyAlignment="1">
      <x:alignment vertical="top" wrapText="1"/>
    </x:xf>
    <x:xf numFmtId="203" fontId="2" fillId="0" borderId="209" xfId="0" applyNumberFormat="1" applyFont="1" applyFill="1" applyBorder="1" applyAlignment="1">
      <x:alignment vertical="top" wrapText="1"/>
    </x:xf>
    <x:xf numFmtId="0" fontId="2" fillId="0" borderId="210" xfId="0" applyNumberFormat="1" applyFont="1" applyFill="1" applyBorder="1" applyAlignment="1">
      <x:alignment wrapText="1"/>
    </x:xf>
    <x:xf numFmtId="0" fontId="2" fillId="0" borderId="211" xfId="0" applyNumberFormat="1" applyFont="1" applyFill="1" applyBorder="1" applyAlignment="1">
      <x:alignment wrapText="1"/>
    </x:xf>
    <x:xf numFmtId="0" fontId="2" fillId="0" borderId="212" xfId="0" applyNumberFormat="1" applyFont="1" applyFill="1" applyBorder="1" applyAlignment="1">
      <x:alignment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1927fed026804b91" /><Relationship Type="http://schemas.openxmlformats.org/officeDocument/2006/relationships/theme" Target="/xl/theme/theme1.xml" Id="Rac41d495168e4cfd" /><Relationship Type="http://schemas.openxmlformats.org/officeDocument/2006/relationships/sharedStrings" Target="/xl/sharedStrings.xml" Id="R87730367b58b48a8" /><Relationship Type="http://schemas.openxmlformats.org/officeDocument/2006/relationships/worksheet" Target="/xl/worksheets/sheet1.xml" Id="R1c8af66a62e64dda" /><Relationship Type="http://schemas.openxmlformats.org/officeDocument/2006/relationships/worksheet" Target="/xl/worksheets/sheet2.xml" Id="R4827a278e9a449ae" /><Relationship Type="http://schemas.openxmlformats.org/officeDocument/2006/relationships/worksheet" Target="/xl/worksheets/sheet3.xml" Id="R3991ce6d3dd34991" /><Relationship Type="http://schemas.openxmlformats.org/officeDocument/2006/relationships/worksheet" Target="/xl/worksheets/sheet4.xml" Id="Rca582e281bdd4e23" /><Relationship Type="http://schemas.openxmlformats.org/officeDocument/2006/relationships/worksheet" Target="/xl/worksheets/sheet5.xml" Id="R2fde42e019dd4116" /><Relationship Type="http://schemas.openxmlformats.org/officeDocument/2006/relationships/worksheet" Target="/xl/worksheets/sheet6.xml" Id="R36cea3b99dc34710" /><Relationship Type="http://schemas.openxmlformats.org/officeDocument/2006/relationships/worksheet" Target="/xl/worksheets/sheet7.xml" Id="R6c21f4568ec9423c" /><Relationship Type="http://schemas.openxmlformats.org/officeDocument/2006/relationships/worksheet" Target="/xl/worksheets/sheet8.xml" Id="R8827ffce0c1e4e55" /><Relationship Type="http://schemas.openxmlformats.org/officeDocument/2006/relationships/worksheet" Target="/xl/worksheets/sheet9.xml" Id="Rc235c1c8bcea4b74" /><Relationship Type="http://schemas.openxmlformats.org/officeDocument/2006/relationships/worksheet" Target="/xl/worksheets/sheet10.xml" Id="R814da3365860470a" /></Relationships>
</file>

<file path=xl/drawings/_rels/drawing1.xml.rels>&#65279;<?xml version="1.0" encoding="utf-8"?><Relationships xmlns="http://schemas.openxmlformats.org/package/2006/relationships"><Relationship Type="http://schemas.openxmlformats.org/officeDocument/2006/relationships/chart" Target="/xl/drawings/charts/chart1.xml" Id="Rc4941f288b894f15" /><Relationship Type="http://schemas.openxmlformats.org/officeDocument/2006/relationships/chart" Target="/xl/drawings/charts/chart2.xml" Id="Rb88569f333c14c09" /></Relationships>
</file>

<file path=xl/drawings/_rels/drawing2.xml.rels>&#65279;<?xml version="1.0" encoding="utf-8"?><Relationships xmlns="http://schemas.openxmlformats.org/package/2006/relationships"><Relationship Type="http://schemas.openxmlformats.org/officeDocument/2006/relationships/chart" Target="/xl/drawings/charts/chart3.xml" Id="Rb0fe62aec9ea4eac" /></Relationships>
</file>

<file path=xl/drawings/_rels/drawing3.xml.rels><?xml version='1.0' encoding='utf-8'?>
<ns0:Relationships xmlns:ns0="http://schemas.openxmlformats.org/package/2006/relationships"><ns0:Relationship Type="http://schemas.openxmlformats.org/officeDocument/2006/relationships/chart" Target="charts/chart4.xml" Id="Rf64a64cfcf6447a3" /></ns0:Relationships>
</file>

<file path=xl/drawings/charts/chart1.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sz="900">
                <a:latin typeface="Arial"/>
                <a:ea typeface="Arial"/>
                <a:cs typeface="Arial"/>
              </a:rPr>
              <a:t>What remained after capital spending?</a:t>
            </a:r>
          </a:p>
        </c:rich>
      </c:tx>
      <c:overlay val="0"/>
      <c:txPr>
        <a:bodyPr xmlns:a="http://schemas.openxmlformats.org/drawingml/2006/main" anchorCtr="1"/>
        <a:lstStyle xmlns:a="http://schemas.openxmlformats.org/drawingml/2006/main"/>
        <a:p xmlns:a="http://schemas.openxmlformats.org/drawingml/2006/main">
          <a:pPr>
            <a:defRPr sz="900">
              <a:latin typeface="Arial"/>
              <a:ea typeface="Arial"/>
              <a:cs typeface="Arial"/>
            </a:defRPr>
          </a:pPr>
        </a:p>
      </c:txPr>
    </c:title>
    <c:plotArea>
      <c:barChart>
        <c:barDir val="col"/>
        <c:varyColors val="0"/>
        <c:ser>
          <c:idx val="0"/>
          <c:order val="0"/>
          <c:tx>
            <c:v>USD millions</c:v>
          </c:tx>
          <c:spPr>
            <a:solidFill xmlns:a="http://schemas.openxmlformats.org/drawingml/2006/main">
              <a:srgbClr val="8D99A8"/>
            </a:solidFill>
          </c:spPr>
          <c:invertIfNegative val="0"/>
          <c:cat>
            <c:strRef>
              <c:f>'Core charts'!$A$6:$A$8</c:f>
              <c:strCache>
                <c:ptCount val="0"/>
              </c:strCache>
            </c:strRef>
          </c:cat>
          <c:val>
            <c:numRef>
              <c:f>'Core charts'!$B$6:$B$8</c:f>
              <c:numCache>
                <c:formatCode>#,##0,,;(#,##0,,);"-"</c:formatCode>
                <c:ptCount val="0"/>
              </c:numCache>
            </c:numRef>
          </c:val>
        </c:ser>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txPr>
          <a:bodyPr xmlns:a="http://schemas.openxmlformats.org/drawingml/2006/main" anchorCtr="1"/>
          <a:lstStyle xmlns:a="http://schemas.openxmlformats.org/drawingml/2006/main"/>
          <a:p xmlns:a="http://schemas.openxmlformats.org/drawingml/2006/main">
            <a:pPr>
              <a:defRPr sz="750">
                <a:latin typeface="Arial"/>
                <a:ea typeface="Arial"/>
                <a:cs typeface="Arial"/>
              </a:defRPr>
            </a:pPr>
          </a:p>
        </c:txPr>
        <c:crossAx val="48672768"/>
      </c:catAx>
      <c:valAx>
        <c:axId val="48672768"/>
        <c:scaling>
          <c:orientation val="minMax"/>
        </c:scaling>
        <c:delete val="0"/>
        <c:axPos val="l"/>
        <c:majorGridlines>
          <c:spPr>
            <a:ln xmlns:a="http://schemas.openxmlformats.org/drawingml/2006/main" w="9525">
              <a:solidFill>
                <a:srgbClr val="CCCCCC"/>
              </a:solidFill>
              <a:prstDash val="dash"/>
            </a:ln>
          </c:spPr>
        </c:majorGridlines>
        <c:title>
          <c:tx>
            <c:rich>
              <a:bodyPr xmlns:a="http://schemas.openxmlformats.org/drawingml/2006/main"/>
              <a:lstStyle xmlns:a="http://schemas.openxmlformats.org/drawingml/2006/main"/>
              <a:p xmlns:a="http://schemas.openxmlformats.org/drawingml/2006/main">
                <a:r>
                  <a:t>USD millions</a:t>
                </a:r>
              </a:p>
            </c:rich>
          </c:tx>
          <c:overlay val="0"/>
        </c:title>
        <c:numFmt formatCode="#,##0,,;(#,##0,,)" sourceLinked="0"/>
        <c:majorTickMark val="none"/>
        <c:minorTickMark val="none"/>
        <c:txPr>
          <a:bodyPr xmlns:a="http://schemas.openxmlformats.org/drawingml/2006/main" anchorCtr="1"/>
          <a:lstStyle xmlns:a="http://schemas.openxmlformats.org/drawingml/2006/main"/>
          <a:p xmlns:a="http://schemas.openxmlformats.org/drawingml/2006/main">
            <a:pPr>
              <a:defRPr sz="750">
                <a:latin typeface="Arial"/>
                <a:ea typeface="Arial"/>
                <a:cs typeface="Arial"/>
              </a:defRPr>
            </a:pPr>
          </a:p>
        </c:txPr>
        <c:crossAx val="48650112"/>
        <c:crossBetween val="between"/>
      </c:valAx>
    </c:plotArea>
    <c:legend>
      <c:legendPos val="b"/>
      <c:overlay val="0"/>
      <c:txPr>
        <a:bodyPr xmlns:a="http://schemas.openxmlformats.org/drawingml/2006/main" anchorCtr="1"/>
        <a:lstStyle xmlns:a="http://schemas.openxmlformats.org/drawingml/2006/main"/>
        <a:p xmlns:a="http://schemas.openxmlformats.org/drawingml/2006/main">
          <a:pPr>
            <a:defRPr>
              <a:latin typeface="Arial"/>
              <a:ea typeface="Arial"/>
              <a:cs typeface="Arial"/>
            </a:defRPr>
          </a:pPr>
        </a:p>
      </c:txPr>
    </c:legend>
    <c:plotVisOnly val="1"/>
  </c:chart>
  <c:spPr>
    <a:ln xmlns:a="http://schemas.openxmlformats.org/drawingml/2006/main" w="9525">
      <a:solidFill>
        <a:srgbClr val="D9D9D9"/>
      </a:solidFill>
      <a:prstDash val="solid"/>
    </a:ln>
  </c:spPr>
</c:chartSpace>
</file>

<file path=xl/drawings/charts/chart2.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sz="900">
                <a:latin typeface="Arial"/>
                <a:ea typeface="Arial"/>
                <a:cs typeface="Arial"/>
              </a:rPr>
              <a:t>How did borrowing and cash change?</a:t>
            </a:r>
          </a:p>
        </c:rich>
      </c:tx>
      <c:overlay val="0"/>
      <c:txPr>
        <a:bodyPr xmlns:a="http://schemas.openxmlformats.org/drawingml/2006/main" anchorCtr="1"/>
        <a:lstStyle xmlns:a="http://schemas.openxmlformats.org/drawingml/2006/main"/>
        <a:p xmlns:a="http://schemas.openxmlformats.org/drawingml/2006/main">
          <a:pPr>
            <a:defRPr sz="900">
              <a:latin typeface="Arial"/>
              <a:ea typeface="Arial"/>
              <a:cs typeface="Arial"/>
            </a:defRPr>
          </a:pPr>
        </a:p>
      </c:txPr>
    </c:title>
    <c:plotArea>
      <c:barChart>
        <c:barDir val="col"/>
        <c:varyColors val="0"/>
        <c:ser>
          <c:idx val="0"/>
          <c:order val="0"/>
          <c:tx>
            <c:v>Cash and equivalents</c:v>
          </c:tx>
          <c:spPr>
            <a:solidFill xmlns:a="http://schemas.openxmlformats.org/drawingml/2006/main">
              <a:srgbClr val="8D99A8"/>
            </a:solidFill>
          </c:spPr>
          <c:invertIfNegative val="0"/>
          <c:cat>
            <c:strRef>
              <c:f>'Core charts'!$A$25:$A$26</c:f>
              <c:strCache>
                <c:ptCount val="0"/>
              </c:strCache>
            </c:strRef>
          </c:cat>
          <c:val>
            <c:numRef>
              <c:f>'Core charts'!$B$25:$B$26</c:f>
              <c:numCache>
                <c:formatCode>#,##0,,;(#,##0,,);"-"</c:formatCode>
                <c:ptCount val="0"/>
              </c:numCache>
            </c:numRef>
          </c:val>
        </c:ser>
        <c:ser>
          <c:idx val="1"/>
          <c:order val="1"/>
          <c:tx>
            <c:v>Baseline borrowing</c:v>
          </c:tx>
          <c:spPr>
            <a:solidFill xmlns:a="http://schemas.openxmlformats.org/drawingml/2006/main">
              <a:srgbClr val="47627F"/>
            </a:solidFill>
          </c:spPr>
          <c:invertIfNegative val="0"/>
          <c:cat>
            <c:strRef>
              <c:f>'Core charts'!$A$25:$A$26</c:f>
              <c:strCache>
                <c:ptCount val="0"/>
              </c:strCache>
            </c:strRef>
          </c:cat>
          <c:val>
            <c:numRef>
              <c:f>'Core charts'!$C$25:$C$26</c:f>
              <c:numCache>
                <c:formatCode>#,##0,,;(#,##0,,);"-"</c:formatCode>
                <c:ptCount val="0"/>
              </c:numCache>
            </c:numRef>
          </c:val>
        </c:ser>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txPr>
          <a:bodyPr xmlns:a="http://schemas.openxmlformats.org/drawingml/2006/main" anchorCtr="1"/>
          <a:lstStyle xmlns:a="http://schemas.openxmlformats.org/drawingml/2006/main"/>
          <a:p xmlns:a="http://schemas.openxmlformats.org/drawingml/2006/main">
            <a:pPr>
              <a:defRPr sz="750">
                <a:latin typeface="Arial"/>
                <a:ea typeface="Arial"/>
                <a:cs typeface="Arial"/>
              </a:defRPr>
            </a:pPr>
          </a:p>
        </c:txPr>
        <c:crossAx val="48672768"/>
      </c:catAx>
      <c:valAx>
        <c:axId val="48672768"/>
        <c:scaling>
          <c:orientation val="minMax"/>
        </c:scaling>
        <c:delete val="0"/>
        <c:axPos val="l"/>
        <c:majorGridlines>
          <c:spPr>
            <a:ln xmlns:a="http://schemas.openxmlformats.org/drawingml/2006/main" w="9525">
              <a:solidFill>
                <a:srgbClr val="CCCCCC"/>
              </a:solidFill>
              <a:prstDash val="dash"/>
            </a:ln>
          </c:spPr>
        </c:majorGridlines>
        <c:title>
          <c:tx>
            <c:rich>
              <a:bodyPr xmlns:a="http://schemas.openxmlformats.org/drawingml/2006/main"/>
              <a:lstStyle xmlns:a="http://schemas.openxmlformats.org/drawingml/2006/main"/>
              <a:p xmlns:a="http://schemas.openxmlformats.org/drawingml/2006/main">
                <a:r>
                  <a:t>USD millions</a:t>
                </a:r>
              </a:p>
            </c:rich>
          </c:tx>
          <c:overlay val="0"/>
        </c:title>
        <c:numFmt formatCode="#,##0,,;(#,##0,,)" sourceLinked="0"/>
        <c:majorTickMark val="none"/>
        <c:minorTickMark val="none"/>
        <c:txPr>
          <a:bodyPr xmlns:a="http://schemas.openxmlformats.org/drawingml/2006/main" anchorCtr="1"/>
          <a:lstStyle xmlns:a="http://schemas.openxmlformats.org/drawingml/2006/main"/>
          <a:p xmlns:a="http://schemas.openxmlformats.org/drawingml/2006/main">
            <a:pPr>
              <a:defRPr sz="750">
                <a:latin typeface="Arial"/>
                <a:ea typeface="Arial"/>
                <a:cs typeface="Arial"/>
              </a:defRPr>
            </a:pPr>
          </a:p>
        </c:txPr>
        <c:crossAx val="48650112"/>
        <c:crossBetween val="between"/>
      </c:valAx>
    </c:plotArea>
    <c:legend>
      <c:legendPos val="b"/>
      <c:overlay val="0"/>
      <c:txPr>
        <a:bodyPr xmlns:a="http://schemas.openxmlformats.org/drawingml/2006/main" anchorCtr="1"/>
        <a:lstStyle xmlns:a="http://schemas.openxmlformats.org/drawingml/2006/main"/>
        <a:p xmlns:a="http://schemas.openxmlformats.org/drawingml/2006/main">
          <a:pPr>
            <a:defRPr>
              <a:latin typeface="Arial"/>
              <a:ea typeface="Arial"/>
              <a:cs typeface="Arial"/>
            </a:defRPr>
          </a:pPr>
        </a:p>
      </c:txPr>
    </c:legend>
    <c:plotVisOnly val="1"/>
  </c:chart>
  <c:spPr>
    <a:ln xmlns:a="http://schemas.openxmlformats.org/drawingml/2006/main" w="9525">
      <a:solidFill>
        <a:srgbClr val="D9D9D9"/>
      </a:solidFill>
      <a:prstDash val="solid"/>
    </a:ln>
  </c:spPr>
</c:chartSpace>
</file>

<file path=xl/drawings/charts/chart3.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sz="975">
                <a:latin typeface="Arial"/>
                <a:ea typeface="Arial"/>
                <a:cs typeface="Arial"/>
              </a:rPr>
              <a:t>Cash capex exceeded operating cash flow</a:t>
            </a:r>
          </a:p>
        </c:rich>
      </c:tx>
      <c:overlay val="0"/>
      <c:txPr>
        <a:bodyPr xmlns:a="http://schemas.openxmlformats.org/drawingml/2006/main" anchorCtr="1"/>
        <a:lstStyle xmlns:a="http://schemas.openxmlformats.org/drawingml/2006/main"/>
        <a:p xmlns:a="http://schemas.openxmlformats.org/drawingml/2006/main">
          <a:pPr>
            <a:defRPr sz="975">
              <a:latin typeface="Arial"/>
              <a:ea typeface="Arial"/>
              <a:cs typeface="Arial"/>
            </a:defRPr>
          </a:pPr>
        </a:p>
      </c:txPr>
    </c:title>
    <c:plotArea>
      <c:barChart>
        <c:barDir val="col"/>
        <c:varyColors val="0"/>
        <c:ser>
          <c:idx val="0"/>
          <c:order val="0"/>
          <c:tx>
            <c:v>USD</c:v>
          </c:tx>
          <c:spPr>
            <a:solidFill xmlns:a="http://schemas.openxmlformats.org/drawingml/2006/main">
              <a:srgbClr val="737985"/>
            </a:solidFill>
          </c:spPr>
          <c:invertIfNegative val="0"/>
          <c:cat>
            <c:strRef>
              <c:f>'Cash analysis'!$H$36:$H$38</c:f>
              <c:strCache>
                <c:ptCount val="0"/>
              </c:strCache>
            </c:strRef>
          </c:cat>
          <c:val>
            <c:numRef>
              <c:f>'Cash analysis'!$I$36:$I$38</c:f>
              <c:numCache>
                <c:formatCode>#,##0,,;(#,##0,,);"-"</c:formatCode>
                <c:ptCount val="0"/>
              </c:numCache>
            </c:numRef>
          </c:val>
        </c:ser>
        <c:axId val="48650112"/>
        <c:axId val="48672768"/>
      </c:barChart>
      <c:catAx>
        <c:axId val="48650112"/>
        <c:scaling>
          <c:orientation val="minMax"/>
        </c:scaling>
        <c:delete val="0"/>
        <c:axPos val="b"/>
        <c:numFmt formatCode="General"/>
        <c:majorTickMark val="none"/>
        <c:minorTickMark val="none"/>
        <c:tickLblPos val="low"/>
        <c:txPr>
          <a:bodyPr xmlns:a="http://schemas.openxmlformats.org/drawingml/2006/main" anchorCtr="1"/>
          <a:lstStyle xmlns:a="http://schemas.openxmlformats.org/drawingml/2006/main"/>
          <a:p xmlns:a="http://schemas.openxmlformats.org/drawingml/2006/main">
            <a:pPr>
              <a:defRPr sz="825">
                <a:latin typeface="Arial"/>
                <a:ea typeface="Arial"/>
                <a:cs typeface="Arial"/>
              </a:defRPr>
            </a:pPr>
          </a:p>
        </c:txPr>
        <c:crossAx val="48672768"/>
      </c:catAx>
      <c:valAx>
        <c:axId val="48672768"/>
        <c:scaling>
          <c:orientation val="minMax"/>
        </c:scaling>
        <c:delete val="0"/>
        <c:axPos val="l"/>
        <c:majorGridlines>
          <c:spPr>
            <a:ln xmlns:a="http://schemas.openxmlformats.org/drawingml/2006/main" w="9525">
              <a:solidFill>
                <a:srgbClr val="CCCCCC"/>
              </a:solidFill>
              <a:prstDash val="dash"/>
            </a:ln>
          </c:spPr>
        </c:majorGridlines>
        <c:title>
          <c:tx>
            <c:rich>
              <a:bodyPr xmlns:a="http://schemas.openxmlformats.org/drawingml/2006/main"/>
              <a:lstStyle xmlns:a="http://schemas.openxmlformats.org/drawingml/2006/main"/>
              <a:p xmlns:a="http://schemas.openxmlformats.org/drawingml/2006/main">
                <a:r>
                  <a:t>USD millions</a:t>
                </a:r>
              </a:p>
            </c:rich>
          </c:tx>
          <c:overlay val="0"/>
        </c:title>
        <c:numFmt formatCode="#,##0,," sourceLinked="0"/>
        <c:majorTickMark val="none"/>
        <c:minorTickMark val="none"/>
        <c:txPr>
          <a:bodyPr xmlns:a="http://schemas.openxmlformats.org/drawingml/2006/main" anchorCtr="1"/>
          <a:lstStyle xmlns:a="http://schemas.openxmlformats.org/drawingml/2006/main"/>
          <a:p xmlns:a="http://schemas.openxmlformats.org/drawingml/2006/main">
            <a:pPr>
              <a:defRPr sz="825">
                <a:latin typeface="Arial"/>
                <a:ea typeface="Arial"/>
                <a:cs typeface="Arial"/>
              </a:defRPr>
            </a:pPr>
          </a:p>
        </c:txPr>
        <c:crossAx val="48650112"/>
        <c:crossBetween val="between"/>
      </c:valAx>
    </c:plotArea>
    <c:plotVisOnly val="1"/>
  </c:chart>
  <c:spPr>
    <a:ln xmlns:a="http://schemas.openxmlformats.org/drawingml/2006/main" w="9525">
      <a:solidFill>
        <a:srgbClr val="D9D9D9"/>
      </a:solidFill>
      <a:prstDash val="solid"/>
    </a:ln>
  </c:spPr>
</c:chartSpace>
</file>

<file path=xl/drawings/charts/chart4.xml><?xml version="1.0" encoding="utf-8"?>
<ns0:chartSpace xmlns:ns0="http://schemas.openxmlformats.org/drawingml/2006/chart" xmlns:ns1="http://schemas.openxmlformats.org/drawingml/2006/main">
  <ns0:lang val="en-US"/>
  <ns0:roundedCorners val="0"/>
  <ns0:chart>
    <ns0:title>
      <ns0:tx>
        <ns0:rich>
          <ns1:bodyPr/>
          <ns1:lstStyle/>
          <ns1:p>
            <ns1:r>
              <ns1:rPr sz="900">
                <ns1:latin typeface="Arial"/>
                <ns1:ea typeface="Arial"/>
                <ns1:cs typeface="Arial"/>
              </ns1:rPr>
              <ns1:t>Principal at Aug 31, 2026 (USD billions)
FY2027 remainder. Scale ends at $12B; the hatched Thereafter bar (FY2032-FY2066 combined, $90.3B) runs past it</ns1:t>
            </ns1:r>
          </ns1:p>
        </ns0:rich>
      </ns0:tx>
      <ns0:overlay val="0"/>
      <ns0:txPr>
        <ns1:bodyPr anchorCtr="1"/>
        <ns1:lstStyle/>
        <ns1:p>
          <ns1:pPr>
            <ns1:defRPr sz="900">
              <ns1:latin typeface="Arial"/>
              <ns1:ea typeface="Arial"/>
              <ns1:cs typeface="Arial"/>
            </ns1:defRPr>
          </ns1:pPr>
        </ns1:p>
      </ns0:txPr>
    </ns0:title>
    <ns0:plotArea>
      <ns0:barChart>
        <ns0:barDir val="col"/>
        <ns0:varyColors val="0"/>
        <ns0:ser>
          <ns0:idx val="0"/>
          <ns0:order val="0"/>
          <ns0:tx>
            <ns0:v>Principal</ns0:v>
          </ns0:tx>
          <ns0:spPr>
            <ns1:solidFill>
              <ns1:srgbClr val="D95926"/>
            </ns1:solidFill>
          </ns0:spPr>
          <ns0:invertIfNegative val="0"/>
          <ns0:dPt>
            <ns0:idx val="5"/>
            <ns0:invertIfNegative val="0"/>
            <ns0:bubble3D val="0"/>
            <ns0:spPr>
              <ns1:pattFill prst="wdUpDiag">
                <ns1:fgClr>
                  <ns1:srgbClr val="D95926"/>
                </ns1:fgClr>
                <ns1:bgClr>
                  <ns1:srgbClr val="F6D2C2"/>
                </ns1:bgClr>
              </ns1:pattFill>
            </ns0:spPr>
          </ns0:dPt>
          <ns0:dLbls>
            <ns0:numFmt formatCode="&quot;$&quot;#,##0.0,,,&quot;B&quot;" sourceLinked="0"/>
            <ns0:txPr>
              <ns1:bodyPr/>
              <ns1:lstStyle/>
              <ns1:p>
                <ns1:pPr>
                  <ns1:defRPr sz="750" b="1">
                    <ns1:latin typeface="Arial"/>
                    <ns1:ea typeface="Arial"/>
                    <ns1:cs typeface="Arial"/>
                  </ns1:defRPr>
                </ns1:pPr>
              </ns1:p>
            </ns0:txPr>
            <ns0:dLblPos val="inEnd"/>
            <ns0:showLegendKey val="0"/>
            <ns0:showVal val="1"/>
            <ns0:showCatName val="0"/>
            <ns0:showSerName val="0"/>
            <ns0:showPercent val="0"/>
            <ns0:showBubbleSize val="0"/>
          </ns0:dLbls>
          <ns0:cat>
            <ns0:strRef>
              <ns0:f>'Payment dates'!$A$49:$A$54</ns0:f>
              <ns0:strCache>
                <ns0:ptCount val="6"/>
                <ns0:pt idx="0">
                  <ns0:v>Remainder FY2027</ns0:v>
                </ns0:pt>
                <ns0:pt idx="1">
                  <ns0:v>FY2028</ns0:v>
                </ns0:pt>
                <ns0:pt idx="2">
                  <ns0:v>FY2029</ns0:v>
                </ns0:pt>
                <ns0:pt idx="3">
                  <ns0:v>FY2030</ns0:v>
                </ns0:pt>
                <ns0:pt idx="4">
                  <ns0:v>FY2031</ns0:v>
                </ns0:pt>
                <ns0:pt idx="5">
                  <ns0:v>Thereafter</ns0:v>
                </ns0:pt>
              </ns0:strCache>
            </ns0:strRef>
          </ns0:cat>
          <ns0:val>
            <ns0:numRef>
              <ns0:f>'Payment dates'!$C$49:$C$54</ns0:f>
              <ns0:numCache>
                <ns0:formatCode>#,##0.0,,,</ns0:formatCode>
                <ns0:ptCount val="6"/>
                <ns0:pt idx="0">
                  <ns0:v>2672250000.0</ns0:v>
                </ns0:pt>
                <ns0:pt idx="1">
                  <ns0:v>10144750000.0</ns0:v>
                </ns0:pt>
                <ns0:pt idx="2">
                  <ns0:v>5500000000.0</ns0:v>
                </ns0:pt>
                <ns0:pt idx="3">
                  <ns0:v>7250000000.0</ns0:v>
                </ns0:pt>
                <ns0:pt idx="4">
                  <ns0:v>9750000000.0</ns0:v>
                </ns0:pt>
                <ns0:pt idx="5">
                  <ns0:v>90250000000.0</ns0:v>
                </ns0:pt>
              </ns0:numCache>
            </ns0:numRef>
          </ns0:val>
        </ns0:ser>
        <ns0:axId val="48650112"/>
        <ns0:axId val="48672768"/>
      </ns0:barChart>
      <ns0:catAx>
        <ns0:axId val="48650112"/>
        <ns0:scaling>
          <ns0:orientation val="minMax"/>
        </ns0:scaling>
        <ns0:delete val="0"/>
        <ns0:axPos val="b"/>
        <ns0:majorGridlines>
          <ns0:spPr>
            <ns1:ln w="9525">
              <ns1:solidFill>
                <ns1:srgbClr val="CCCCCC"/>
              </ns1:solidFill>
              <ns1:prstDash val="dash"/>
            </ns1:ln>
          </ns0:spPr>
        </ns0:majorGridlines>
        <ns0:numFmt formatCode="General"/>
        <ns0:majorTickMark val="none"/>
        <ns0:minorTickMark val="none"/>
        <ns0:tickLblPos val="nextTo"/>
        <ns0:txPr>
          <ns1:bodyPr anchorCtr="1"/>
          <ns1:lstStyle/>
          <ns1:p>
            <ns1:pPr>
              <ns1:defRPr sz="750">
                <ns1:latin typeface="Arial"/>
                <ns1:ea typeface="Arial"/>
                <ns1:cs typeface="Arial"/>
              </ns1:defRPr>
            </ns1:pPr>
          </ns1:p>
        </ns0:txPr>
        <ns0:crossAx val="48672768"/>
      </ns0:catAx>
      <ns0:valAx>
        <ns0:axId val="48672768"/>
        <ns0:scaling>
          <ns0:orientation val="minMax"/>
          <ns0:max val="12000000000"/>
          <ns0:min val="0"/>
        </ns0:scaling>
        <ns0:delete val="0"/>
        <ns0:axPos val="l"/>
        <ns0:majorGridlines>
          <ns0:spPr>
            <ns1:ln w="9525">
              <ns1:solidFill>
                <ns1:srgbClr val="CCCCCC"/>
              </ns1:solidFill>
              <ns1:prstDash val="dash"/>
            </ns1:ln>
          </ns0:spPr>
        </ns0:majorGridlines>
        <ns0:title>
          <ns0:tx>
            <ns0:rich>
              <ns1:bodyPr/>
              <ns1:lstStyle/>
              <ns1:p>
                <ns1:r>
                  <ns1:t>USD billions</ns1:t>
                </ns1:r>
              </ns1:p>
            </ns0:rich>
          </ns0:tx>
          <ns0:overlay val="0"/>
        </ns0:title>
        <ns0:numFmt formatCode="0.0,,," sourceLinked="0"/>
        <ns0:majorTickMark val="none"/>
        <ns0:minorTickMark val="none"/>
        <ns0:txPr>
          <ns1:bodyPr anchorCtr="1"/>
          <ns1:lstStyle/>
          <ns1:p>
            <ns1:pPr>
              <ns1:defRPr sz="750">
                <ns1:latin typeface="Arial"/>
                <ns1:ea typeface="Arial"/>
                <ns1:cs typeface="Arial"/>
              </ns1:defRPr>
            </ns1:pPr>
          </ns1:p>
        </ns0:txPr>
        <ns0:crossAx val="48650112"/>
        <ns0:crossBetween val="between"/>
        <ns0:majorUnit val="2000000000"/>
      </ns0:valAx>
    </ns0:plotArea>
    <ns0:plotVisOnly val="1"/>
  </ns0:chart>
  <ns0:spPr>
    <ns1:ln w="9525">
      <ns1:solidFill>
        <ns1:srgbClr val="D9D9D9"/>
      </ns1:solidFill>
      <ns1:prstDash val="solid"/>
    </ns1:ln>
  </ns0:spPr>
</ns0:chartSpace>
</file>

<file path=xl/drawings/drawing1.xml><?xml version="1.0" encoding="utf-8"?>
<xdr:wsDr xmlns:xdr="http://schemas.openxmlformats.org/drawingml/2006/spreadsheetDrawing">
  <xdr:twoCellAnchor>
    <xdr:from>
      <xdr:col>5</xdr:col>
      <xdr:colOff>0</xdr:colOff>
      <xdr:row>3</xdr:row>
      <xdr:rowOff>0</xdr:rowOff>
    </xdr:from>
    <xdr:to>
      <xdr:col>15</xdr:col>
      <xdr:colOff>0</xdr:colOff>
      <xdr:row>20</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c4941f288b894f15"/>
        </a:graphicData>
      </a:graphic>
    </xdr:graphicFrame>
    <xdr:clientData/>
  </xdr:twoCellAnchor>
  <xdr:twoCellAnchor>
    <xdr:from>
      <xdr:col>5</xdr:col>
      <xdr:colOff>0</xdr:colOff>
      <xdr:row>22</xdr:row>
      <xdr:rowOff>0</xdr:rowOff>
    </xdr:from>
    <xdr:to>
      <xdr:col>15</xdr:col>
      <xdr:colOff>0</xdr:colOff>
      <xdr:row>39</xdr:row>
      <xdr:rowOff>0</xdr:rowOff>
    </xdr:to>
    <xdr:graphicFrame macro="">
      <xdr:nvGraphicFramePr>
        <xdr:cNvPr id="2"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b88569f333c14c09"/>
        </a:graphicData>
      </a:graphic>
    </xdr:graphicFrame>
    <xdr:clientData/>
  </xdr:twoCellAnchor>
</xdr:wsDr>
</file>

<file path=xl/drawings/drawing2.xml><?xml version="1.0" encoding="utf-8"?>
<xdr:wsDr xmlns:xdr="http://schemas.openxmlformats.org/drawingml/2006/spreadsheetDrawing">
  <xdr:twoCellAnchor>
    <xdr:from>
      <xdr:col>3</xdr:col>
      <xdr:colOff>0</xdr:colOff>
      <xdr:row>4</xdr:row>
      <xdr:rowOff>0</xdr:rowOff>
    </xdr:from>
    <xdr:to>
      <xdr:col>12</xdr:col>
      <xdr:colOff>0</xdr:colOff>
      <xdr:row>20</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b0fe62aec9ea4eac"/>
        </a:graphicData>
      </a:graphic>
    </xdr:graphicFrame>
    <xdr:clientData/>
  </xdr:twoCellAnchor>
</xdr:wsDr>
</file>

<file path=xl/drawings/drawing3.xml><?xml version="1.0" encoding="utf-8"?>
<xdr:wsDr xmlns:xdr="http://schemas.openxmlformats.org/drawingml/2006/spreadsheetDrawing">
  <xdr:twoCellAnchor>
    <xdr:from>
      <xdr:col>7</xdr:col>
      <xdr:colOff>0</xdr:colOff>
      <xdr:row>35</xdr:row>
      <xdr:rowOff>0</xdr:rowOff>
    </xdr:from>
    <xdr:to>
      <xdr:col>19</xdr:col>
      <xdr:colOff>0</xdr:colOff>
      <xdr:row>57</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f64a64cfcf6447a3"/>
        </a:graphicData>
      </a:graphic>
    </xdr:graphicFrame>
    <xdr:clientData/>
  </xdr:twoCellAnchor>
</xdr:wsDr>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5.xml.rels>&#65279;<?xml version="1.0" encoding="utf-8"?><Relationships xmlns="http://schemas.openxmlformats.org/package/2006/relationships"><Relationship Type="http://schemas.openxmlformats.org/officeDocument/2006/relationships/drawing" Target="/xl/drawings/drawing1.xml" Id="Rb89218312602414e" /></Relationships>
</file>

<file path=xl/worksheets/_rels/sheet7.xml.rels>&#65279;<?xml version="1.0" encoding="utf-8"?><Relationships xmlns="http://schemas.openxmlformats.org/package/2006/relationships"><Relationship Type="http://schemas.openxmlformats.org/officeDocument/2006/relationships/drawing" Target="/xl/drawings/drawing2.xml" Id="Rf6809d7e4af04fc1" /></Relationships>
</file>

<file path=xl/worksheets/_rels/sheet8.xml.rels><?xml version='1.0' encoding='utf-8'?>
<ns0:Relationships xmlns:ns0="http://schemas.openxmlformats.org/package/2006/relationships"><ns0:Relationship Id="rIdSource1" Type="http://schemas.openxmlformats.org/officeDocument/2006/relationships/hyperlink" Target="https://www.sec.gov/Archives/edgar/data/1341439/000119312526277521/orcl-20260531.htm" TargetMode="External" /><ns0:Relationship Id="rIdPrincipalLadder" Type="http://schemas.openxmlformats.org/officeDocument/2006/relationships/drawing" Target="../drawings/drawing3.xml" /></ns0:Relationships>
</file>

<file path=xl/worksheets/_rels/sheet9.xml.rels><?xml version="1.0" encoding="UTF-8" standalone="yes"?><Relationships xmlns="http://schemas.openxmlformats.org/package/2006/relationships"><Relationship Id="rIdSource1" Type="http://schemas.openxmlformats.org/officeDocument/2006/relationships/hyperlink" Target="https://www.sec.gov/Archives/edgar/data/1341439/000119312526389274/orcl-20260831.htm" TargetMode="External"/><Relationship Id="rIdSource2" Type="http://schemas.openxmlformats.org/officeDocument/2006/relationships/hyperlink" Target="https://www.sec.gov/Archives/edgar/data/1341439/000119312526389274/orcl-20260831.htm" TargetMode="External"/><Relationship Id="rIdSource3" Type="http://schemas.openxmlformats.org/officeDocument/2006/relationships/hyperlink" Target="https://www.sec.gov/Archives/edgar/data/1341439/000119312526389274/orcl-20260831.htm" TargetMode="External"/><Relationship Id="rIdSource4" Type="http://schemas.openxmlformats.org/officeDocument/2006/relationships/hyperlink" Target="https://www.sec.gov/Archives/edgar/data/1341439/000119312526389274/orcl-20260831.htm" TargetMode="External"/><Relationship Id="rIdSource5" Type="http://schemas.openxmlformats.org/officeDocument/2006/relationships/hyperlink" Target="https://www.sec.gov/Archives/edgar/data/1341439/000119312526389274/orcl-20260831.htm" TargetMode="External"/><Relationship Id="rIdSource6" Type="http://schemas.openxmlformats.org/officeDocument/2006/relationships/hyperlink" Target="https://www.sec.gov/Archives/edgar/data/1341439/000119312526389274/orcl-20260831.htm" TargetMode="External"/><Relationship Id="rIdSource7" Type="http://schemas.openxmlformats.org/officeDocument/2006/relationships/hyperlink" Target="https://www.sec.gov/Archives/edgar/data/1341439/000119312526389274/orcl-20260831.htm" TargetMode="External"/><Relationship Id="rIdSource8" Type="http://schemas.openxmlformats.org/officeDocument/2006/relationships/hyperlink" Target="https://www.sec.gov/Archives/edgar/data/1341439/000119312526389274/orcl-20260831.htm" TargetMode="External"/><Relationship Id="rIdSource9" Type="http://schemas.openxmlformats.org/officeDocument/2006/relationships/hyperlink" Target="https://www.sec.gov/Archives/edgar/data/1341439/000119312526389274/orcl-20260831.htm" TargetMode="External"/><Relationship Id="rIdSource10" Type="http://schemas.openxmlformats.org/officeDocument/2006/relationships/hyperlink" Target="https://www.sec.gov/Archives/edgar/data/1341439/000119312526389274/orcl-20260831.htm" TargetMode="External"/><Relationship Id="rIdSource11" Type="http://schemas.openxmlformats.org/officeDocument/2006/relationships/hyperlink" Target="https://www.sec.gov/Archives/edgar/data/1341439/000119312526389274/orcl-20260831.htm" TargetMode="External"/><Relationship Id="rIdSource12" Type="http://schemas.openxmlformats.org/officeDocument/2006/relationships/hyperlink" Target="https://www.sec.gov/Archives/edgar/data/1341439/000119312526389274/orcl-20260831.htm" TargetMode="External"/><Relationship Id="rIdSource13" Type="http://schemas.openxmlformats.org/officeDocument/2006/relationships/hyperlink" Target="https://www.sec.gov/Archives/edgar/data/1341439/000119312526389274/orcl-20260831.htm" TargetMode="External"/><Relationship Id="rIdSource14" Type="http://schemas.openxmlformats.org/officeDocument/2006/relationships/hyperlink" Target="https://www.sec.gov/Archives/edgar/data/1341439/000119312526389274/orcl-20260831.htm" TargetMode="External"/><Relationship Id="rIdSource15" Type="http://schemas.openxmlformats.org/officeDocument/2006/relationships/hyperlink" Target="https://www.sec.gov/Archives/edgar/data/1341439/000119312526389274/orcl-20260831.htm" TargetMode="External"/><Relationship Id="rIdSource16" Type="http://schemas.openxmlformats.org/officeDocument/2006/relationships/hyperlink" Target="https://www.sec.gov/Archives/edgar/data/1341439/000119312526389274/orcl-20260831.htm" TargetMode="External"/><Relationship Id="rIdSource17" Type="http://schemas.openxmlformats.org/officeDocument/2006/relationships/hyperlink" Target="https://www.sec.gov/Archives/edgar/data/1341439/000119312526389274/orcl-20260831.htm" TargetMode="External"/><Relationship Id="rIdSource18" Type="http://schemas.openxmlformats.org/officeDocument/2006/relationships/hyperlink" Target="https://www.sec.gov/Archives/edgar/data/1341439/000119312526389274/orcl-20260831.htm" TargetMode="External"/><Relationship Id="rIdSource19" Type="http://schemas.openxmlformats.org/officeDocument/2006/relationships/hyperlink" Target="https://www.sec.gov/Archives/edgar/data/1341439/000119312526389274/orcl-20260831.htm" TargetMode="External"/><Relationship Id="rIdSource20" Type="http://schemas.openxmlformats.org/officeDocument/2006/relationships/hyperlink" Target="https://www.sec.gov/Archives/edgar/data/1341439/000119312526389274/orcl-20260831.htm" TargetMode="External"/><Relationship Id="rIdSource21" Type="http://schemas.openxmlformats.org/officeDocument/2006/relationships/hyperlink" Target="https://www.sec.gov/Archives/edgar/data/1341439/000119312526389274/orcl-20260831.htm" TargetMode="External"/><Relationship Id="rIdSource22" Type="http://schemas.openxmlformats.org/officeDocument/2006/relationships/hyperlink" Target="https://www.sec.gov/Archives/edgar/data/1341439/000119312526389274/orcl-20260831.htm" TargetMode="External"/><Relationship Id="rIdSource23" Type="http://schemas.openxmlformats.org/officeDocument/2006/relationships/hyperlink" Target="https://www.sec.gov/Archives/edgar/data/1341439/000119312526389274/orcl-20260831.htm" TargetMode="External"/><Relationship Id="rIdSource24" Type="http://schemas.openxmlformats.org/officeDocument/2006/relationships/hyperlink" Target="https://www.sec.gov/Archives/edgar/data/1341439/000119312526389274/orcl-20260831.htm" TargetMode="External"/><Relationship Id="rIdSource25" Type="http://schemas.openxmlformats.org/officeDocument/2006/relationships/hyperlink" Target="https://www.sec.gov/Archives/edgar/data/1341439/000119312526389274/orcl-20260831.htm" TargetMode="External"/><Relationship Id="rIdSource26" Type="http://schemas.openxmlformats.org/officeDocument/2006/relationships/hyperlink" Target="https://www.sec.gov/Archives/edgar/data/1341439/000119312526389274/orcl-20260831.htm" TargetMode="External"/><Relationship Id="rIdSource27" Type="http://schemas.openxmlformats.org/officeDocument/2006/relationships/hyperlink" Target="https://www.sec.gov/Archives/edgar/data/1341439/000119312526389274/orcl-20260831.htm" TargetMode="External"/><Relationship Id="rIdSource28" Type="http://schemas.openxmlformats.org/officeDocument/2006/relationships/hyperlink" Target="https://www.sec.gov/Archives/edgar/data/1341439/000119312526389274/orcl-20260831.htm" TargetMode="External"/><Relationship Id="rIdSource29" Type="http://schemas.openxmlformats.org/officeDocument/2006/relationships/hyperlink" Target="https://www.sec.gov/Archives/edgar/data/1341439/000119312526389274/orcl-20260831.htm" TargetMode="External"/><Relationship Id="rIdSource30" Type="http://schemas.openxmlformats.org/officeDocument/2006/relationships/hyperlink" Target="https://www.sec.gov/Archives/edgar/data/1341439/000119312526389274/orcl-20260831.htm" TargetMode="External"/><Relationship Id="rIdSource31" Type="http://schemas.openxmlformats.org/officeDocument/2006/relationships/hyperlink" Target="https://www.sec.gov/Archives/edgar/data/1341439/000119312526389274/orcl-20260831.htm" TargetMode="External"/><Relationship Id="rIdSource32" Type="http://schemas.openxmlformats.org/officeDocument/2006/relationships/hyperlink" Target="https://www.sec.gov/Archives/edgar/data/1341439/000119312526389274/orcl-20260831.htm" TargetMode="External"/><Relationship Id="rIdSource33" Type="http://schemas.openxmlformats.org/officeDocument/2006/relationships/hyperlink" Target="https://www.sec.gov/Archives/edgar/data/1341439/000119312526389274/orcl-20260831.htm" TargetMode="External"/><Relationship Id="rIdSource34" Type="http://schemas.openxmlformats.org/officeDocument/2006/relationships/hyperlink" Target="https://www.sec.gov/Archives/edgar/data/1341439/000119312526389274/orcl-20260831.htm" TargetMode="External"/><Relationship Id="rIdSource35" Type="http://schemas.openxmlformats.org/officeDocument/2006/relationships/hyperlink" Target="https://www.sec.gov/Archives/edgar/data/1341439/000119312526389274/orcl-20260831.htm" TargetMode="External"/><Relationship Id="rIdSource36" Type="http://schemas.openxmlformats.org/officeDocument/2006/relationships/hyperlink" Target="https://www.sec.gov/Archives/edgar/data/1341439/000119312526389274/orcl-20260831.htm" TargetMode="External"/><Relationship Id="rIdSource37" Type="http://schemas.openxmlformats.org/officeDocument/2006/relationships/hyperlink" Target="https://www.sec.gov/Archives/edgar/data/1341439/000119312526389274/orcl-20260831.htm" TargetMode="External"/><Relationship Id="rIdSource38" Type="http://schemas.openxmlformats.org/officeDocument/2006/relationships/hyperlink" Target="https://www.sec.gov/Archives/edgar/data/1341439/000119312526389274/orcl-20260831.htm" TargetMode="External"/><Relationship Id="rIdSource39" Type="http://schemas.openxmlformats.org/officeDocument/2006/relationships/hyperlink" Target="https://www.sec.gov/Archives/edgar/data/1341439/000119312526389274/orcl-20260831.htm" TargetMode="External"/><Relationship Id="rIdSource40" Type="http://schemas.openxmlformats.org/officeDocument/2006/relationships/hyperlink" Target="https://www.sec.gov/Archives/edgar/data/1341439/000119312526389274/orcl-20260831.htm" TargetMode="External"/><Relationship Id="rIdSource41" Type="http://schemas.openxmlformats.org/officeDocument/2006/relationships/hyperlink" Target="https://www.sec.gov/Archives/edgar/data/1341439/000119312526389274/orcl-20260831.htm" TargetMode="External"/><Relationship Id="rIdSource42" Type="http://schemas.openxmlformats.org/officeDocument/2006/relationships/hyperlink" Target="https://www.sec.gov/Archives/edgar/data/1341439/000119312526389274/orcl-20260831.htm" TargetMode="External"/><Relationship Id="rIdSource43" Type="http://schemas.openxmlformats.org/officeDocument/2006/relationships/hyperlink" Target="https://www.sec.gov/Archives/edgar/data/1341439/000119312526389274/orcl-20260831.htm" TargetMode="External"/><Relationship Id="rIdSource44" Type="http://schemas.openxmlformats.org/officeDocument/2006/relationships/hyperlink" Target="https://www.sec.gov/Archives/edgar/data/1341439/000119312526389274/orcl-20260831.htm" TargetMode="External"/><Relationship Id="rIdSource45" Type="http://schemas.openxmlformats.org/officeDocument/2006/relationships/hyperlink" Target="https://www.sec.gov/Archives/edgar/data/1341439/000119312526389274/orcl-20260831.htm" TargetMode="External"/><Relationship Id="rIdSource46" Type="http://schemas.openxmlformats.org/officeDocument/2006/relationships/hyperlink" Target="https://www.sec.gov/Archives/edgar/data/1341439/000119312526389274/orcl-20260831.htm" TargetMode="External"/><Relationship Id="rIdSource47" Type="http://schemas.openxmlformats.org/officeDocument/2006/relationships/hyperlink" Target="https://www.sec.gov/Archives/edgar/data/1341439/000119312526389274/orcl-20260831.htm" TargetMode="External"/><Relationship Id="rIdSource48" Type="http://schemas.openxmlformats.org/officeDocument/2006/relationships/hyperlink" Target="https://www.sec.gov/Archives/edgar/data/1341439/000119312526389274/orcl-20260831.htm" TargetMode="External"/><Relationship Id="rIdSource49" Type="http://schemas.openxmlformats.org/officeDocument/2006/relationships/hyperlink" Target="https://www.sec.gov/Archives/edgar/data/1341439/000119312526389274/orcl-20260831.htm" TargetMode="External"/><Relationship Id="rIdSource50" Type="http://schemas.openxmlformats.org/officeDocument/2006/relationships/hyperlink" Target="https://www.sec.gov/Archives/edgar/data/1341439/000119312526277521/orcl-20260531.htm" TargetMode="External"/><Relationship Id="rIdSource51" Type="http://schemas.openxmlformats.org/officeDocument/2006/relationships/hyperlink" Target="https://www.sec.gov/Archives/edgar/data/1341439/000119312526277521/orcl-20260531.htm" TargetMode="External"/><Relationship Id="rIdSource52" Type="http://schemas.openxmlformats.org/officeDocument/2006/relationships/hyperlink" Target="https://www.sec.gov/Archives/edgar/data/1341439/000119312526277521/orcl-20260531.htm" TargetMode="External"/><Relationship Id="rIdSource53" Type="http://schemas.openxmlformats.org/officeDocument/2006/relationships/hyperlink" Target="https://www.sec.gov/Archives/edgar/data/1341439/000119312526277521/orcl-20260531.htm" TargetMode="External"/><Relationship Id="rIdSource54" Type="http://schemas.openxmlformats.org/officeDocument/2006/relationships/hyperlink" Target="https://www.sec.gov/Archives/edgar/data/1341439/000119312526277521/orcl-20260531.htm" TargetMode="External"/><Relationship Id="rIdSource55" Type="http://schemas.openxmlformats.org/officeDocument/2006/relationships/hyperlink" Target="https://www.sec.gov/Archives/edgar/data/1341439/000119312526277521/orcl-20260531.htm" TargetMode="External"/><Relationship Id="rIdSource56" Type="http://schemas.openxmlformats.org/officeDocument/2006/relationships/hyperlink" Target="https://www.sec.gov/Archives/edgar/data/1341439/000119312526101045/orcl-ex10_17.htm" TargetMode="External"/><Relationship Id="rIdSource57" Type="http://schemas.openxmlformats.org/officeDocument/2006/relationships/hyperlink" Target="https://www.sec.gov/Archives/edgar/data/1341439/000119312526277521/orcl-20260531.htm" TargetMode="External"/><Relationship Id="rIdSource58" Type="http://schemas.openxmlformats.org/officeDocument/2006/relationships/hyperlink" Target="https://www.sec.gov/Archives/edgar/data/1341439/000119312526101045/orcl-ex10_17.htm" TargetMode="External"/><Relationship Id="rIdSource59" Type="http://schemas.openxmlformats.org/officeDocument/2006/relationships/hyperlink" Target="https://www.sec.gov/Archives/edgar/data/1341439/000119312526277521/orcl-20260531.htm" TargetMode="External"/><Relationship Id="rIdSource60" Type="http://schemas.openxmlformats.org/officeDocument/2006/relationships/hyperlink" Target="https://www.sec.gov/Archives/edgar/data/1341439/000119312526101045/orcl-ex10_17.htm" TargetMode="External"/><Relationship Id="rIdSource61" Type="http://schemas.openxmlformats.org/officeDocument/2006/relationships/hyperlink" Target="https://www.sec.gov/Archives/edgar/data/1341439/000119312526277521/orcl-20260531.htm" TargetMode="External"/><Relationship Id="rIdSource62" Type="http://schemas.openxmlformats.org/officeDocument/2006/relationships/hyperlink" Target="https://www.sec.gov/Archives/edgar/data/1341439/000119312526101045/orcl-ex10_17.htm" TargetMode="External"/><Relationship Id="rIdSource63" Type="http://schemas.openxmlformats.org/officeDocument/2006/relationships/hyperlink" Target="https://www.sec.gov/Archives/edgar/data/1341439/000119312526101045/orcl-ex10_17.htm" TargetMode="External"/><Relationship Id="rIdSource64" Type="http://schemas.openxmlformats.org/officeDocument/2006/relationships/hyperlink" Target="https://www.sec.gov/Archives/edgar/data/1341439/000119312526101045/orcl-ex10_17.htm" TargetMode="External"/><Relationship Id="rIdSource65" Type="http://schemas.openxmlformats.org/officeDocument/2006/relationships/hyperlink" Target="https://www.sec.gov/Archives/edgar/data/1341439/000119312526101045/orcl-ex10_17.htm" TargetMode="External"/><Relationship Id="rIdSource66" Type="http://schemas.openxmlformats.org/officeDocument/2006/relationships/hyperlink" Target="https://www.sec.gov/Archives/edgar/data/1341439/000119312526101045/orcl-ex10_17.htm" TargetMode="External"/><Relationship Id="rIdSource67" Type="http://schemas.openxmlformats.org/officeDocument/2006/relationships/hyperlink" Target="https://www.sec.gov/Archives/edgar/data/1341439/000119312526101045/orcl-ex10_17.htm" TargetMode="External"/><Relationship Id="rIdSource68" Type="http://schemas.openxmlformats.org/officeDocument/2006/relationships/hyperlink" Target="https://www.sec.gov/Archives/edgar/data/1341439/000119312526101045/orcl-ex10_17.htm" TargetMode="External"/><Relationship Id="rIdSource69" Type="http://schemas.openxmlformats.org/officeDocument/2006/relationships/hyperlink" Target="https://www.sec.gov/Archives/edgar/data/1341439/000119312526277521/orcl-20260531.htm" TargetMode="External"/><Relationship Id="rIdSource70" Type="http://schemas.openxmlformats.org/officeDocument/2006/relationships/hyperlink" Target="https://www.sec.gov/Archives/edgar/data/1341439/000119312526389274/orcl-20260831.htm" TargetMode="External"/><Relationship Id="rIdSource71" Type="http://schemas.openxmlformats.org/officeDocument/2006/relationships/hyperlink" Target="https://www.sec.gov/Archives/edgar/data/1341439/000119312526101045/orcl-ex10_17.htm" TargetMode="External"/><Relationship Id="rIdSource72" Type="http://schemas.openxmlformats.org/officeDocument/2006/relationships/hyperlink" Target="https://www.sec.gov/Archives/edgar/data/1341439/000119312526387905/orcl-20260910.htm" TargetMode="External"/><Relationship Id="rIdSource73" Type="http://schemas.openxmlformats.org/officeDocument/2006/relationships/hyperlink" Target="https://www.sec.gov/Archives/edgar/data/1341439/000119312526387905/orcl-ex99_1.htm" TargetMode="External"/><Relationship Id="rIdSource74" Type="http://schemas.openxmlformats.org/officeDocument/2006/relationships/hyperlink" Target="https://www.sec.gov/Archives/edgar/data/1341439/000119312526389753/d20034d8k.htm" TargetMode="External"/><Relationship Id="rIdSource75" Type="http://schemas.openxmlformats.org/officeDocument/2006/relationships/hyperlink" Target="https://www.sec.gov/Archives/edgar/data/1341439/000119312526389753/d20034dex991.htm" TargetMode="External"/><Relationship Id="rIdSource76" Type="http://schemas.openxmlformats.org/officeDocument/2006/relationships/hyperlink" Target="https://www.sec.gov/Archives/edgar/data/1341439/000119312526277521/orcl-20260531.htm" TargetMode="External"/><Relationship Id="rIdSource77" Type="http://schemas.openxmlformats.org/officeDocument/2006/relationships/hyperlink" Target="https://www.sec.gov/Archives/edgar/data/1341439/000119312526277521/orcl-20260531.htm" TargetMode="External"/><Relationship Id="rIdSource78" Type="http://schemas.openxmlformats.org/officeDocument/2006/relationships/hyperlink" Target="https://www.sec.gov/Archives/edgar/data/1341439/000119312526277521/orcl-20260531.htm" TargetMode="External"/><Relationship Id="rIdSource79" Type="http://schemas.openxmlformats.org/officeDocument/2006/relationships/hyperlink" Target="https://www.sec.gov/Archives/edgar/data/1341439/000119312526389274/orcl-20260831.htm" TargetMode="External"/><Relationship Id="rIdSource80" Type="http://schemas.openxmlformats.org/officeDocument/2006/relationships/hyperlink" Target="https://www.sec.gov/Archives/edgar/data/1341439/000119312526389274/orcl-20260831.htm" TargetMode="External"/><Relationship Id="rIdSource81" Type="http://schemas.openxmlformats.org/officeDocument/2006/relationships/hyperlink" Target="https://www.sec.gov/Archives/edgar/data/1341439/000119312526389274/orcl-20260831.htm" TargetMode="External"/><Relationship Id="rIdSource82" Type="http://schemas.openxmlformats.org/officeDocument/2006/relationships/hyperlink" Target="https://www.sec.gov/Archives/edgar/data/1341439/000119312526389274/orcl-20260831.htm" TargetMode="External"/><Relationship Id="rIdSource83" Type="http://schemas.openxmlformats.org/officeDocument/2006/relationships/hyperlink" Target="https://www.sec.gov/Archives/edgar/data/1341439/000119312526389274/orcl-20260831.htm" TargetMode="External"/><Relationship Id="rIdSource84" Type="http://schemas.openxmlformats.org/officeDocument/2006/relationships/hyperlink" Target="https://www.sec.gov/Archives/edgar/data/1341439/000119312526389274/orcl-20260831.htm" TargetMode="External"/><Relationship Id="rIdSource85" Type="http://schemas.openxmlformats.org/officeDocument/2006/relationships/hyperlink" Target="https://data.sec.gov/submissions/CIK0001341439.json" TargetMode="External"/><Relationship Id="rIdSource86" Type="http://schemas.openxmlformats.org/officeDocument/2006/relationships/hyperlink" Target="https://www.sec.gov/Archives/edgar/data/1341439/000119312526389274/orcl-20260831.htm" TargetMode="External"/><Relationship Id="rIdSource87" Type="http://schemas.openxmlformats.org/officeDocument/2006/relationships/hyperlink" Target="https://www.sec.gov/Archives/edgar/data/1341439/000119312526277521/orcl-20260531.htm" TargetMode="External"/><Relationship Id="rIdSource88" Type="http://schemas.openxmlformats.org/officeDocument/2006/relationships/hyperlink" Target="https://www.sec.gov/Archives/edgar/data/1341439/000119312526389274/orcl-20260831.htm" TargetMode="External"/><Relationship Id="rIdSource89" Type="http://schemas.openxmlformats.org/officeDocument/2006/relationships/hyperlink" Target="https://www.sec.gov/Archives/edgar/data/1341439/000119312526277521/orcl-20260531.htm" TargetMode="External"/><Relationship Id="rIdSource90" Type="http://schemas.openxmlformats.org/officeDocument/2006/relationships/hyperlink" Target="https://www.sec.gov/Archives/edgar/data/1341439/000119312526101045/orcl-ex10_17.htm" TargetMode="External"/><Relationship Id="rIdSource91" Type="http://schemas.openxmlformats.org/officeDocument/2006/relationships/hyperlink" Target="https://www.sec.gov/Archives/edgar/data/1341439/000119312526389274/orcl-20260831.htm" TargetMode="External"/><Relationship Id="rIdSource92" Type="http://schemas.openxmlformats.org/officeDocument/2006/relationships/hyperlink" Target="https://www.sec.gov/Archives/edgar/data/1341439/000119312526389274/orcl-20260831.htm" TargetMode="External"/><Relationship Id="rIdSource93" Type="http://schemas.openxmlformats.org/officeDocument/2006/relationships/hyperlink" Target="https://www.sec.gov/Archives/edgar/data/1341439/000119312526277521/orcl-20260531.htm" TargetMode="External"/><Relationship Id="rIdSource94" Type="http://schemas.openxmlformats.org/officeDocument/2006/relationships/hyperlink" Target="https://www.sec.gov/Archives/edgar/data/1341439/000119312526101045/orcl-ex10_17.htm" TargetMode="External"/><Relationship Id="rIdSource95" Type="http://schemas.openxmlformats.org/officeDocument/2006/relationships/hyperlink" Target="https://www.sec.gov/Archives/edgar/data/1341439/000119312526389274/orcl-20260831.htm" TargetMode="External"/><Relationship Id="rIdSource96" Type="http://schemas.openxmlformats.org/officeDocument/2006/relationships/hyperlink" Target="https://www.sec.gov/Archives/edgar/data/1341439/000119312526277521/orcl-20260531.htm" TargetMode="External"/><Relationship Id="rIdSource97" Type="http://schemas.openxmlformats.org/officeDocument/2006/relationships/hyperlink" Target="https://www.sec.gov/Archives/edgar/data/1341439/000119312526389274/orcl-20260831.htm" TargetMode="External"/><Relationship Id="rIdSource98" Type="http://schemas.openxmlformats.org/officeDocument/2006/relationships/hyperlink" Target="https://www.sec.gov/Archives/edgar/data/1341439/000119312526389274/orcl-20260831.htm" TargetMode="External"/><Relationship Id="rIdSource99" Type="http://schemas.openxmlformats.org/officeDocument/2006/relationships/hyperlink" Target="https://www.sec.gov/Archives/edgar/data/1341439/000119312526389274/orcl-20260831.htm" TargetMode="External"/><Relationship Id="rIdSource100" Type="http://schemas.openxmlformats.org/officeDocument/2006/relationships/hyperlink" Target="https://www.sec.gov/Archives/edgar/data/1341439/000119312526389274/orcl-20260831.htm" TargetMode="External"/><Relationship Id="rIdSource101" Type="http://schemas.openxmlformats.org/officeDocument/2006/relationships/hyperlink" Target="https://www.sec.gov/Archives/edgar/data/1341439/000119312526389274/orcl-20260831.htm" TargetMode="External"/><Relationship Id="rIdSource102" Type="http://schemas.openxmlformats.org/officeDocument/2006/relationships/hyperlink" Target="https://www.sec.gov/Archives/edgar/data/1341439/000119312526389274/orcl-20260831.htm" TargetMode="External"/><Relationship Id="rIdSource103" Type="http://schemas.openxmlformats.org/officeDocument/2006/relationships/hyperlink" Target="https://www.sec.gov/Archives/edgar/data/1341439/000119312526389274/orcl-20260831.htm" TargetMode="External"/><Relationship Id="rIdSource104" Type="http://schemas.openxmlformats.org/officeDocument/2006/relationships/hyperlink" Target="https://www.sec.gov/Archives/edgar/data/1341439/000119312526389274/orcl-20260831.htm" TargetMode="External"/><Relationship Id="rIdSource105" Type="http://schemas.openxmlformats.org/officeDocument/2006/relationships/hyperlink" Target="https://www.sec.gov/Archives/edgar/data/1341439/000119312526389274/orcl-20260831.htm" TargetMode="External"/><Relationship Id="rIdSource106" Type="http://schemas.openxmlformats.org/officeDocument/2006/relationships/hyperlink" Target="https://www.sec.gov/Archives/edgar/data/1341439/000119312526389274/orcl-20260831.htm" TargetMode="External"/><Relationship Id="rIdSource107" Type="http://schemas.openxmlformats.org/officeDocument/2006/relationships/hyperlink" Target="https://www.sec.gov/Archives/edgar/data/1341439/000119312526389274/orcl-20260831.htm" TargetMode="External"/><Relationship Id="rIdSource108" Type="http://schemas.openxmlformats.org/officeDocument/2006/relationships/hyperlink" Target="https://www.sec.gov/Archives/edgar/data/1341439/000119312526389274/orcl-20260831.htm" TargetMode="External"/><Relationship Id="rIdSource109" Type="http://schemas.openxmlformats.org/officeDocument/2006/relationships/hyperlink" Target="https://www.sec.gov/Archives/edgar/data/1341439/000119312526389274/orcl-20260831.htm" TargetMode="External"/><Relationship Id="rIdSource110" Type="http://schemas.openxmlformats.org/officeDocument/2006/relationships/hyperlink" Target="https://www.sec.gov/Archives/edgar/data/1341439/000119312526389274/orcl-20260831.htm" TargetMode="External"/><Relationship Id="rIdSource111" Type="http://schemas.openxmlformats.org/officeDocument/2006/relationships/hyperlink" Target="https://www.sec.gov/Archives/edgar/data/1341439/000119312526277521/orcl-20260531.htm" TargetMode="External"/><Relationship Id="rIdSource112" Type="http://schemas.openxmlformats.org/officeDocument/2006/relationships/hyperlink" Target="https://www.sec.gov/Archives/edgar/data/1341439/000119312526389274/orcl-20260831.htm" TargetMode="External"/><Relationship Id="rIdSource113" Type="http://schemas.openxmlformats.org/officeDocument/2006/relationships/hyperlink" Target="https://www.sec.gov/Archives/edgar/data/1341439/000119312526389274/orcl-20260831.htm" TargetMode="External"/><Relationship Id="rIdSource114" Type="http://schemas.openxmlformats.org/officeDocument/2006/relationships/hyperlink" Target="https://www.sec.gov/Archives/edgar/data/1341439/000119312526277521/orcl-20260531.htm" TargetMode="External"/><Relationship Id="rIdSource115" Type="http://schemas.openxmlformats.org/officeDocument/2006/relationships/hyperlink" Target="https://www.sec.gov/Archives/edgar/data/1341439/000119312526389274/orcl-20260831.htm" TargetMode="External"/><Relationship Id="rIdSource116" Type="http://schemas.openxmlformats.org/officeDocument/2006/relationships/hyperlink" Target="https://www.sec.gov/Archives/edgar/data/1341439/000119312526389274/orcl-20260831.htm" TargetMode="External"/><Relationship Id="rIdSource117" Type="http://schemas.openxmlformats.org/officeDocument/2006/relationships/hyperlink" Target="https://www.sec.gov/Archives/edgar/data/1341439/000119312526277521/orcl-20260531.htm" TargetMode="External"/><Relationship Id="rIdSource118" Type="http://schemas.openxmlformats.org/officeDocument/2006/relationships/hyperlink" Target="https://www.sec.gov/Archives/edgar/data/1341439/000119312526277521/orcl-20260531.htm" TargetMode="External"/><Relationship Id="rIdSource119" Type="http://schemas.openxmlformats.org/officeDocument/2006/relationships/hyperlink" Target="https://www.sec.gov/Archives/edgar/data/1341439/000119312526277521/orcl-20260531.htm" TargetMode="External"/><Relationship Id="rIdSource120" Type="http://schemas.openxmlformats.org/officeDocument/2006/relationships/hyperlink" Target="https://www.sec.gov/Archives/edgar/data/1341439/000119312526277521/orcl-20260531.htm" TargetMode="External"/><Relationship Id="rIdSource121" Type="http://schemas.openxmlformats.org/officeDocument/2006/relationships/hyperlink" Target="https://www.sec.gov/Archives/edgar/data/1341439/000119312526277521/orcl-20260531.htm" TargetMode="External"/><Relationship Id="rIdSource122" Type="http://schemas.openxmlformats.org/officeDocument/2006/relationships/hyperlink" Target="https://www.sec.gov/Archives/edgar/data/1341439/000119312526277521/orcl-20260531.htm" TargetMode="External"/><Relationship Id="rIdSource123" Type="http://schemas.openxmlformats.org/officeDocument/2006/relationships/hyperlink" Target="https://www.sec.gov/Archives/edgar/data/1341439/000119312526277521/orcl-20260531.htm" TargetMode="External"/></Relationships>
</file>

<file path=xl/worksheets/_rels/sheet10.xml.rels><?xml version="1.0" encoding="UTF-8" standalone="yes"?><Relationships xmlns="http://schemas.openxmlformats.org/package/2006/relationships"><Relationship Id="rIdSource1" Type="http://schemas.openxmlformats.org/officeDocument/2006/relationships/hyperlink" Target="https://www.sec.gov/Archives/edgar/data/1341439/000119312526389274/orcl-20260831.htm" TargetMode="External"/><Relationship Id="rIdSource2" Type="http://schemas.openxmlformats.org/officeDocument/2006/relationships/hyperlink" Target="https://www.sec.gov/Archives/edgar/data/1341439/000119312526389274/orcl-20260831.htm" TargetMode="External"/><Relationship Id="rIdSource3" Type="http://schemas.openxmlformats.org/officeDocument/2006/relationships/hyperlink" Target="https://www.sec.gov/Archives/edgar/data/1341439/000119312526389274/orcl-20260831.htm" TargetMode="External"/><Relationship Id="rIdSource4" Type="http://schemas.openxmlformats.org/officeDocument/2006/relationships/hyperlink" Target="https://www.sec.gov/Archives/edgar/data/1341439/000119312526101045/orcl-ex10_17.htm" TargetMode="External"/><Relationship Id="rIdSource5" Type="http://schemas.openxmlformats.org/officeDocument/2006/relationships/hyperlink" Target="https://www.sec.gov/Archives/edgar/data/1341439/000119312526101045/orcl-ex10_17.htm" TargetMode="External"/><Relationship Id="rIdSource6" Type="http://schemas.openxmlformats.org/officeDocument/2006/relationships/hyperlink" Target="https://www.sec.gov/Archives/edgar/data/1341439/000119312526387905/orcl-ex99_1.htm" TargetMode="External"/><Relationship Id="rIdSource7" Type="http://schemas.openxmlformats.org/officeDocument/2006/relationships/hyperlink" Target="https://www.sec.gov/Archives/edgar/data/1341439/000119312526389753/d20034dex991.htm" TargetMode="External"/><Relationship Id="rIdSource8" Type="http://schemas.openxmlformats.org/officeDocument/2006/relationships/hyperlink" Target="https://github.com/jackconnolly1000-ux/sec-filing-research-terminal/blob/main/docs/oracle_interest_coverage.md" TargetMode="External"/><Relationship Id="rIdSource9" Type="http://schemas.openxmlformats.org/officeDocument/2006/relationships/hyperlink" Target="https://www.sec.gov/Archives/edgar/data/1341439/000119312526277521/orcl-20260531.htm" TargetMode="External"/><Relationship Id="rIdSource10" Type="http://schemas.openxmlformats.org/officeDocument/2006/relationships/hyperlink" Target="https://www.sec.gov/Archives/edgar/data/1341439/000119312526277521/orcl-20260531.htm" TargetMode="External"/><Relationship Id="rIdSource11" Type="http://schemas.openxmlformats.org/officeDocument/2006/relationships/hyperlink" Target="https://www.sec.gov/Archives/edgar/data/1341439/000119312526101045/orcl-ex10_17.htm" TargetMode="External"/><Relationship Id="rIdSource12" Type="http://schemas.openxmlformats.org/officeDocument/2006/relationships/hyperlink" Target="https://github.com/jackconnolly1000-ux/sec-filing-research-terminal/blob/main/docs/borrowing_lease_presentation.md" TargetMode="External"/><Relationship Id="rIdSource13" Type="http://schemas.openxmlformats.org/officeDocument/2006/relationships/hyperlink" Target="https://github.com/jackconnolly1000-ux/sec-filing-research-terminal/blob/main/docs/ratio_reconciliation.md" TargetMode="External"/><Relationship Id="rIdSource14" Type="http://schemas.openxmlformats.org/officeDocument/2006/relationships/hyperlink" Target="https://github.com/jackconnolly1000-ux/sec-filing-research-terminal/blob/main/docs/company_history.md" TargetMode="External"/><Relationship Id="rIdSource15" Type="http://schemas.openxmlformats.org/officeDocument/2006/relationships/hyperlink" Target="https://github.com/jackconnolly1000-ux/sec-filing-research-terminal/blob/main/docs/core_charts.md" TargetMode="External"/><Relationship Id="rIdSource16" Type="http://schemas.openxmlformats.org/officeDocument/2006/relationships/hyperlink" Target="https://github.com/jackconnolly1000-ux/sec-filing-research-terminal/blob/main/docs/excel_parity.md" TargetMode="External"/></Relationships>
</file>

<file path=xl/worksheets/sheet1.xml><?xml version="1.0" encoding="utf-8"?>
<x:worksheet xmlns:x="http://schemas.openxmlformats.org/spreadsheetml/2006/main">
  <x:sheetViews>
    <x:sheetView showGridLines="0" workbookViewId="0"/>
  </x:sheetViews>
  <x:sheetFormatPr defaultRowHeight="15"/>
  <x:cols>
    <x:col min="1" max="1" width="26" hidden="0" customWidth="1"/>
    <x:col min="2" max="2" width="108" hidden="0" customWidth="1"/>
  </x:cols>
  <x:sheetData>
    <x:row r="1">
      <x:c r="A1" s="312"/>
      <x:c r="B1" s="313"/>
    </x:row>
    <x:row r="2" ht="26" customHeight="1">
      <x:c r="A2" s="314" t="str">
        <x:v>Oracle Corporation funding conclusion</x:v>
      </x:c>
      <x:c r="B2" s="313"/>
    </x:row>
    <x:row r="3" ht="24" customHeight="1">
      <x:c r="A3" s="315" t="str">
        <x:v>Balance sheet 2026-08-31. Interpretation checked 2026-10-17. Source dates remain historical.</x:v>
      </x:c>
      <x:c r="B3" s="313"/>
    </x:row>
    <x:row r="4">
      <x:c r="A4" s="312"/>
      <x:c r="B4" s="313"/>
    </x:row>
    <x:row r="5">
      <x:c r="A5" s="316" t="str">
        <x:v>Question</x:v>
      </x:c>
      <x:c r="B5" s="317" t="str">
        <x:v>Checked interpretation</x:v>
      </x:c>
    </x:row>
    <x:row r="6" ht="55" customHeight="1">
      <x:c r="A6" s="318" t="str">
        <x:v>Conclusion</x:v>
      </x:c>
      <x:c r="B6" s="319" t="str">
        <x:v>Equity proceeds and specified customer prepayments contributed to funding a quarter in which capex exceeded operating cash flow. At August 31, $7.317B of note and term-loan principal was due over the next twelve months, alongside dated lease and purchase payments. Coverage remains Unavailable: drawable credit, commercial paper and future cash generation are not established, and the dated cash balance is not reserved for these payments.</x:v>
      </x:c>
    </x:row>
    <x:row r="7" ht="76" customHeight="1">
      <x:c r="A7" s="318" t="str">
        <x:v>Near-term obligations</x:v>
      </x:c>
      <x:c r="B7" s="319" t="str">
        <x:v>September 2026–August 2027 principal is $7.317B: $2.250B of notes due April 1, 2027, $563M of term-loan installments and the $4.504B term-loan remainder due August 16, 2027, which Oracle may extend. Commercial paper is undated and Unavailable; the $7.625B of current borrowing is carrying value. September 2026–May 2027 lease and purchase payments are $3.219B operating, $620M finance and $5.449B purchase/other, kept separate because overlap is unresolved.</x:v>
      </x:c>
    </x:row>
    <x:row r="8" ht="76" customHeight="1">
      <x:c r="A8" s="318" t="str">
        <x:v>Resources and access</x:v>
      </x:c>
      <x:c r="B8" s="319" t="str">
        <x:v>$36.369B cash at August 31 excludes $2.565B restricted cash. The $10B revolver was undrawn at May 31. August/later drawings and drawable capacity are Unavailable. Draw conditions apply. The fully used $20B gross ATM equity program provides no remaining capacity.</x:v>
      </x:c>
    </x:row>
    <x:row r="9" ht="76" customHeight="1">
      <x:c r="A9" s="318" t="str">
        <x:v>Competing cash uses</x:v>
      </x:c>
      <x:c r="B9" s="319" t="str">
        <x:v>Jun–Aug 2026 OCF $23.103B included $11.363B specified customer prepayments. Cash capex was $28.499B and net ATM proceeds $19.909B. OCF less specified prepayments and capex was negative $16.759B. This historical exclusion is not recurring OCF or a forecast.</x:v>
      </x:c>
    </x:row>
    <x:row r="10" ht="76" customHeight="1">
      <x:c r="A10" s="320" t="str">
        <x:v>Decisive unknowns</x:v>
      </x:c>
      <x:c r="B10" s="321" t="str">
        <x:v>Future funding coverage: Unavailable. Needed: current drawable credit, commercial paper's balance and dates, future cash generation and commitment overlap. Note and term-loan principal dates are established. The $288B leases not yet commenced have no annual payment schedule. Historical equity/prepayment inflows are already in cash and cannot be added again.</x:v>
      </x:c>
    </x:row>
    <x:row r="11">
      <x:c r="A11" s="312"/>
      <x:c r="B11" s="313"/>
    </x:row>
    <x:row r="12" ht="32" customHeight="1">
      <x:c r="A12" s="316" t="str">
        <x:v>Historical interest coverage</x:v>
      </x:c>
      <x:c r="B12" s="317" t="str">
        <x:v>Multiple; historical accrual earnings / interest, not repayment coverage</x:v>
      </x:c>
    </x:row>
    <x:row r="13">
      <x:c r="A13" s="322" t="str">
        <x:v>TTM coverage (x)</x:v>
      </x:c>
      <x:c r="B13" s="323" t="n">
        <x:f>IF(ISNUMBER('Cash analysis'!B49),'Cash analysis'!B49,NA())</x:f>
        <x:v>4.517437304075235</x:v>
      </x:c>
    </x:row>
    <x:row r="14" ht="72" customHeight="1">
      <x:c r="A14" s="324" t="str">
        <x:v>Company-specific basis</x:v>
      </x:c>
      <x:c r="B14" s="319" t="str">
        <x:v>TTM Sep 2025–Aug 2026: reported operating income $23.057B / reported interest $5.104B. Borrowing-only composition and capitalization basis are Unavailable. Separately disclosed $357M finance-lease interest is not added or subtracted without a reconciliation.</x:v>
      </x:c>
    </x:row>
    <x:row r="15" ht="88" customHeight="1">
      <x:c r="A15" s="325" t="str">
        <x:v>Interpretation across companies</x:v>
      </x:c>
      <x:c r="B15" s="321" t="str">
        <x:v>Coverage bases differ: Lilly derives operating income and its interim capitalization basis is unstated. Oracle uses reported operating income and a reported interest line with unresolved composition/capitalization. Vistra uses reported operating income and a separate interest component before the capitalized-interest deduction. The periods also differ. These historical accrual ratios do not rank funding strength, measure covenant headroom or prove future repayment capacity.</x:v>
      </x:c>
    </x:row>
    <x:row r="16">
      <x:c r="A16" s="312"/>
      <x:c r="B16" s="313"/>
    </x:row>
    <x:row r="17" ht="42" customHeight="1">
      <x:c r="A17" s="326" t="str">
        <x:v>Future funding coverage</x:v>
      </x:c>
      <x:c r="B17" s="327" t="str">
        <x:v>Unavailable: payment timing, accessible resources and future cash generation are not jointly established.</x:v>
      </x:c>
    </x:row>
    <x:row r="18" ht="42" customHeight="1">
      <x:c r="A18" s="328" t="str">
        <x:v>Source interpretation</x:v>
      </x:c>
      <x:c r="B18" s="327" t="str">
        <x:v>Narrative reflects the checked source snapshot. Editing workbook inputs updates calculations but requires a new review of the narrative.</x:v>
      </x:c>
    </x:row>
    <x:row r="20" ht="44" customHeight="1">
      <x:c r="A20" s="316" t="str">
        <x:v>Workbook contents — select the named tab</x:v>
      </x:c>
      <x:c r="B20" s="317" t="str">
        <x:v>Question / evidence</x:v>
      </x:c>
    </x:row>
    <x:row r="21" ht="44" customHeight="1">
      <x:c r="A21" s="318" t="str">
        <x:v>Funding conclusion</x:v>
      </x:c>
      <x:c r="B21" s="319" t="str">
        <x:v>Start here: obligations, accessible resources, competing uses and decisive unknowns.</x:v>
      </x:c>
    </x:row>
    <x:row r="22" ht="44" customHeight="1">
      <x:c r="A22" s="318" t="str">
        <x:v>Borrowing and leases</x:v>
      </x:c>
      <x:c r="B22" s="319" t="str">
        <x:v>Borrowing components, dated lease liabilities and uncommenced commitments, separately.</x:v>
      </x:c>
    </x:row>
    <x:row r="23" ht="44" customHeight="1">
      <x:c r="A23" s="318" t="str">
        <x:v>Debt and liquidity</x:v>
      </x:c>
      <x:c r="B23" s="319" t="str">
        <x:v>Latest checked ratios, formulas, periods and company-specific limits.</x:v>
      </x:c>
    </x:row>
    <x:row r="24" ht="44" customHeight="1">
      <x:c r="A24" s="318" t="str">
        <x:v>History</x:v>
      </x:c>
      <x:c r="B24" s="319" t="str">
        <x:v>Annual versus latest dated balances; overlapping FY and TTM flows. Unavailable is not zero.</x:v>
      </x:c>
    </x:row>
    <x:row r="25" ht="44" customHeight="1">
      <x:c r="A25" s="318" t="str">
        <x:v>Core charts</x:v>
      </x:c>
      <x:c r="B25" s="319" t="str">
        <x:v>What remained after capital spending, and how checked cash/borrowing balances changed.</x:v>
      </x:c>
    </x:row>
    <x:row r="26" ht="44" customHeight="1">
      <x:c r="A26" s="318" t="str">
        <x:v>Repayment review</x:v>
      </x:c>
      <x:c r="B26" s="319" t="str">
        <x:v>Dated obligations, possible funding and unresolved availability.</x:v>
      </x:c>
    </x:row>
    <x:row r="27" ht="44" customHeight="1">
      <x:c r="A27" s="318" t="str">
        <x:v>Cash analysis</x:v>
      </x:c>
      <x:c r="B27" s="319" t="str">
        <x:v>Quarter cash bridge, customer prepayments, equity proceeds and historical interest build.</x:v>
      </x:c>
    </x:row>
    <x:row r="28" ht="44" customHeight="1">
      <x:c r="A28" s="318" t="str">
        <x:v>Payment dates</x:v>
      </x:c>
      <x:c r="B28" s="319" t="str">
        <x:v>Contract schedules on their own dates and bases; no combined obligations total.</x:v>
      </x:c>
    </x:row>
    <x:row r="29" ht="44" customHeight="1">
      <x:c r="A29" s="318" t="str">
        <x:v>Data</x:v>
      </x:c>
      <x:c r="B29" s="319" t="str">
        <x:v>Reported inputs with filing dates, accessions, tags, contexts and source URLs; separate evidence blocks.</x:v>
      </x:c>
    </x:row>
    <x:row r="30" ht="44" customHeight="1">
      <x:c r="A30" s="320" t="str">
        <x:v>About</x:v>
      </x:c>
      <x:c r="B30" s="321" t="str">
        <x:v>Definitions, source scope, missing values, colors and methodology references.</x:v>
      </x:c>
    </x:row>
    <x:row r="32" ht="55" customHeight="1">
      <x:c r="A32" s="329" t="str">
        <x:v>Units and dates</x:v>
      </x:c>
      <x:c r="B32" s="330" t="str">
        <x:v>Amounts are stored as whole USD and displayed in millions unless marked x or %. Balance sheets are instants; FY and later TTM are overlapping twelve-month windows.</x:v>
      </x:c>
    </x:row>
    <x:row r="33" ht="55" customHeight="1">
      <x:c r="A33" s="324" t="str">
        <x:v>Colors</x:v>
      </x:c>
      <x:c r="B33" s="319" t="str">
        <x:v>Blue numeric cells are reported inputs; green formulas reference other sheets; black formulas calculate within a sheet. Green does not mean favorable or recurring cash.</x:v>
      </x:c>
    </x:row>
    <x:row r="34" ht="55" customHeight="1">
      <x:c r="A34" s="324" t="str">
        <x:v>Evidence and uncertainty</x:v>
      </x:c>
      <x:c r="B34" s="319" t="str">
        <x:v>Data contains source URLs and filing metadata. Select a source URL to open it in a browser. Unavailable is never zero; capacity and later events do not update balance-sheet cash or borrowing.</x:v>
      </x:c>
    </x:row>
    <x:row r="35" ht="55" customHeight="1">
      <x:c r="A35" s="325" t="str">
        <x:v>Reading the charts</x:v>
      </x:c>
      <x:c r="B35" s="321" t="str">
        <x:v>FCF is OCF less capital spending, not another cash flow to add. Vistra has no supported older borrowing series. Other existing company-specific charts retain their own dated scope.</x:v>
      </x:c>
    </x:row>
  </x:sheetData>
  <x:pageMargins left="0.7" right="0.7" top="0.75" bottom="0.75" header="0.3" footer="0.3"/>
</x:worksheet>
</file>

<file path=xl/worksheets/sheet2.xml><?xml version="1.0" encoding="utf-8"?>
<x:worksheet xmlns:x="http://schemas.openxmlformats.org/spreadsheetml/2006/main">
  <x:sheetViews>
    <x:sheetView showGridLines="0" workbookViewId="0">
      <x:pane ySplit="5" topLeftCell="A6" activePane="bottomLeft" state="frozen"/>
    </x:sheetView>
  </x:sheetViews>
  <x:sheetFormatPr defaultRowHeight="15"/>
  <x:cols>
    <x:col min="1" max="1" width="42" hidden="0" customWidth="1"/>
    <x:col min="2" max="2" width="21" hidden="0" customWidth="1"/>
    <x:col min="3" max="3" width="20" hidden="0" customWidth="1"/>
    <x:col min="4" max="4" width="38" hidden="0" customWidth="1"/>
    <x:col min="5" max="5" width="72" hidden="0" customWidth="1"/>
  </x:cols>
  <x:sheetData>
    <x:row r="1" ht="12" customHeight="1">
      <x:c r="A1" s="312"/>
      <x:c r="B1" s="331"/>
      <x:c r="C1" s="331"/>
      <x:c r="D1" s="331"/>
      <x:c r="E1" s="313"/>
    </x:row>
    <x:row r="2" ht="25" customHeight="1">
      <x:c r="A2" s="314" t="str">
        <x:v>Oracle Corporation borrowing and leases</x:v>
      </x:c>
      <x:c r="B2" s="331"/>
      <x:c r="C2" s="331"/>
      <x:c r="D2" s="331"/>
      <x:c r="E2" s="313"/>
    </x:row>
    <x:row r="3" ht="25" customHeight="1">
      <x:c r="A3" s="315" t="str">
        <x:v>Amounts in USD millions. Each balance retains its own date. Baseline borrowing excludes leases.</x:v>
      </x:c>
      <x:c r="B3" s="331"/>
      <x:c r="C3" s="331"/>
      <x:c r="D3" s="331"/>
      <x:c r="E3" s="313"/>
    </x:row>
    <x:row r="4" ht="12" customHeight="1">
      <x:c r="A4" s="312"/>
      <x:c r="B4" s="331"/>
      <x:c r="C4" s="331"/>
      <x:c r="D4" s="331"/>
      <x:c r="E4" s="313"/>
    </x:row>
    <x:row r="5" ht="28" customHeight="1">
      <x:c r="A5" s="316" t="str">
        <x:v>Borrowing component</x:v>
      </x:c>
      <x:c r="B5" s="332" t="str">
        <x:v>USD millions</x:v>
      </x:c>
      <x:c r="C5" s="332" t="str">
        <x:v>As of</x:v>
      </x:c>
      <x:c r="D5" s="332" t="str">
        <x:v>Source / filing</x:v>
      </x:c>
      <x:c r="E5" s="317" t="str">
        <x:v>Basis</x:v>
      </x:c>
    </x:row>
    <x:row r="6" ht="42" customHeight="1">
      <x:c r="A6" s="324" t="str">
        <x:v>Current borrowing</x:v>
      </x:c>
      <x:c r="B6" s="333" t="n">
        <x:f>IF(ISNUMBER('Data'!B103),'Data'!B103,NA())</x:f>
        <x:v>7625000000</x:v>
      </x:c>
      <x:c r="C6" s="334" t="d">
        <x:v>2026-08-31T00:00:00.000Z</x:v>
      </x:c>
      <x:c r="D6" s="335" t="str">
        <x:v>10-Q balance sheet, p. 1; filed 2026-09-11</x:v>
      </x:c>
      <x:c r="E6" s="319" t="str">
        <x:v>Notes payable and other borrowings, current</x:v>
      </x:c>
    </x:row>
    <x:row r="7" ht="42" customHeight="1">
      <x:c r="A7" s="324" t="str">
        <x:v>Noncurrent borrowing</x:v>
      </x:c>
      <x:c r="B7" s="333" t="n">
        <x:f>IF(ISNUMBER('Data'!B104),'Data'!B104,NA())</x:f>
        <x:v>117712000000</x:v>
      </x:c>
      <x:c r="C7" s="334" t="d">
        <x:v>2026-08-31T00:00:00.000Z</x:v>
      </x:c>
      <x:c r="D7" s="335" t="str">
        <x:v>10-Q balance sheet, p. 1; filed 2026-09-11</x:v>
      </x:c>
      <x:c r="E7" s="319" t="str">
        <x:v>Notes payable and other borrowings, non-current</x:v>
      </x:c>
    </x:row>
    <x:row r="8" ht="42" customHeight="1">
      <x:c r="A8" s="336" t="str">
        <x:v>Baseline gross debt</x:v>
      </x:c>
      <x:c r="B8" s="337" t="n">
        <x:f>SUM(B6:B7)</x:f>
        <x:v>125337000000</x:v>
      </x:c>
      <x:c r="C8" s="338" t="d">
        <x:v>2026-08-31T00:00:00.000Z</x:v>
      </x:c>
      <x:c r="D8" s="339" t="str">
        <x:v>Derived from the components above</x:v>
      </x:c>
      <x:c r="E8" s="340" t="str">
        <x:v>Carrying amount; excludes leases.</x:v>
      </x:c>
    </x:row>
    <x:row r="9" ht="12" customHeight="1">
      <x:c r="A9" s="312"/>
      <x:c r="B9" s="341"/>
      <x:c r="C9" s="342"/>
      <x:c r="D9" s="331"/>
      <x:c r="E9" s="313"/>
    </x:row>
    <x:row r="10" ht="58" customHeight="1">
      <x:c r="A10" s="328" t="str">
        <x:v>Borrowing scope</x:v>
      </x:c>
      <x:c r="B10" s="341"/>
      <x:c r="C10" s="342"/>
      <x:c r="D10" s="331"/>
      <x:c r="E10" s="327" t="str">
        <x:v>The 10-Q does not split these borrowing lines by instrument. Commercial paper and the capex-financing balance remain Unavailable. The rounded $125.0B disclosure is not added.</x:v>
      </x:c>
    </x:row>
    <x:row r="11" ht="12" customHeight="1">
      <x:c r="A11" s="312"/>
      <x:c r="B11" s="341"/>
      <x:c r="C11" s="342"/>
      <x:c r="D11" s="331"/>
      <x:c r="E11" s="313"/>
    </x:row>
    <x:row r="12" ht="12" customHeight="1">
      <x:c r="A12" s="312"/>
      <x:c r="B12" s="341"/>
      <x:c r="C12" s="342"/>
      <x:c r="D12" s="331"/>
      <x:c r="E12" s="313"/>
    </x:row>
    <x:row r="13" ht="28" customHeight="1">
      <x:c r="A13" s="316" t="str">
        <x:v>Lease liability / commitment</x:v>
      </x:c>
      <x:c r="B13" s="343" t="str">
        <x:v>USD millions</x:v>
      </x:c>
      <x:c r="C13" s="344" t="str">
        <x:v>As of</x:v>
      </x:c>
      <x:c r="D13" s="332" t="str">
        <x:v>Source / filing</x:v>
      </x:c>
      <x:c r="E13" s="317" t="str">
        <x:v>Basis / Unavailable reason</x:v>
      </x:c>
    </x:row>
    <x:row r="14" ht="42" customHeight="1">
      <x:c r="A14" s="324" t="str">
        <x:v>Operating lease liabilities — current</x:v>
      </x:c>
      <x:c r="B14" s="333" t="n">
        <x:f>IF(ISNUMBER('Data'!B105),'Data'!B105,NA())</x:f>
        <x:v>4027000000</x:v>
      </x:c>
      <x:c r="C14" s="334" t="d">
        <x:v>2026-08-31T00:00:00.000Z</x:v>
      </x:c>
      <x:c r="D14" s="335" t="str">
        <x:v>10-Q Note 6, pp. 12–13; filed 2026-09-11</x:v>
      </x:c>
      <x:c r="E14" s="319" t="str">
        <x:v>Recognized lease liability; excluded from baseline borrowing.</x:v>
      </x:c>
    </x:row>
    <x:row r="15" ht="42" customHeight="1">
      <x:c r="A15" s="324" t="str">
        <x:v>Operating lease liabilities — noncurrent</x:v>
      </x:c>
      <x:c r="B15" s="333" t="n">
        <x:f>IF(ISNUMBER('Data'!B106),'Data'!B106,NA())</x:f>
        <x:v>30594000000</x:v>
      </x:c>
      <x:c r="C15" s="334" t="d">
        <x:v>2026-08-31T00:00:00.000Z</x:v>
      </x:c>
      <x:c r="D15" s="335" t="str">
        <x:v>10-Q Note 6, pp. 12–13; filed 2026-09-11</x:v>
      </x:c>
      <x:c r="E15" s="319" t="str">
        <x:v>Recognized lease liability; excluded from baseline borrowing.</x:v>
      </x:c>
    </x:row>
    <x:row r="16" ht="42" customHeight="1">
      <x:c r="A16" s="345" t="str">
        <x:v>Operating lease liabilities — total</x:v>
      </x:c>
      <x:c r="B16" s="346" t="n">
        <x:f>B14+B15</x:f>
        <x:v>34621000000</x:v>
      </x:c>
      <x:c r="C16" s="347" t="d">
        <x:v>2026-08-31T00:00:00.000Z</x:v>
      </x:c>
      <x:c r="D16" s="348" t="str">
        <x:v>10-Q Note 6, pp. 12–13</x:v>
      </x:c>
      <x:c r="E16" s="349" t="str">
        <x:v>Components match the reported total.</x:v>
      </x:c>
    </x:row>
    <x:row r="17" ht="42" customHeight="1">
      <x:c r="A17" s="324" t="str">
        <x:v>Finance lease liabilities — current</x:v>
      </x:c>
      <x:c r="B17" s="333" t="n">
        <x:f>IF(ISNUMBER('Data'!B108),'Data'!B108,NA())</x:f>
        <x:v>749000000</x:v>
      </x:c>
      <x:c r="C17" s="334" t="d">
        <x:v>2026-08-31T00:00:00.000Z</x:v>
      </x:c>
      <x:c r="D17" s="335" t="str">
        <x:v>10-Q Note 6, pp. 12–13; filed 2026-09-11</x:v>
      </x:c>
      <x:c r="E17" s="319" t="str">
        <x:v>Recognized lease liability; excluded from baseline borrowing.</x:v>
      </x:c>
    </x:row>
    <x:row r="18" ht="42" customHeight="1">
      <x:c r="A18" s="324" t="str">
        <x:v>Finance lease liabilities — noncurrent</x:v>
      </x:c>
      <x:c r="B18" s="333" t="n">
        <x:f>IF(ISNUMBER('Data'!B109),'Data'!B109,NA())</x:f>
        <x:v>8436000000</x:v>
      </x:c>
      <x:c r="C18" s="334" t="d">
        <x:v>2026-08-31T00:00:00.000Z</x:v>
      </x:c>
      <x:c r="D18" s="335" t="str">
        <x:v>10-Q Note 6, pp. 12–13; filed 2026-09-11</x:v>
      </x:c>
      <x:c r="E18" s="319" t="str">
        <x:v>Recognized lease liability; excluded from baseline borrowing.</x:v>
      </x:c>
    </x:row>
    <x:row r="19" ht="42" customHeight="1">
      <x:c r="A19" s="336" t="str">
        <x:v>Finance lease liabilities — total</x:v>
      </x:c>
      <x:c r="B19" s="337" t="n">
        <x:f>B17+B18</x:f>
        <x:v>9185000000</x:v>
      </x:c>
      <x:c r="C19" s="338" t="d">
        <x:v>2026-08-31T00:00:00.000Z</x:v>
      </x:c>
      <x:c r="D19" s="339" t="str">
        <x:v>10-Q Note 6, pp. 12–13</x:v>
      </x:c>
      <x:c r="E19" s="340" t="str">
        <x:v>Components match the reported total.</x:v>
      </x:c>
    </x:row>
    <x:row r="20" ht="12" customHeight="1">
      <x:c r="A20" s="312"/>
      <x:c r="B20" s="341"/>
      <x:c r="C20" s="342"/>
      <x:c r="D20" s="331"/>
      <x:c r="E20" s="313"/>
    </x:row>
    <x:row r="21" ht="54" customHeight="1">
      <x:c r="A21" s="350" t="str">
        <x:v>Leases not yet commenced</x:v>
      </x:c>
      <x:c r="B21" s="351" t="n">
        <x:f>IF(ISNUMBER('Data'!B111),'Data'!B111,NA())</x:f>
        <x:v>288000000000</x:v>
      </x:c>
      <x:c r="C21" s="352" t="d">
        <x:v>2026-08-31T00:00:00.000Z</x:v>
      </x:c>
      <x:c r="D21" s="353" t="str">
        <x:v>10-Q Note 6, p. 13</x:v>
      </x:c>
      <x:c r="E21" s="354" t="str">
        <x:v>Amount reported in rounded billions. Future commitment, not a recognized lease liability. Expected to commence Q2 fiscal 2027–fiscal 2029, with 15–19 year terms. Annual payment timing is Unavailable.</x:v>
      </x:c>
    </x:row>
  </x:sheetData>
  <x:pageMargins left="0.7" right="0.7" top="0.75" bottom="0.75" header="0.3" footer="0.3"/>
</x:worksheet>
</file>

<file path=xl/worksheets/sheet3.xml><?xml version="1.0" encoding="utf-8"?>
<x:worksheet xmlns:x="http://schemas.openxmlformats.org/spreadsheetml/2006/main">
  <x:sheetViews>
    <x:sheetView showGridLines="0" workbookViewId="0"/>
  </x:sheetViews>
  <x:sheetFormatPr defaultRowHeight="15"/>
  <x:cols>
    <x:col min="1" max="1" width="42" hidden="0" customWidth="1"/>
    <x:col min="2" max="2" width="29" hidden="0" customWidth="1"/>
    <x:col min="3" max="3" width="23" hidden="0" customWidth="1"/>
    <x:col min="4" max="4" width="78" hidden="0" customWidth="1"/>
  </x:cols>
  <x:sheetData>
    <x:row r="2">
      <x:c r="A2" s="355" t="str">
        <x:v>Oracle Corporation</x:v>
      </x:c>
    </x:row>
    <x:row r="3">
      <x:c r="A3" s="356" t="str">
        <x:v>Balance sheet 2026-08-31. TTM 2025-09-01 to 2026-08-31. USD millions, except ratios (x) and percentages (%).</x:v>
      </x:c>
    </x:row>
    <x:row r="5">
      <x:c r="A5" s="316" t="str">
        <x:v>Measure</x:v>
      </x:c>
      <x:c r="B5" s="332" t="str">
        <x:v>Value (USD millions / x / %)</x:v>
      </x:c>
      <x:c r="C5" s="332" t="str">
        <x:v>Period end</x:v>
      </x:c>
      <x:c r="D5" s="317" t="str">
        <x:v>Formula / basis / limitation</x:v>
      </x:c>
    </x:row>
    <x:row r="6" ht="50" customHeight="1">
      <x:c r="A6" s="324" t="str">
        <x:v>Cash and cash equivalents</x:v>
      </x:c>
      <x:c r="B6" s="333" t="n">
        <x:f>IF(ISNUMBER('Data'!B115),'Data'!B115,NA())</x:f>
        <x:v>36369000000</x:v>
      </x:c>
      <x:c r="C6" s="334" t="d">
        <x:v>2026-08-31T00:00:00.000Z</x:v>
      </x:c>
      <x:c r="D6" s="357" t="str">
        <x:v>Cash and cash equivalents excluding restricted cash. Investments are not substituted.</x:v>
      </x:c>
    </x:row>
    <x:row r="7" ht="118" customHeight="1">
      <x:c r="A7" s="345" t="str">
        <x:v>Baseline gross debt</x:v>
      </x:c>
      <x:c r="B7" s="358" t="n">
        <x:f>IF(AND(IF(ISNUMBER('Data'!B116),'Data'!B116,NA())&gt;=0,IF(ISNUMBER('Data'!B117),'Data'!B117,NA())&gt;=0),IF(ISNUMBER('Data'!B116),'Data'!B116,NA())+IF(ISNUMBER('Data'!B117),'Data'!B117,NA()),NA())</x:f>
        <x:v>125337000000</x:v>
      </x:c>
      <x:c r="C7" s="347" t="d">
        <x:v>2026-08-31T00:00:00.000Z</x:v>
      </x:c>
      <x:c r="D7" s="359" t="str">
        <x:v>Carrying amount of borrowing. Operating/finance leases and commitments are excluded. This 10-Q does not split the total by instrument: commercial paper at Aug 31, 2026 is Unavailable and is not inferred from the total. This 10-Q's rounded $125.0 billion of senior notes and other long-term borrowings is a narrower subset of the same debt; it is not added. Short-term financing related to capital expenditures: no balance is disclosed in this 10-Q (Unavailable); its cash-flow amounts are not added.</x:v>
      </x:c>
    </x:row>
    <x:row r="8" ht="50" customHeight="1">
      <x:c r="A8" s="345" t="str">
        <x:v>Net debt</x:v>
      </x:c>
      <x:c r="B8" s="346" t="n">
        <x:f>B7-B6</x:f>
        <x:v>88968000000</x:v>
      </x:c>
      <x:c r="C8" s="347" t="d">
        <x:v>2026-08-31T00:00:00.000Z</x:v>
      </x:c>
      <x:c r="D8" s="359" t="str">
        <x:v>Baseline borrowing less cash excluding restricted cash. Same date and filing. Negative net debt is retained.</x:v>
      </x:c>
    </x:row>
    <x:row r="9" ht="53" customHeight="1">
      <x:c r="A9" s="324" t="str">
        <x:v>Current ratio</x:v>
      </x:c>
      <x:c r="B9" s="360" t="n">
        <x:f>IF(IF(ISNUMBER('Data'!B118),'Data'!B118,NA())&gt;0,IF(ISNUMBER('Data'!B119),'Data'!B119,NA())/IF(ISNUMBER('Data'!B118),'Data'!B118,NA()),NA())</x:f>
        <x:v>1.1708128130656228</x:v>
      </x:c>
      <x:c r="C9" s="334" t="d">
        <x:v>2026-08-31T00:00:00.000Z</x:v>
      </x:c>
      <x:c r="D9" s="357" t="str">
        <x:v>Total current assets / total current liabilities from one balance sheet. Liabilities include more than borrowing; assets include more than cash.</x:v>
      </x:c>
    </x:row>
    <x:row r="10" ht="66" customHeight="1">
      <x:c r="A10" s="324" t="str">
        <x:v>Operating cash flow</x:v>
      </x:c>
      <x:c r="B10" s="333" t="n">
        <x:f>(1*IF(ISNUMBER('Data'!B120),'Data'!B120,NA()))+(1*IF(ISNUMBER('Data'!B121),'Data'!B121,NA()))+(-1*IF(ISNUMBER('Data'!B122),'Data'!B122,NA()))</x:f>
        <x:v>46940000000</x:v>
      </x:c>
      <x:c r="C10" s="334" t="d">
        <x:v>2026-08-31T00:00:00.000Z</x:v>
      </x:c>
      <x:c r="D10" s="357" t="str">
        <x:v>Reported historical OCF; recurrence is not established. Operating cash flow includes $11.4B of customer prepayments received in the quarter ended Aug 31, 2026 (10-Q p. 7 and MD&amp;A pp. 33–34). Capital expenditures are cash payments; financing cash flows are not added.</x:v>
      </x:c>
    </x:row>
    <x:row r="11" ht="50" customHeight="1">
      <x:c r="A11" s="324" t="str">
        <x:v>Capital expenditures</x:v>
      </x:c>
      <x:c r="B11" s="333" t="n">
        <x:f>(1*IF(ISNUMBER('Data'!B123),'Data'!B123,NA()))+(1*IF(ISNUMBER('Data'!B124),'Data'!B124,NA()))+(-1*IF(ISNUMBER('Data'!B125),'Data'!B125,NA()))</x:f>
        <x:v>75660000000</x:v>
      </x:c>
      <x:c r="C11" s="334" t="d">
        <x:v>2026-08-31T00:00:00.000Z</x:v>
      </x:c>
      <x:c r="D11" s="357" t="str">
        <x:v>Cash capital expenditures. Capex-financing cash flows are not added.</x:v>
      </x:c>
    </x:row>
    <x:row r="12" ht="50" customHeight="1">
      <x:c r="A12" s="345" t="str">
        <x:v>Free cash flow</x:v>
      </x:c>
      <x:c r="B12" s="346" t="n">
        <x:f>B10-B11</x:f>
        <x:v>-28720000000</x:v>
      </x:c>
      <x:c r="C12" s="347" t="d">
        <x:v>2026-08-31T00:00:00.000Z</x:v>
      </x:c>
      <x:c r="D12" s="359" t="str">
        <x:v>OCF less reported capital spending. Uses the spending basis above; excludes acquisitions, dividends and other cash uses.</x:v>
      </x:c>
    </x:row>
    <x:row r="13" ht="50" customHeight="1">
      <x:c r="A13" s="324" t="str">
        <x:v>Operating cash flow / debt</x:v>
      </x:c>
      <x:c r="B13" s="361" t="n">
        <x:f>IF(B7&gt;0,B10/B7,NA())</x:f>
        <x:v>0.37451032017680336</x:v>
      </x:c>
      <x:c r="C13" s="334" t="d">
        <x:v>2026-08-31T00:00:00.000Z</x:v>
      </x:c>
      <x:c r="D13" s="357" t="str">
        <x:v>Historical TTM OCF / period-end baseline borrowing, not average debt or repayment coverage. The reported OCF basis above is retained.</x:v>
      </x:c>
    </x:row>
    <x:row r="14" ht="50" customHeight="1">
      <x:c r="A14" s="324" t="str">
        <x:v>Free cash flow / debt</x:v>
      </x:c>
      <x:c r="B14" s="361" t="n">
        <x:f>IF(B7&gt;0,B12/B7,NA())</x:f>
        <x:v>-0.22914223254106927</x:v>
      </x:c>
      <x:c r="C14" s="334" t="d">
        <x:v>2026-08-31T00:00:00.000Z</x:v>
      </x:c>
      <x:c r="D14" s="357" t="str">
        <x:v>Historical TTM FCF / period-end baseline borrowing. Uses the spending basis above; not repayment coverage.</x:v>
      </x:c>
    </x:row>
    <x:row r="15" ht="79" customHeight="1">
      <x:c r="A15" s="325" t="str">
        <x:v>Historical interest coverage</x:v>
      </x:c>
      <x:c r="B15" s="362" t="n">
        <x:f>'Cash analysis'!B49</x:f>
        <x:v>4.517437304075235</x:v>
      </x:c>
      <x:c r="C15" s="363" t="d">
        <x:v>2026-08-31T00:00:00.000Z</x:v>
      </x:c>
      <x:c r="D15" s="364" t="str">
        <x:v>Reported interest expense before any interest-income offset. The saved 10-K and 10-Q do not state its capitalized-interest basis. Capitalized interest and total interest incurred are Unavailable; neither is assumed zero or added to or subtracted from expense. See the detailed interest build for composition and limitations.</x:v>
      </x:c>
    </x:row>
    <x:row r="17">
      <x:c r="A17" s="316" t="str">
        <x:v>Method</x:v>
      </x:c>
      <x:c r="B17" s="365"/>
      <x:c r="C17" s="365"/>
      <x:c r="D17" s="317" t="str">
        <x:v>Explanation</x:v>
      </x:c>
    </x:row>
    <x:row r="18" ht="60" customHeight="1">
      <x:c r="A18" s="324" t="str">
        <x:v>Periods</x:v>
      </x:c>
      <x:c r="B18" s="366"/>
      <x:c r="C18" s="366"/>
      <x:c r="D18" s="319" t="str">
        <x:v>All cash-flow and interest ratios use the TTM above. FY + current YTD − prior YTD. Balance-sheet denominators use the period end, not average debt.</x:v>
      </x:c>
    </x:row>
    <x:row r="19" ht="145" customHeight="1">
      <x:c r="A19" s="324" t="str">
        <x:v>Historical interest basis</x:v>
      </x:c>
      <x:c r="B19" s="366"/>
      <x:c r="C19" s="366"/>
      <x:c r="D19" s="319" t="str">
        <x:v>Reported interest expense before any interest-income offset. The saved 10-K and 10-Q do not state its capitalized-interest basis. Capitalized interest and total interest incurred are Unavailable; neither is assumed zero or added to or subtracted from expense. Historical accrual earnings coverage, not cash interest coverage or a repayment forecast. Borrowing-only interest coverage is Unavailable because the reported line's full composition is not established. The revolver uses contract-defined Consolidated EBITDA / Consolidated Net Interest Expense, including specified adjustments; this ratio does not establish covenant headroom, current compliance or drawable credit. No adjusted earnings addbacks are made.</x:v>
      </x:c>
    </x:row>
    <x:row r="20" ht="60" customHeight="1">
      <x:c r="A20" s="324" t="str">
        <x:v>Recalculation</x:v>
      </x:c>
      <x:c r="B20" s="366"/>
      <x:c r="C20" s="366"/>
      <x:c r="D20" s="319" t="str">
        <x:v>The historical interest ratio links to its existing detailed build. Editing source inputs updates formulas; the checked narrative requires a new review.</x:v>
      </x:c>
    </x:row>
    <x:row r="21" ht="72" customHeight="1">
      <x:c r="A21" s="325" t="str">
        <x:v>Interpretation</x:v>
      </x:c>
      <x:c r="B21" s="367"/>
      <x:c r="C21" s="367"/>
      <x:c r="D21" s="321" t="str">
        <x:v>Negative FCF and negative net debt are retained. Historical ratios do not establish future cash available, covenant compliance or funding coverage. Different company bases are not a ranking.</x:v>
      </x:c>
    </x:row>
  </x:sheetData>
  <x:pageMargins left="0.7" right="0.7" top="0.75" bottom="0.75" header="0.3" footer="0.3"/>
</x:worksheet>
</file>

<file path=xl/worksheets/sheet4.xml><?xml version="1.0" encoding="utf-8"?>
<x:worksheet xmlns:x="http://schemas.openxmlformats.org/spreadsheetml/2006/main">
  <x:sheetViews>
    <x:sheetView showGridLines="0" workbookViewId="0"/>
  </x:sheetViews>
  <x:sheetFormatPr defaultRowHeight="15"/>
  <x:cols>
    <x:col min="1" max="1" width="43" hidden="0" customWidth="1"/>
    <x:col min="2" max="2" width="29" hidden="0" customWidth="1"/>
    <x:col min="3" max="3" width="29" hidden="0" customWidth="1"/>
    <x:col min="4" max="4" width="85" hidden="0" customWidth="1"/>
  </x:cols>
  <x:sheetData>
    <x:row r="1">
      <x:c r="A1" s="312"/>
      <x:c r="B1" s="331"/>
      <x:c r="C1" s="331"/>
      <x:c r="D1" s="313"/>
    </x:row>
    <x:row r="2">
      <x:c r="A2" s="314" t="str">
        <x:v>Oracle Corporation — dated history</x:v>
      </x:c>
      <x:c r="B2" s="331"/>
      <x:c r="C2" s="331"/>
      <x:c r="D2" s="313"/>
    </x:row>
    <x:row r="3">
      <x:c r="A3" s="315" t="str">
        <x:v>USD millions, except ratios (x) and percentages (%). Fiscal year and later TTM both span twelve months and overlap.</x:v>
      </x:c>
      <x:c r="B3" s="331"/>
      <x:c r="C3" s="331"/>
      <x:c r="D3" s="313"/>
    </x:row>
    <x:row r="4">
      <x:c r="A4" s="312"/>
      <x:c r="B4" s="331"/>
      <x:c r="C4" s="331"/>
      <x:c r="D4" s="313"/>
    </x:row>
    <x:row r="5" ht="32" customHeight="1">
      <x:c r="A5" s="316" t="str">
        <x:v>Measure</x:v>
      </x:c>
      <x:c r="B5" s="332" t="str">
        <x:v>As of / FY ended 2026-05-31</x:v>
      </x:c>
      <x:c r="C5" s="332" t="str">
        <x:v>As of / TTM ended 2026-08-31</x:v>
      </x:c>
      <x:c r="D5" s="317" t="str">
        <x:v>Basis / limits</x:v>
      </x:c>
    </x:row>
    <x:row r="6" ht="45" customHeight="1">
      <x:c r="A6" s="324" t="str">
        <x:v>Cash and cash equivalents</x:v>
      </x:c>
      <x:c r="B6" s="333" t="n">
        <x:f>IF(ISNUMBER('Data'!B129),'Data'!B129,NA())</x:f>
        <x:v>31289000000</x:v>
      </x:c>
      <x:c r="C6" s="333" t="n">
        <x:f>'Debt and liquidity'!B6</x:f>
        <x:v>36369000000</x:v>
      </x:c>
      <x:c r="D6" s="319" t="str">
        <x:v>Cash and cash equivalents excluding restricted cash. Investments are not substituted.</x:v>
      </x:c>
    </x:row>
    <x:row r="7" ht="101" customHeight="1">
      <x:c r="A7" s="324" t="str">
        <x:v>Baseline gross debt</x:v>
      </x:c>
      <x:c r="B7" s="333" t="n">
        <x:f>IF(ISNUMBER('Data'!B132),'Data'!B132,NA())+IF(ISNUMBER('Data'!B133),'Data'!B133,NA())</x:f>
        <x:v>129541000000</x:v>
      </x:c>
      <x:c r="C7" s="333" t="n">
        <x:f>'Debt and liquidity'!B7</x:f>
        <x:v>125337000000</x:v>
      </x:c>
      <x:c r="D7" s="319" t="str">
        <x:v>Carrying borrowing; leases and commitments excluded. Latest column only: This 10-Q does not split the total by instrument: commercial paper at Aug 31, 2026 is Unavailable and is not inferred from the total. This 10-Q's rounded $125.0 billion of senior notes and other long-term borrowings is a narrower subset of the same debt; it is not added. Short-term financing related to capital expenditures: no balance is disclosed in this 10-Q (Unavailable); its cash-flow amounts are not added.</x:v>
      </x:c>
    </x:row>
    <x:row r="8" ht="45" customHeight="1">
      <x:c r="A8" s="324" t="str">
        <x:v>Net debt</x:v>
      </x:c>
      <x:c r="B8" s="368" t="n">
        <x:f>B7-B6</x:f>
        <x:v>98252000000</x:v>
      </x:c>
      <x:c r="C8" s="333" t="n">
        <x:f>'Debt and liquidity'!B8</x:f>
        <x:v>88968000000</x:v>
      </x:c>
      <x:c r="D8" s="319" t="str">
        <x:v>Baseline borrowing less cash excluding restricted cash. Same date and filing. Negative net debt is retained.</x:v>
      </x:c>
    </x:row>
    <x:row r="9" ht="49" customHeight="1">
      <x:c r="A9" s="324" t="str">
        <x:v>Current ratio</x:v>
      </x:c>
      <x:c r="B9" s="360" t="n">
        <x:f>IF(IF(ISNUMBER('Data'!B131),'Data'!B131,NA())&gt;0,IF(ISNUMBER('Data'!B130),'Data'!B130,NA())/IF(ISNUMBER('Data'!B131),'Data'!B131,NA()),NA())</x:f>
        <x:v>1.1150033521693323</x:v>
      </x:c>
      <x:c r="C9" s="360" t="n">
        <x:f>'Debt and liquidity'!B9</x:f>
        <x:v>1.1708128130656228</x:v>
      </x:c>
      <x:c r="D9" s="319" t="str">
        <x:v>Total current assets / total current liabilities from one balance sheet. Liabilities include more than borrowing; assets include more than cash.</x:v>
      </x:c>
    </x:row>
    <x:row r="10" ht="75" customHeight="1">
      <x:c r="A10" s="324" t="str">
        <x:v>Operating cash flow</x:v>
      </x:c>
      <x:c r="B10" s="333" t="n">
        <x:f>IF(ISNUMBER('Data'!B134),'Data'!B134,NA())</x:f>
        <x:v>31977000000</x:v>
      </x:c>
      <x:c r="C10" s="333" t="n">
        <x:f>'Debt and liquidity'!B10</x:f>
        <x:v>46940000000</x:v>
      </x:c>
      <x:c r="D10" s="319" t="str">
        <x:v>Annual column: reported fiscal-year OCF. Latest column only: Reported historical OCF; recurrence is not established. Operating cash flow includes $11.4B of customer prepayments received in the quarter ended Aug 31, 2026 (10-Q p. 7 and MD&amp;A pp. 33–34). Capital expenditures are cash payments; financing cash flows are not added.</x:v>
      </x:c>
    </x:row>
    <x:row r="11" ht="45" customHeight="1">
      <x:c r="A11" s="324" t="str">
        <x:v>Capital expenditures</x:v>
      </x:c>
      <x:c r="B11" s="333" t="n">
        <x:f>IF(ISNUMBER('Data'!B135),'Data'!B135,NA())</x:f>
        <x:v>55663000000</x:v>
      </x:c>
      <x:c r="C11" s="333" t="n">
        <x:f>'Debt and liquidity'!B11</x:f>
        <x:v>75660000000</x:v>
      </x:c>
      <x:c r="D11" s="319" t="str">
        <x:v>Cash capital expenditures. Capex-financing cash flows are not added.</x:v>
      </x:c>
    </x:row>
    <x:row r="12" ht="45" customHeight="1">
      <x:c r="A12" s="324" t="str">
        <x:v>Free cash flow</x:v>
      </x:c>
      <x:c r="B12" s="368" t="n">
        <x:f>B10-B11</x:f>
        <x:v>-23686000000</x:v>
      </x:c>
      <x:c r="C12" s="333" t="n">
        <x:f>'Debt and liquidity'!B12</x:f>
        <x:v>-28720000000</x:v>
      </x:c>
      <x:c r="D12" s="319" t="str">
        <x:v>OCF less reported capital spending. Uses the spending basis above; excludes acquisitions, dividends and other cash uses.</x:v>
      </x:c>
    </x:row>
    <x:row r="13" ht="45" customHeight="1">
      <x:c r="A13" s="324" t="str">
        <x:v>Operating cash flow / debt</x:v>
      </x:c>
      <x:c r="B13" s="361" t="n">
        <x:f>IF(B7&gt;0,B10/B7,NA())</x:f>
        <x:v>0.24684848812345125</x:v>
      </x:c>
      <x:c r="C13" s="369" t="n">
        <x:f>'Debt and liquidity'!B13</x:f>
        <x:v>0.37451032017680336</x:v>
      </x:c>
      <x:c r="D13" s="319" t="str">
        <x:v>Twelve-month flow / borrowing at each period end. Annual column uses FY; latest column uses TTM. Not repayment coverage.</x:v>
      </x:c>
    </x:row>
    <x:row r="14" ht="45" customHeight="1">
      <x:c r="A14" s="324" t="str">
        <x:v>Free cash flow / debt</x:v>
      </x:c>
      <x:c r="B14" s="361" t="n">
        <x:f>IF(B7&gt;0,B12/B7,NA())</x:f>
        <x:v>-0.18284558556750372</x:v>
      </x:c>
      <x:c r="C14" s="369" t="n">
        <x:f>'Debt and liquidity'!B14</x:f>
        <x:v>-0.22914223254106927</x:v>
      </x:c>
      <x:c r="D14" s="319" t="str">
        <x:v>Twelve-month flow / borrowing at each period end. Annual column uses FY; latest column uses TTM. Not repayment coverage.</x:v>
      </x:c>
    </x:row>
    <x:row r="15" ht="49" customHeight="1">
      <x:c r="A15" s="325" t="str">
        <x:v>Historical interest coverage</x:v>
      </x:c>
      <x:c r="B15" s="362" t="n">
        <x:f>IF(AND('Cash analysis'!B46&gt;0),'Cash analysis'!B45/'Cash analysis'!B46,NA())</x:f>
        <x:v>4.480539247662535</x:v>
      </x:c>
      <x:c r="C15" s="362" t="n">
        <x:f>'Debt and liquidity'!B15</x:f>
        <x:v>4.517437304075235</x:v>
      </x:c>
      <x:c r="D15" s="321" t="str">
        <x:v>Annual and later TTM use reported interest expense before interest-income offset. Full composition and capitalization basis remain Unavailable.</x:v>
      </x:c>
    </x:row>
    <x:row r="16">
      <x:c r="A16" s="312"/>
      <x:c r="B16" s="331"/>
      <x:c r="C16" s="331"/>
      <x:c r="D16" s="313"/>
    </x:row>
    <x:row r="17" ht="70" customHeight="1">
      <x:c r="A17" s="328" t="str">
        <x:v>Period definitions</x:v>
      </x:c>
      <x:c r="B17" s="331"/>
      <x:c r="C17" s="331"/>
      <x:c r="D17" s="327" t="str">
        <x:v>Balance-sheet figures compare the stated dates. Flows and interest coverage compare a fiscal year with a later TTM: both span twelve months and overlap. No interim annualization, independent-period growth rate or future repayment coverage is inferred.</x:v>
      </x:c>
    </x:row>
    <x:row r="18">
      <x:c r="A18" s="328" t="str">
        <x:v>Fiscal-year flows</x:v>
      </x:c>
      <x:c r="B18" s="331"/>
      <x:c r="C18" s="331"/>
      <x:c r="D18" s="327" t="str">
        <x:v>2025-06-01 to 2026-05-31</x:v>
      </x:c>
    </x:row>
    <x:row r="19">
      <x:c r="A19" s="328" t="str">
        <x:v>Later TTM flows</x:v>
      </x:c>
      <x:c r="B19" s="331"/>
      <x:c r="C19" s="331"/>
      <x:c r="D19" s="327" t="str">
        <x:v>2025-09-01 to 2026-08-31</x:v>
      </x:c>
    </x:row>
  </x:sheetData>
  <x:pageMargins left="0.7" right="0.7" top="0.75" bottom="0.75" header="0.3" footer="0.3"/>
</x:worksheet>
</file>

<file path=xl/worksheets/sheet5.xml><?xml version="1.0" encoding="utf-8"?>
<x:worksheet xmlns:ns1="http://schemas.openxmlformats.org/officeDocument/2006/relationships" xmlns:x="http://schemas.openxmlformats.org/spreadsheetml/2006/main">
  <x:sheetViews>
    <x:sheetView showGridLines="0" workbookViewId="0"/>
  </x:sheetViews>
  <x:sheetFormatPr defaultRowHeight="15"/>
  <x:cols>
    <x:col min="1" max="1" width="34" hidden="0" customWidth="1"/>
    <x:col min="2" max="2" width="23" hidden="0" customWidth="1"/>
    <x:col min="3" max="3" width="23" hidden="0" customWidth="1"/>
    <x:col min="4" max="4" width="24" hidden="0" customWidth="1"/>
    <x:col min="5" max="5" width="3" hidden="0" customWidth="1"/>
    <x:col min="6" max="6" width="10" hidden="0" customWidth="1"/>
    <x:col min="7" max="7" width="10" hidden="0" customWidth="1"/>
    <x:col min="8" max="8" width="10" hidden="0" customWidth="1"/>
    <x:col min="9" max="9" width="10" hidden="0" customWidth="1"/>
    <x:col min="10" max="10" width="10" hidden="0" customWidth="1"/>
    <x:col min="11" max="11" width="10" hidden="0" customWidth="1"/>
    <x:col min="12" max="12" width="10" hidden="0" customWidth="1"/>
    <x:col min="13" max="13" width="10" hidden="0" customWidth="1"/>
    <x:col min="14" max="14" width="10" hidden="0" customWidth="1"/>
    <x:col min="15" max="15" width="10" hidden="0" customWidth="1"/>
  </x:cols>
  <x:sheetData>
    <x:row r="1" ht="35" customHeight="1">
      <x:c r="A1" s="312"/>
      <x:c r="B1" s="331"/>
      <x:c r="C1" s="331"/>
      <x:c r="D1" s="313"/>
      <x:c r="E1" s="370"/>
      <x:c r="F1" s="370"/>
      <x:c r="G1" s="370"/>
      <x:c r="H1" s="370"/>
      <x:c r="I1" s="370"/>
      <x:c r="J1" s="370"/>
      <x:c r="K1" s="370"/>
      <x:c r="L1" s="370"/>
      <x:c r="M1" s="370"/>
      <x:c r="N1" s="370"/>
      <x:c r="O1" s="370"/>
    </x:row>
    <x:row r="2" ht="35" customHeight="1">
      <x:c r="A2" s="314" t="str">
        <x:v>ORCL — two chart questions</x:v>
      </x:c>
      <x:c r="B2" s="331"/>
      <x:c r="C2" s="331"/>
      <x:c r="D2" s="313"/>
      <x:c r="E2" s="370"/>
      <x:c r="F2" s="370"/>
      <x:c r="G2" s="370"/>
      <x:c r="H2" s="370"/>
      <x:c r="I2" s="370"/>
      <x:c r="J2" s="370"/>
      <x:c r="K2" s="370"/>
      <x:c r="L2" s="370"/>
      <x:c r="M2" s="370"/>
      <x:c r="N2" s="370"/>
      <x:c r="O2" s="370"/>
    </x:row>
    <x:row r="3" ht="35" customHeight="1">
      <x:c r="A3" s="315" t="str">
        <x:v>TTM 2025-09-01 to 2026-08-31. Values stored in USD, displayed in millions.</x:v>
      </x:c>
      <x:c r="B3" s="331"/>
      <x:c r="C3" s="331"/>
      <x:c r="D3" s="313"/>
      <x:c r="E3" s="370"/>
      <x:c r="F3" s="370"/>
      <x:c r="G3" s="370"/>
      <x:c r="H3" s="370"/>
      <x:c r="I3" s="370"/>
      <x:c r="J3" s="370"/>
      <x:c r="K3" s="370"/>
      <x:c r="L3" s="370"/>
      <x:c r="M3" s="370"/>
      <x:c r="N3" s="370"/>
      <x:c r="O3" s="370"/>
    </x:row>
    <x:row r="4" ht="35" customHeight="1">
      <x:c r="A4" s="312"/>
      <x:c r="B4" s="331"/>
      <x:c r="C4" s="331"/>
      <x:c r="D4" s="313"/>
      <x:c r="E4" s="370"/>
      <x:c r="F4" s="370"/>
      <x:c r="G4" s="370"/>
      <x:c r="H4" s="370"/>
      <x:c r="I4" s="370"/>
      <x:c r="J4" s="370"/>
      <x:c r="K4" s="370"/>
      <x:c r="L4" s="370"/>
      <x:c r="M4" s="370"/>
      <x:c r="N4" s="370"/>
      <x:c r="O4" s="370"/>
    </x:row>
    <x:row r="5" ht="35" customHeight="1">
      <x:c r="A5" s="316" t="str">
        <x:v>TTM measure</x:v>
      </x:c>
      <x:c r="B5" s="371" t="str">
        <x:v>USD millions</x:v>
      </x:c>
      <x:c r="C5" s="331"/>
      <x:c r="D5" s="313"/>
      <x:c r="E5" s="370"/>
      <x:c r="F5" s="370"/>
      <x:c r="G5" s="370"/>
      <x:c r="H5" s="370"/>
      <x:c r="I5" s="370"/>
      <x:c r="J5" s="370"/>
      <x:c r="K5" s="370"/>
      <x:c r="L5" s="370"/>
      <x:c r="M5" s="370"/>
      <x:c r="N5" s="370"/>
      <x:c r="O5" s="370"/>
    </x:row>
    <x:row r="6" ht="35" customHeight="1">
      <x:c r="A6" s="324" t="str">
        <x:v>Operating cash flow</x:v>
      </x:c>
      <x:c r="B6" s="372" t="n">
        <x:f>'Debt and liquidity'!B10</x:f>
        <x:v>46940000000</x:v>
      </x:c>
      <x:c r="C6" s="331"/>
      <x:c r="D6" s="313"/>
      <x:c r="E6" s="370"/>
      <x:c r="F6" s="370"/>
      <x:c r="G6" s="370"/>
      <x:c r="H6" s="370"/>
      <x:c r="I6" s="370"/>
      <x:c r="J6" s="370"/>
      <x:c r="K6" s="370"/>
      <x:c r="L6" s="370"/>
      <x:c r="M6" s="370"/>
      <x:c r="N6" s="370"/>
      <x:c r="O6" s="370"/>
    </x:row>
    <x:row r="7" ht="35" customHeight="1">
      <x:c r="A7" s="324" t="str">
        <x:v>Capital spending</x:v>
      </x:c>
      <x:c r="B7" s="372" t="n">
        <x:f>-'Debt and liquidity'!B11</x:f>
        <x:v>-75660000000</x:v>
      </x:c>
      <x:c r="C7" s="331"/>
      <x:c r="D7" s="313"/>
      <x:c r="E7" s="370"/>
      <x:c r="F7" s="370"/>
      <x:c r="G7" s="370"/>
      <x:c r="H7" s="370"/>
      <x:c r="I7" s="370"/>
      <x:c r="J7" s="370"/>
      <x:c r="K7" s="370"/>
      <x:c r="L7" s="370"/>
      <x:c r="M7" s="370"/>
      <x:c r="N7" s="370"/>
      <x:c r="O7" s="370"/>
    </x:row>
    <x:row r="8" ht="35" customHeight="1">
      <x:c r="A8" s="325" t="str">
        <x:v>Free cash flow</x:v>
      </x:c>
      <x:c r="B8" s="373" t="n">
        <x:f>'Debt and liquidity'!B12</x:f>
        <x:v>-28720000000</x:v>
      </x:c>
      <x:c r="C8" s="331"/>
      <x:c r="D8" s="313"/>
      <x:c r="E8" s="370"/>
      <x:c r="F8" s="370"/>
      <x:c r="G8" s="370"/>
      <x:c r="H8" s="370"/>
      <x:c r="I8" s="370"/>
      <x:c r="J8" s="370"/>
      <x:c r="K8" s="370"/>
      <x:c r="L8" s="370"/>
      <x:c r="M8" s="370"/>
      <x:c r="N8" s="370"/>
      <x:c r="O8" s="370"/>
    </x:row>
    <x:row r="9" ht="35" customHeight="1">
      <x:c r="A9" s="312"/>
      <x:c r="B9" s="331"/>
      <x:c r="C9" s="331"/>
      <x:c r="D9" s="313"/>
      <x:c r="E9" s="370"/>
      <x:c r="F9" s="370"/>
      <x:c r="G9" s="370"/>
      <x:c r="H9" s="370"/>
      <x:c r="I9" s="370"/>
      <x:c r="J9" s="370"/>
      <x:c r="K9" s="370"/>
      <x:c r="L9" s="370"/>
      <x:c r="M9" s="370"/>
      <x:c r="N9" s="370"/>
      <x:c r="O9" s="370"/>
    </x:row>
    <x:row r="10" ht="80" customHeight="1">
      <x:c r="A10" s="328" t="str">
        <x:v>Calculation basis</x:v>
      </x:c>
      <x:c r="B10" s="331"/>
      <x:c r="C10" s="331"/>
      <x:c r="D10" s="327" t="str">
        <x:v>FCF = OCF − capital spending. FCF is a result, not an additional cash flow. Capital spending is shown negative.</x:v>
      </x:c>
      <x:c r="E10" s="370"/>
      <x:c r="F10" s="370"/>
      <x:c r="G10" s="370"/>
      <x:c r="H10" s="370"/>
      <x:c r="I10" s="370"/>
      <x:c r="J10" s="370"/>
      <x:c r="K10" s="370"/>
      <x:c r="L10" s="370"/>
      <x:c r="M10" s="370"/>
      <x:c r="N10" s="370"/>
      <x:c r="O10" s="370"/>
    </x:row>
    <x:row r="11" ht="35" customHeight="1">
      <x:c r="A11" s="312"/>
      <x:c r="B11" s="331"/>
      <x:c r="C11" s="331"/>
      <x:c r="D11" s="313"/>
      <x:c r="E11" s="370"/>
      <x:c r="F11" s="370"/>
      <x:c r="G11" s="370"/>
      <x:c r="H11" s="370"/>
      <x:c r="I11" s="370"/>
      <x:c r="J11" s="370"/>
      <x:c r="K11" s="370"/>
      <x:c r="L11" s="370"/>
      <x:c r="M11" s="370"/>
      <x:c r="N11" s="370"/>
      <x:c r="O11" s="370"/>
    </x:row>
    <x:row r="12" ht="35" customHeight="1">
      <x:c r="A12" s="312"/>
      <x:c r="B12" s="331"/>
      <x:c r="C12" s="331"/>
      <x:c r="D12" s="313"/>
      <x:c r="E12" s="370"/>
      <x:c r="F12" s="370"/>
      <x:c r="G12" s="370"/>
      <x:c r="H12" s="370"/>
      <x:c r="I12" s="370"/>
      <x:c r="J12" s="370"/>
      <x:c r="K12" s="370"/>
      <x:c r="L12" s="370"/>
      <x:c r="M12" s="370"/>
      <x:c r="N12" s="370"/>
      <x:c r="O12" s="370"/>
    </x:row>
    <x:row r="13" ht="35" customHeight="1">
      <x:c r="A13" s="312"/>
      <x:c r="B13" s="331"/>
      <x:c r="C13" s="331"/>
      <x:c r="D13" s="313"/>
      <x:c r="E13" s="370"/>
      <x:c r="F13" s="370"/>
      <x:c r="G13" s="370"/>
      <x:c r="H13" s="370"/>
      <x:c r="I13" s="370"/>
      <x:c r="J13" s="370"/>
      <x:c r="K13" s="370"/>
      <x:c r="L13" s="370"/>
      <x:c r="M13" s="370"/>
      <x:c r="N13" s="370"/>
      <x:c r="O13" s="370"/>
    </x:row>
    <x:row r="14" ht="35" customHeight="1">
      <x:c r="A14" s="312"/>
      <x:c r="B14" s="331"/>
      <x:c r="C14" s="331"/>
      <x:c r="D14" s="313"/>
      <x:c r="E14" s="370"/>
      <x:c r="F14" s="370"/>
      <x:c r="G14" s="370"/>
      <x:c r="H14" s="370"/>
      <x:c r="I14" s="370"/>
      <x:c r="J14" s="370"/>
      <x:c r="K14" s="370"/>
      <x:c r="L14" s="370"/>
      <x:c r="M14" s="370"/>
      <x:c r="N14" s="370"/>
      <x:c r="O14" s="370"/>
    </x:row>
    <x:row r="15" ht="35" customHeight="1">
      <x:c r="A15" s="312"/>
      <x:c r="B15" s="331"/>
      <x:c r="C15" s="331"/>
      <x:c r="D15" s="313"/>
      <x:c r="E15" s="370"/>
      <x:c r="F15" s="370"/>
      <x:c r="G15" s="370"/>
      <x:c r="H15" s="370"/>
      <x:c r="I15" s="370"/>
      <x:c r="J15" s="370"/>
      <x:c r="K15" s="370"/>
      <x:c r="L15" s="370"/>
      <x:c r="M15" s="370"/>
      <x:c r="N15" s="370"/>
      <x:c r="O15" s="370"/>
    </x:row>
    <x:row r="16" ht="35" customHeight="1">
      <x:c r="A16" s="312"/>
      <x:c r="B16" s="331"/>
      <x:c r="C16" s="331"/>
      <x:c r="D16" s="313"/>
      <x:c r="E16" s="370"/>
      <x:c r="F16" s="370"/>
      <x:c r="G16" s="370"/>
      <x:c r="H16" s="370"/>
      <x:c r="I16" s="370"/>
      <x:c r="J16" s="370"/>
      <x:c r="K16" s="370"/>
      <x:c r="L16" s="370"/>
      <x:c r="M16" s="370"/>
      <x:c r="N16" s="370"/>
      <x:c r="O16" s="370"/>
    </x:row>
    <x:row r="17" ht="35" customHeight="1">
      <x:c r="A17" s="312"/>
      <x:c r="B17" s="331"/>
      <x:c r="C17" s="331"/>
      <x:c r="D17" s="313"/>
      <x:c r="E17" s="370"/>
      <x:c r="F17" s="370"/>
      <x:c r="G17" s="370"/>
      <x:c r="H17" s="370"/>
      <x:c r="I17" s="370"/>
      <x:c r="J17" s="370"/>
      <x:c r="K17" s="370"/>
      <x:c r="L17" s="370"/>
      <x:c r="M17" s="370"/>
      <x:c r="N17" s="370"/>
      <x:c r="O17" s="370"/>
    </x:row>
    <x:row r="18" ht="35" customHeight="1">
      <x:c r="A18" s="312"/>
      <x:c r="B18" s="331"/>
      <x:c r="C18" s="331"/>
      <x:c r="D18" s="313"/>
      <x:c r="E18" s="370"/>
      <x:c r="F18" s="370"/>
      <x:c r="G18" s="370"/>
      <x:c r="H18" s="370"/>
      <x:c r="I18" s="370"/>
      <x:c r="J18" s="370"/>
      <x:c r="K18" s="370"/>
      <x:c r="L18" s="370"/>
      <x:c r="M18" s="370"/>
      <x:c r="N18" s="370"/>
      <x:c r="O18" s="370"/>
    </x:row>
    <x:row r="19" ht="35" customHeight="1">
      <x:c r="A19" s="312"/>
      <x:c r="B19" s="331"/>
      <x:c r="C19" s="331"/>
      <x:c r="D19" s="313"/>
      <x:c r="E19" s="370"/>
      <x:c r="F19" s="370"/>
      <x:c r="G19" s="370"/>
      <x:c r="H19" s="370"/>
      <x:c r="I19" s="370"/>
      <x:c r="J19" s="370"/>
      <x:c r="K19" s="370"/>
      <x:c r="L19" s="370"/>
      <x:c r="M19" s="370"/>
      <x:c r="N19" s="370"/>
      <x:c r="O19" s="370"/>
    </x:row>
    <x:row r="20" ht="35" customHeight="1">
      <x:c r="A20" s="312"/>
      <x:c r="B20" s="331"/>
      <x:c r="C20" s="331"/>
      <x:c r="D20" s="313"/>
      <x:c r="E20" s="370"/>
      <x:c r="F20" s="370"/>
      <x:c r="G20" s="370"/>
      <x:c r="H20" s="370"/>
      <x:c r="I20" s="370"/>
      <x:c r="J20" s="370"/>
      <x:c r="K20" s="370"/>
      <x:c r="L20" s="370"/>
      <x:c r="M20" s="370"/>
      <x:c r="N20" s="370"/>
      <x:c r="O20" s="370"/>
    </x:row>
    <x:row r="21" ht="35" customHeight="1">
      <x:c r="A21" s="312"/>
      <x:c r="B21" s="331"/>
      <x:c r="C21" s="331"/>
      <x:c r="D21" s="313"/>
      <x:c r="E21" s="370"/>
      <x:c r="F21" s="370"/>
      <x:c r="G21" s="370"/>
      <x:c r="H21" s="370"/>
      <x:c r="I21" s="370"/>
      <x:c r="J21" s="370"/>
      <x:c r="K21" s="370"/>
      <x:c r="L21" s="370"/>
      <x:c r="M21" s="370"/>
      <x:c r="N21" s="370"/>
      <x:c r="O21" s="370"/>
    </x:row>
    <x:row r="22" ht="35" customHeight="1">
      <x:c r="A22" s="312"/>
      <x:c r="B22" s="331"/>
      <x:c r="C22" s="331"/>
      <x:c r="D22" s="313"/>
      <x:c r="E22" s="370"/>
      <x:c r="F22" s="370"/>
      <x:c r="G22" s="370"/>
      <x:c r="H22" s="370"/>
      <x:c r="I22" s="370"/>
      <x:c r="J22" s="370"/>
      <x:c r="K22" s="370"/>
      <x:c r="L22" s="370"/>
      <x:c r="M22" s="370"/>
      <x:c r="N22" s="370"/>
      <x:c r="O22" s="370"/>
    </x:row>
    <x:row r="23" ht="35" customHeight="1">
      <x:c r="A23" s="312"/>
      <x:c r="B23" s="331"/>
      <x:c r="C23" s="331"/>
      <x:c r="D23" s="313"/>
      <x:c r="E23" s="370"/>
      <x:c r="F23" s="370"/>
      <x:c r="G23" s="370"/>
      <x:c r="H23" s="370"/>
      <x:c r="I23" s="370"/>
      <x:c r="J23" s="370"/>
      <x:c r="K23" s="370"/>
      <x:c r="L23" s="370"/>
      <x:c r="M23" s="370"/>
      <x:c r="N23" s="370"/>
      <x:c r="O23" s="370"/>
    </x:row>
    <x:row r="24" ht="35" customHeight="1">
      <x:c r="A24" s="316" t="str">
        <x:v>Balance-sheet date</x:v>
      </x:c>
      <x:c r="B24" s="332" t="str">
        <x:v>Cash and equivalents</x:v>
      </x:c>
      <x:c r="C24" s="371" t="str">
        <x:v>Baseline borrowing</x:v>
      </x:c>
      <x:c r="D24" s="313"/>
      <x:c r="E24" s="370"/>
      <x:c r="F24" s="370"/>
      <x:c r="G24" s="370"/>
      <x:c r="H24" s="370"/>
      <x:c r="I24" s="370"/>
      <x:c r="J24" s="370"/>
      <x:c r="K24" s="370"/>
      <x:c r="L24" s="370"/>
      <x:c r="M24" s="370"/>
      <x:c r="N24" s="370"/>
      <x:c r="O24" s="370"/>
    </x:row>
    <x:row r="25" ht="35" customHeight="1">
      <x:c r="A25" s="324" t="str">
        <x:v>2026-05-31</x:v>
      </x:c>
      <x:c r="B25" s="333" t="n">
        <x:f>'History'!B6</x:f>
        <x:v>31289000000</x:v>
      </x:c>
      <x:c r="C25" s="372" t="n">
        <x:f>'History'!B7</x:f>
        <x:v>129541000000</x:v>
      </x:c>
      <x:c r="D25" s="313"/>
      <x:c r="E25" s="370"/>
      <x:c r="F25" s="370"/>
      <x:c r="G25" s="370"/>
      <x:c r="H25" s="370"/>
      <x:c r="I25" s="370"/>
      <x:c r="J25" s="370"/>
      <x:c r="K25" s="370"/>
      <x:c r="L25" s="370"/>
      <x:c r="M25" s="370"/>
      <x:c r="N25" s="370"/>
      <x:c r="O25" s="370"/>
    </x:row>
    <x:row r="26" ht="35" customHeight="1">
      <x:c r="A26" s="325" t="str">
        <x:v>2026-08-31</x:v>
      </x:c>
      <x:c r="B26" s="374" t="n">
        <x:f>'History'!C6</x:f>
        <x:v>36369000000</x:v>
      </x:c>
      <x:c r="C26" s="373" t="n">
        <x:f>'History'!C7</x:f>
        <x:v>125337000000</x:v>
      </x:c>
      <x:c r="D26" s="313"/>
      <x:c r="E26" s="370"/>
      <x:c r="F26" s="370"/>
      <x:c r="G26" s="370"/>
      <x:c r="H26" s="370"/>
      <x:c r="I26" s="370"/>
      <x:c r="J26" s="370"/>
      <x:c r="K26" s="370"/>
      <x:c r="L26" s="370"/>
      <x:c r="M26" s="370"/>
      <x:c r="N26" s="370"/>
      <x:c r="O26" s="370"/>
    </x:row>
    <x:row r="27" ht="35" customHeight="1">
      <x:c r="A27" s="312"/>
      <x:c r="B27" s="331"/>
      <x:c r="C27" s="331"/>
      <x:c r="D27" s="313"/>
      <x:c r="E27" s="370"/>
      <x:c r="F27" s="370"/>
      <x:c r="G27" s="370"/>
      <x:c r="H27" s="370"/>
      <x:c r="I27" s="370"/>
      <x:c r="J27" s="370"/>
      <x:c r="K27" s="370"/>
      <x:c r="L27" s="370"/>
      <x:c r="M27" s="370"/>
      <x:c r="N27" s="370"/>
      <x:c r="O27" s="370"/>
    </x:row>
    <x:row r="28" ht="35" customHeight="1">
      <x:c r="A28" s="312"/>
      <x:c r="B28" s="331"/>
      <x:c r="C28" s="331"/>
      <x:c r="D28" s="313"/>
      <x:c r="E28" s="370"/>
      <x:c r="F28" s="370"/>
      <x:c r="G28" s="370"/>
      <x:c r="H28" s="370"/>
      <x:c r="I28" s="370"/>
      <x:c r="J28" s="370"/>
      <x:c r="K28" s="370"/>
      <x:c r="L28" s="370"/>
      <x:c r="M28" s="370"/>
      <x:c r="N28" s="370"/>
      <x:c r="O28" s="370"/>
    </x:row>
    <x:row r="29" ht="95" customHeight="1">
      <x:c r="A29" s="328" t="str">
        <x:v>Scope / missing history</x:v>
      </x:c>
      <x:c r="B29" s="331"/>
      <x:c r="C29" s="331"/>
      <x:c r="D29" s="327" t="str">
        <x:v>Baseline borrowing excludes leases; cash excludes restricted cash and investments. These balances do not establish repayment coverage.</x:v>
      </x:c>
      <x:c r="E29" s="370"/>
      <x:c r="F29" s="370"/>
      <x:c r="G29" s="370"/>
      <x:c r="H29" s="370"/>
      <x:c r="I29" s="370"/>
      <x:c r="J29" s="370"/>
      <x:c r="K29" s="370"/>
      <x:c r="L29" s="370"/>
      <x:c r="M29" s="370"/>
      <x:c r="N29" s="370"/>
      <x:c r="O29" s="370"/>
    </x:row>
    <x:row r="30" ht="35" customHeight="1">
      <x:c r="A30" s="312"/>
      <x:c r="B30" s="331"/>
      <x:c r="C30" s="331"/>
      <x:c r="D30" s="313"/>
      <x:c r="E30" s="370"/>
      <x:c r="F30" s="370"/>
      <x:c r="G30" s="370"/>
      <x:c r="H30" s="370"/>
      <x:c r="I30" s="370"/>
      <x:c r="J30" s="370"/>
      <x:c r="K30" s="370"/>
      <x:c r="L30" s="370"/>
      <x:c r="M30" s="370"/>
      <x:c r="N30" s="370"/>
      <x:c r="O30" s="370"/>
    </x:row>
    <x:row r="31" ht="35" customHeight="1">
      <x:c r="A31" s="312"/>
      <x:c r="B31" s="331"/>
      <x:c r="C31" s="331"/>
      <x:c r="D31" s="313"/>
      <x:c r="E31" s="370"/>
      <x:c r="F31" s="370"/>
      <x:c r="G31" s="370"/>
      <x:c r="H31" s="370"/>
      <x:c r="I31" s="370"/>
      <x:c r="J31" s="370"/>
      <x:c r="K31" s="370"/>
      <x:c r="L31" s="370"/>
      <x:c r="M31" s="370"/>
      <x:c r="N31" s="370"/>
      <x:c r="O31" s="370"/>
    </x:row>
    <x:row r="32" ht="35" customHeight="1">
      <x:c r="A32" s="312"/>
      <x:c r="B32" s="331"/>
      <x:c r="C32" s="331"/>
      <x:c r="D32" s="313"/>
      <x:c r="E32" s="370"/>
      <x:c r="F32" s="370"/>
      <x:c r="G32" s="370"/>
      <x:c r="H32" s="370"/>
      <x:c r="I32" s="370"/>
      <x:c r="J32" s="370"/>
      <x:c r="K32" s="370"/>
      <x:c r="L32" s="370"/>
      <x:c r="M32" s="370"/>
      <x:c r="N32" s="370"/>
      <x:c r="O32" s="370"/>
    </x:row>
    <x:row r="33" ht="35" customHeight="1">
      <x:c r="A33" s="312"/>
      <x:c r="B33" s="331"/>
      <x:c r="C33" s="331"/>
      <x:c r="D33" s="313"/>
      <x:c r="E33" s="370"/>
      <x:c r="F33" s="370"/>
      <x:c r="G33" s="370"/>
      <x:c r="H33" s="370"/>
      <x:c r="I33" s="370"/>
      <x:c r="J33" s="370"/>
      <x:c r="K33" s="370"/>
      <x:c r="L33" s="370"/>
      <x:c r="M33" s="370"/>
      <x:c r="N33" s="370"/>
      <x:c r="O33" s="370"/>
    </x:row>
    <x:row r="34" ht="35" customHeight="1">
      <x:c r="A34" s="312"/>
      <x:c r="B34" s="331"/>
      <x:c r="C34" s="331"/>
      <x:c r="D34" s="313"/>
      <x:c r="E34" s="370"/>
      <x:c r="F34" s="370"/>
      <x:c r="G34" s="370"/>
      <x:c r="H34" s="370"/>
      <x:c r="I34" s="370"/>
      <x:c r="J34" s="370"/>
      <x:c r="K34" s="370"/>
      <x:c r="L34" s="370"/>
      <x:c r="M34" s="370"/>
      <x:c r="N34" s="370"/>
      <x:c r="O34" s="370"/>
    </x:row>
    <x:row r="35" ht="35" customHeight="1">
      <x:c r="A35" s="312"/>
      <x:c r="B35" s="331"/>
      <x:c r="C35" s="331"/>
      <x:c r="D35" s="313"/>
      <x:c r="E35" s="370"/>
      <x:c r="F35" s="370"/>
      <x:c r="G35" s="370"/>
      <x:c r="H35" s="370"/>
      <x:c r="I35" s="370"/>
      <x:c r="J35" s="370"/>
      <x:c r="K35" s="370"/>
      <x:c r="L35" s="370"/>
      <x:c r="M35" s="370"/>
      <x:c r="N35" s="370"/>
      <x:c r="O35" s="370"/>
    </x:row>
    <x:row r="36" ht="35" customHeight="1">
      <x:c r="A36" s="312"/>
      <x:c r="B36" s="331"/>
      <x:c r="C36" s="331"/>
      <x:c r="D36" s="313"/>
      <x:c r="E36" s="370"/>
      <x:c r="F36" s="370"/>
      <x:c r="G36" s="370"/>
      <x:c r="H36" s="370"/>
      <x:c r="I36" s="370"/>
      <x:c r="J36" s="370"/>
      <x:c r="K36" s="370"/>
      <x:c r="L36" s="370"/>
      <x:c r="M36" s="370"/>
      <x:c r="N36" s="370"/>
      <x:c r="O36" s="370"/>
    </x:row>
    <x:row r="37" ht="35" customHeight="1">
      <x:c r="A37" s="312"/>
      <x:c r="B37" s="331"/>
      <x:c r="C37" s="331"/>
      <x:c r="D37" s="313"/>
      <x:c r="E37" s="370"/>
      <x:c r="F37" s="370"/>
      <x:c r="G37" s="370"/>
      <x:c r="H37" s="370"/>
      <x:c r="I37" s="370"/>
      <x:c r="J37" s="370"/>
      <x:c r="K37" s="370"/>
      <x:c r="L37" s="370"/>
      <x:c r="M37" s="370"/>
      <x:c r="N37" s="370"/>
      <x:c r="O37" s="370"/>
    </x:row>
    <x:row r="38" ht="35" customHeight="1">
      <x:c r="A38" s="312"/>
      <x:c r="B38" s="331"/>
      <x:c r="C38" s="331"/>
      <x:c r="D38" s="313"/>
      <x:c r="E38" s="370"/>
      <x:c r="F38" s="370"/>
      <x:c r="G38" s="370"/>
      <x:c r="H38" s="370"/>
      <x:c r="I38" s="370"/>
      <x:c r="J38" s="370"/>
      <x:c r="K38" s="370"/>
      <x:c r="L38" s="370"/>
      <x:c r="M38" s="370"/>
      <x:c r="N38" s="370"/>
      <x:c r="O38" s="370"/>
    </x:row>
    <x:row r="39" ht="35" customHeight="1">
      <x:c r="A39" s="312"/>
      <x:c r="B39" s="331"/>
      <x:c r="C39" s="331"/>
      <x:c r="D39" s="313"/>
      <x:c r="E39" s="370"/>
      <x:c r="F39" s="370"/>
      <x:c r="G39" s="370"/>
      <x:c r="H39" s="370"/>
      <x:c r="I39" s="370"/>
      <x:c r="J39" s="370"/>
      <x:c r="K39" s="370"/>
      <x:c r="L39" s="370"/>
      <x:c r="M39" s="370"/>
      <x:c r="N39" s="370"/>
      <x:c r="O39" s="370"/>
    </x:row>
    <x:row r="40" ht="35" customHeight="1">
      <x:c r="A40" s="312"/>
      <x:c r="B40" s="331"/>
      <x:c r="C40" s="331"/>
      <x:c r="D40" s="313"/>
      <x:c r="E40" s="370"/>
      <x:c r="F40" s="370"/>
      <x:c r="G40" s="370"/>
      <x:c r="H40" s="370"/>
      <x:c r="I40" s="370"/>
      <x:c r="J40" s="370"/>
      <x:c r="K40" s="370"/>
      <x:c r="L40" s="370"/>
      <x:c r="M40" s="370"/>
      <x:c r="N40" s="370"/>
      <x:c r="O40" s="370"/>
    </x:row>
    <x:row r="41" ht="65" customHeight="1">
      <x:c r="A41" s="328" t="str">
        <x:v>Evidence trail</x:v>
      </x:c>
      <x:c r="B41" s="331"/>
      <x:c r="C41" s="331"/>
      <x:c r="D41" s="327" t="str">
        <x:v>Chart values link to Debt and liquidity and History. Data retains the exact input periods, tags, accessions and source URLs.</x:v>
      </x:c>
      <x:c r="E41" s="370"/>
      <x:c r="F41" s="370"/>
      <x:c r="G41" s="370"/>
      <x:c r="H41" s="370"/>
      <x:c r="I41" s="370"/>
      <x:c r="J41" s="370"/>
      <x:c r="K41" s="370"/>
      <x:c r="L41" s="370"/>
      <x:c r="M41" s="370"/>
      <x:c r="N41" s="370"/>
      <x:c r="O41" s="370"/>
    </x:row>
    <x:row r="42" ht="35" customHeight="1">
      <x:c r="A42" s="312"/>
      <x:c r="B42" s="331"/>
      <x:c r="C42" s="331"/>
      <x:c r="D42" s="313"/>
      <x:c r="E42" s="370"/>
      <x:c r="F42" s="370"/>
      <x:c r="G42" s="370"/>
      <x:c r="H42" s="370"/>
      <x:c r="I42" s="370"/>
      <x:c r="J42" s="370"/>
      <x:c r="K42" s="370"/>
      <x:c r="L42" s="370"/>
      <x:c r="M42" s="370"/>
      <x:c r="N42" s="370"/>
      <x:c r="O42" s="370"/>
    </x:row>
    <x:row r="43" ht="35" customHeight="1">
      <x:c r="A43" s="312"/>
      <x:c r="B43" s="331"/>
      <x:c r="C43" s="331"/>
      <x:c r="D43" s="313"/>
      <x:c r="E43" s="370"/>
      <x:c r="F43" s="370"/>
      <x:c r="G43" s="370"/>
      <x:c r="H43" s="370"/>
      <x:c r="I43" s="370"/>
      <x:c r="J43" s="370"/>
      <x:c r="K43" s="370"/>
      <x:c r="L43" s="370"/>
      <x:c r="M43" s="370"/>
      <x:c r="N43" s="370"/>
      <x:c r="O43" s="370"/>
    </x:row>
  </x:sheetData>
  <x:pageMargins left="0.7" right="0.7" top="0.75" bottom="0.75" header="0.3" footer="0.3"/>
  <x:drawing ns1:id="Rb89218312602414e"/>
</x:worksheet>
</file>

<file path=xl/worksheets/sheet6.xml><?xml version="1.0" encoding="utf-8"?>
<x:worksheet xmlns:x="http://schemas.openxmlformats.org/spreadsheetml/2006/main">
  <x:sheetViews>
    <x:sheetView showGridLines="0" workbookViewId="0"/>
  </x:sheetViews>
  <x:sheetFormatPr defaultRowHeight="15"/>
  <x:cols>
    <x:col min="1" max="1" width="26" hidden="0" customWidth="1"/>
    <x:col min="2" max="2" width="31" hidden="0" customWidth="1"/>
    <x:col min="3" max="3" width="23" hidden="0" customWidth="1"/>
    <x:col min="4" max="4" width="66" hidden="0" customWidth="1"/>
    <x:col min="5" max="5" width="36" hidden="0" customWidth="1"/>
    <x:col min="6" max="6" width="26" hidden="0" customWidth="1"/>
    <x:col min="7" max="7" width="100" hidden="0" customWidth="1"/>
  </x:cols>
  <x:sheetData>
    <x:row r="2" ht="24" customHeight="1">
      <x:c r="A2" s="375" t="str">
        <x:v>Oracle repayment funding review</x:v>
      </x:c>
      <x:c r="B2" s="376"/>
      <x:c r="C2" s="376"/>
      <x:c r="D2" s="376"/>
      <x:c r="E2" s="376"/>
      <x:c r="F2" s="376"/>
      <x:c r="G2" s="377"/>
    </x:row>
    <x:row r="3" ht="24" customHeight="1">
      <x:c r="A3" s="378" t="str">
        <x:v>At August 31, 2026. USD millions. Future coverage is Unavailable; no combined funding total.</x:v>
      </x:c>
      <x:c r="B3" s="376"/>
      <x:c r="C3" s="376"/>
      <x:c r="D3" s="376"/>
      <x:c r="E3" s="376"/>
      <x:c r="F3" s="376"/>
      <x:c r="G3" s="377"/>
    </x:row>
    <x:row r="4" ht="24" customHeight="1">
      <x:c r="A4" s="379"/>
      <x:c r="B4" s="376"/>
      <x:c r="C4" s="376"/>
      <x:c r="D4" s="376"/>
      <x:c r="E4" s="376"/>
      <x:c r="F4" s="376"/>
      <x:c r="G4" s="377"/>
    </x:row>
    <x:row r="5" ht="48" customHeight="1">
      <x:c r="A5" s="380" t="str">
        <x:v>Resource</x:v>
      </x:c>
      <x:c r="B5" s="381" t="str">
        <x:v>USD millions</x:v>
      </x:c>
      <x:c r="C5" s="381" t="str">
        <x:v>Date / period</x:v>
      </x:c>
      <x:c r="D5" s="381" t="str">
        <x:v>Available for future payments?</x:v>
      </x:c>
      <x:c r="E5" s="382" t="str">
        <x:v>Evidence / condition</x:v>
      </x:c>
      <x:c r="F5" s="383"/>
      <x:c r="G5" s="384"/>
    </x:row>
    <x:row r="6" ht="100" customHeight="1">
      <x:c r="A6" s="385" t="str">
        <x:v>Cash excluding restricted cash</x:v>
      </x:c>
      <x:c r="B6" s="386" t="n">
        <x:f>IF(ISNUMBER('Data'!B21),'Data'!B21,NA())</x:f>
        <x:v>36369000000</x:v>
      </x:c>
      <x:c r="C6" s="387" t="str">
        <x:v>2026-08-31</x:v>
      </x:c>
      <x:c r="D6" s="387" t="str">
        <x:v>Not allocated; future availability Unavailable</x:v>
      </x:c>
      <x:c r="E6" s="388" t="str">
        <x:v>August cash pool, not reserved for future payments. Operating needs, capital spending and other obligations compete for it. Availability at payment dates is Unavailable.</x:v>
      </x:c>
      <x:c r="F6" s="383"/>
      <x:c r="G6" s="384"/>
    </x:row>
    <x:row r="7" ht="100" customHeight="1">
      <x:c r="A7" s="385" t="str">
        <x:v>Restricted cash</x:v>
      </x:c>
      <x:c r="B7" s="386" t="n">
        <x:f>'Cash analysis'!B21</x:f>
        <x:v>2565000000</x:v>
      </x:c>
      <x:c r="C7" s="387" t="str">
        <x:v>2026-08-31</x:v>
      </x:c>
      <x:c r="D7" s="387" t="str">
        <x:v>Excluded</x:v>
      </x:c>
      <x:c r="E7" s="388" t="str">
        <x:v>Excluded from the general repayment pool. Release timing and permitted uses are Unavailable.</x:v>
      </x:c>
      <x:c r="F7" s="383"/>
      <x:c r="G7" s="384"/>
    </x:row>
    <x:row r="8" ht="100" customHeight="1">
      <x:c r="A8" s="385" t="str">
        <x:v>Reported operating cash flow</x:v>
      </x:c>
      <x:c r="B8" s="386" t="n">
        <x:f>IF(ISNUMBER('Data'!B2),'Data'!B2,NA())</x:f>
        <x:v>23103000000</x:v>
      </x:c>
      <x:c r="C8" s="387" t="str">
        <x:v>2026-06-01 to 2026-08-31</x:v>
      </x:c>
      <x:c r="D8" s="387" t="str">
        <x:v>Historical flow; already in cash</x:v>
      </x:c>
      <x:c r="E8" s="388" t="str">
        <x:v>Historical cash generation, including the specified prepayments. Already reflected in closing cash. Future OCF and future operating costs are Unavailable.</x:v>
      </x:c>
      <x:c r="F8" s="383"/>
      <x:c r="G8" s="384"/>
    </x:row>
    <x:row r="9" ht="100" customHeight="1">
      <x:c r="A9" s="385" t="str">
        <x:v>Specified customer prepayments</x:v>
      </x:c>
      <x:c r="B9" s="386" t="n">
        <x:f>IF(ISNUMBER('Data'!B3),'Data'!B3,NA())</x:f>
        <x:v>11363000000</x:v>
      </x:c>
      <x:c r="C9" s="387" t="str">
        <x:v>2026-06-01 to 2026-08-31</x:v>
      </x:c>
      <x:c r="D9" s="387" t="str">
        <x:v>Historical flow; already in cash</x:v>
      </x:c>
      <x:c r="E9" s="388" t="str">
        <x:v>Part of reported OCF and already in closing cash. Supports future customer performance obligations. Future prepayments and related service costs are Unavailable.</x:v>
      </x:c>
      <x:c r="F9" s="383"/>
      <x:c r="G9" s="384"/>
    </x:row>
    <x:row r="10" ht="100" customHeight="1">
      <x:c r="A10" s="385" t="str">
        <x:v>ATM equity proceeds, net</x:v>
      </x:c>
      <x:c r="B10" s="386" t="n">
        <x:f>IF(ISNUMBER('Data'!B8),'Data'!B8,NA())</x:f>
        <x:v>19909000000</x:v>
      </x:c>
      <x:c r="C10" s="387" t="str">
        <x:v>2026-06-01 to 2026-08-31</x:v>
      </x:c>
      <x:c r="D10" s="387" t="str">
        <x:v>Historical flow; already in cash</x:v>
      </x:c>
      <x:c r="E10" s="388" t="str">
        <x:v>Already in closing cash. The $20B gross ATM program was fully utilized. No unused capacity or additional future equity proceeds are established.</x:v>
      </x:c>
      <x:c r="F10" s="383"/>
      <x:c r="G10" s="384"/>
    </x:row>
    <x:row r="11" ht="130" customHeight="1">
      <x:c r="A11" s="389" t="str">
        <x:v>Original revolver commitment</x:v>
      </x:c>
      <x:c r="B11" s="390" t="n">
        <x:f>IF(ISNUMBER('Data'!B57),'Data'!B57,NA())</x:f>
        <x:v>10000000000</x:v>
      </x:c>
      <x:c r="C11" s="391" t="str">
        <x:v>2026-03-06 to 2031-03-06</x:v>
      </x:c>
      <x:c r="D11" s="391" t="str">
        <x:v>Drawable capacity Unavailable</x:v>
      </x:c>
      <x:c r="E11" s="392" t="str">
        <x:v>Potential working-capital and general corporate financing under §2.21, subject to §4.02 draw conditions and the contractual covenant. May 31 undrawn commitment was $10B. An amount actually drawable is Unavailable at each reviewed date, including August 31. No extension beyond March 6, 2031 is assumed. Commercial-paper capacity is not added.</x:v>
      </x:c>
      <x:c r="F11" s="383"/>
      <x:c r="G11" s="384"/>
    </x:row>
    <x:row r="12" ht="24" customHeight="1">
      <x:c r="A12" s="393"/>
      <x:c r="B12" s="383"/>
      <x:c r="C12" s="383"/>
      <x:c r="D12" s="383"/>
      <x:c r="E12" s="383"/>
      <x:c r="F12" s="383"/>
      <x:c r="G12" s="384"/>
    </x:row>
    <x:row r="13" ht="46" customHeight="1">
      <x:c r="A13" s="394" t="str">
        <x:v>Shared cash pool</x:v>
      </x:c>
      <x:c r="B13" s="383"/>
      <x:c r="C13" s="383"/>
      <x:c r="D13" s="395" t="str">
        <x:v>OCF, prepayments and equity proceeds are already in closing cash and are not added again.</x:v>
      </x:c>
      <x:c r="E13" s="383"/>
      <x:c r="F13" s="383"/>
      <x:c r="G13" s="384"/>
    </x:row>
    <x:row r="14" ht="24" customHeight="1">
      <x:c r="A14" s="393"/>
      <x:c r="B14" s="383"/>
      <x:c r="C14" s="383"/>
      <x:c r="D14" s="383"/>
      <x:c r="E14" s="383"/>
      <x:c r="F14" s="383"/>
      <x:c r="G14" s="384"/>
    </x:row>
    <x:row r="15" ht="48" customHeight="1">
      <x:c r="A15" s="380" t="str">
        <x:v>Due period</x:v>
      </x:c>
      <x:c r="B15" s="381" t="str">
        <x:v>Obligation</x:v>
      </x:c>
      <x:c r="C15" s="381" t="str">
        <x:v>USD millions</x:v>
      </x:c>
      <x:c r="D15" s="381" t="str">
        <x:v>Potential funding</x:v>
      </x:c>
      <x:c r="E15" s="381" t="str">
        <x:v>Confirmed funds at due date, USD millions</x:v>
      </x:c>
      <x:c r="F15" s="381" t="str">
        <x:v>Coverage (x)</x:v>
      </x:c>
      <x:c r="G15" s="396" t="str">
        <x:v>Competing uses / missing evidence</x:v>
      </x:c>
    </x:row>
    <x:row r="16" ht="65" customHeight="1">
      <x:c r="A16" s="385" t="str">
        <x:v>Remainder FY2027</x:v>
      </x:c>
      <x:c r="B16" s="387" t="str">
        <x:v>Operating leases</x:v>
      </x:c>
      <x:c r="C16" s="386" t="n">
        <x:f>IF(ISNUMBER('Data'!B23),'Data'!B23,NA())</x:f>
        <x:v>3219000000</x:v>
      </x:c>
      <x:c r="D16" s="387" t="str">
        <x:v>August cash pool; conditional revolver. No payment allocation established.</x:v>
      </x:c>
      <x:c r="E16" s="397"/>
      <x:c r="F16" s="387" t="str">
        <x:v>Unavailable</x:v>
      </x:c>
      <x:c r="G16" s="398" t="str">
        <x:v>Operating needs and capex also use cash. Do not deduct lease payments already inside OCF twice. Dated cash allocation, future OCF and drawable credit are not established.</x:v>
      </x:c>
    </x:row>
    <x:row r="17" ht="65" customHeight="1">
      <x:c r="A17" s="385" t="str">
        <x:v>Remainder FY2027</x:v>
      </x:c>
      <x:c r="B17" s="387" t="str">
        <x:v>Finance leases</x:v>
      </x:c>
      <x:c r="C17" s="386" t="n">
        <x:f>IF(ISNUMBER('Data'!B30),'Data'!B30,NA())</x:f>
        <x:v>620000000</x:v>
      </x:c>
      <x:c r="D17" s="387" t="str">
        <x:v>August cash pool; conditional revolver. No payment allocation established.</x:v>
      </x:c>
      <x:c r="E17" s="397"/>
      <x:c r="F17" s="387" t="str">
        <x:v>Unavailable</x:v>
      </x:c>
      <x:c r="G17" s="398" t="str">
        <x:v>Includes principal and interest. Do not deduct any interest already inside OCF twice. Dated cash allocation, future OCF and drawable credit are not established.</x:v>
      </x:c>
    </x:row>
    <x:row r="18" ht="65" customHeight="1">
      <x:c r="A18" s="385" t="str">
        <x:v>Remainder FY2027</x:v>
      </x:c>
      <x:c r="B18" s="387" t="str">
        <x:v>Purchase and other obligations</x:v>
      </x:c>
      <x:c r="C18" s="386" t="n">
        <x:f>IF(ISNUMBER('Data'!B37),'Data'!B37,NA())</x:f>
        <x:v>5449000000</x:v>
      </x:c>
      <x:c r="D18" s="387" t="str">
        <x:v>August cash pool; conditional revolver. No payment allocation established.</x:v>
      </x:c>
      <x:c r="E18" s="397"/>
      <x:c r="F18" s="387" t="str">
        <x:v>Unavailable</x:v>
      </x:c>
      <x:c r="G18" s="398" t="str">
        <x:v>Cloud supplies and power commitments may overlap capex, unpaid capex or leases. No combined total. Dated cash allocation, future OCF and drawable credit are not established.</x:v>
      </x:c>
    </x:row>
    <x:row r="19" ht="65" customHeight="1">
      <x:c r="A19" s="385" t="str">
        <x:v>FY2028</x:v>
      </x:c>
      <x:c r="B19" s="387" t="str">
        <x:v>Operating leases</x:v>
      </x:c>
      <x:c r="C19" s="386" t="n">
        <x:f>IF(ISNUMBER('Data'!B24),'Data'!B24,NA())</x:f>
        <x:v>4135000000</x:v>
      </x:c>
      <x:c r="D19" s="387" t="str">
        <x:v>August cash pool; conditional revolver. No payment allocation established.</x:v>
      </x:c>
      <x:c r="E19" s="397"/>
      <x:c r="F19" s="387" t="str">
        <x:v>Unavailable</x:v>
      </x:c>
      <x:c r="G19" s="398" t="str">
        <x:v>Operating needs and capex also use cash. Do not deduct lease payments already inside OCF twice. Dated cash allocation, future OCF and drawable credit are not established.</x:v>
      </x:c>
    </x:row>
    <x:row r="20" ht="65" customHeight="1">
      <x:c r="A20" s="385" t="str">
        <x:v>FY2028</x:v>
      </x:c>
      <x:c r="B20" s="387" t="str">
        <x:v>Finance leases</x:v>
      </x:c>
      <x:c r="C20" s="386" t="n">
        <x:f>IF(ISNUMBER('Data'!B31),'Data'!B31,NA())</x:f>
        <x:v>852000000</x:v>
      </x:c>
      <x:c r="D20" s="387" t="str">
        <x:v>August cash pool; conditional revolver. No payment allocation established.</x:v>
      </x:c>
      <x:c r="E20" s="397"/>
      <x:c r="F20" s="387" t="str">
        <x:v>Unavailable</x:v>
      </x:c>
      <x:c r="G20" s="398" t="str">
        <x:v>Includes principal and interest. Do not deduct any interest already inside OCF twice. Dated cash allocation, future OCF and drawable credit are not established.</x:v>
      </x:c>
    </x:row>
    <x:row r="21" ht="65" customHeight="1">
      <x:c r="A21" s="385" t="str">
        <x:v>FY2028</x:v>
      </x:c>
      <x:c r="B21" s="387" t="str">
        <x:v>Purchase and other obligations</x:v>
      </x:c>
      <x:c r="C21" s="386" t="n">
        <x:f>IF(ISNUMBER('Data'!B38),'Data'!B38,NA())</x:f>
        <x:v>6176000000</x:v>
      </x:c>
      <x:c r="D21" s="387" t="str">
        <x:v>August cash pool; conditional revolver. No payment allocation established.</x:v>
      </x:c>
      <x:c r="E21" s="397"/>
      <x:c r="F21" s="387" t="str">
        <x:v>Unavailable</x:v>
      </x:c>
      <x:c r="G21" s="398" t="str">
        <x:v>Cloud supplies and power commitments may overlap capex, unpaid capex or leases. No combined total. Dated cash allocation, future OCF and drawable credit are not established.</x:v>
      </x:c>
    </x:row>
    <x:row r="22" ht="65" customHeight="1">
      <x:c r="A22" s="385" t="str">
        <x:v>FY2029</x:v>
      </x:c>
      <x:c r="B22" s="387" t="str">
        <x:v>Operating leases</x:v>
      </x:c>
      <x:c r="C22" s="386" t="n">
        <x:f>IF(ISNUMBER('Data'!B25),'Data'!B25,NA())</x:f>
        <x:v>4097000000</x:v>
      </x:c>
      <x:c r="D22" s="387" t="str">
        <x:v>August cash pool; conditional revolver. No payment allocation established.</x:v>
      </x:c>
      <x:c r="E22" s="397"/>
      <x:c r="F22" s="387" t="str">
        <x:v>Unavailable</x:v>
      </x:c>
      <x:c r="G22" s="398" t="str">
        <x:v>Operating needs and capex also use cash. Do not deduct lease payments already inside OCF twice. Dated cash allocation, future OCF and drawable credit are not established.</x:v>
      </x:c>
    </x:row>
    <x:row r="23" ht="65" customHeight="1">
      <x:c r="A23" s="385" t="str">
        <x:v>FY2029</x:v>
      </x:c>
      <x:c r="B23" s="387" t="str">
        <x:v>Finance leases</x:v>
      </x:c>
      <x:c r="C23" s="386" t="n">
        <x:f>IF(ISNUMBER('Data'!B32),'Data'!B32,NA())</x:f>
        <x:v>923000000</x:v>
      </x:c>
      <x:c r="D23" s="387" t="str">
        <x:v>August cash pool; conditional revolver. No payment allocation established.</x:v>
      </x:c>
      <x:c r="E23" s="397"/>
      <x:c r="F23" s="387" t="str">
        <x:v>Unavailable</x:v>
      </x:c>
      <x:c r="G23" s="398" t="str">
        <x:v>Includes principal and interest. Do not deduct any interest already inside OCF twice. Dated cash allocation, future OCF and drawable credit are not established.</x:v>
      </x:c>
    </x:row>
    <x:row r="24" ht="65" customHeight="1">
      <x:c r="A24" s="385" t="str">
        <x:v>FY2029</x:v>
      </x:c>
      <x:c r="B24" s="387" t="str">
        <x:v>Purchase and other obligations</x:v>
      </x:c>
      <x:c r="C24" s="386" t="n">
        <x:f>IF(ISNUMBER('Data'!B39),'Data'!B39,NA())</x:f>
        <x:v>3863000000</x:v>
      </x:c>
      <x:c r="D24" s="387" t="str">
        <x:v>August cash pool; conditional revolver. No payment allocation established.</x:v>
      </x:c>
      <x:c r="E24" s="397"/>
      <x:c r="F24" s="387" t="str">
        <x:v>Unavailable</x:v>
      </x:c>
      <x:c r="G24" s="398" t="str">
        <x:v>Cloud supplies and power commitments may overlap capex, unpaid capex or leases. No combined total. Dated cash allocation, future OCF and drawable credit are not established.</x:v>
      </x:c>
    </x:row>
    <x:row r="25" ht="65" customHeight="1">
      <x:c r="A25" s="385" t="str">
        <x:v>FY2030</x:v>
      </x:c>
      <x:c r="B25" s="387" t="str">
        <x:v>Operating leases</x:v>
      </x:c>
      <x:c r="C25" s="386" t="n">
        <x:f>IF(ISNUMBER('Data'!B26),'Data'!B26,NA())</x:f>
        <x:v>4109000000</x:v>
      </x:c>
      <x:c r="D25" s="387" t="str">
        <x:v>August cash pool; conditional revolver. No payment allocation established.</x:v>
      </x:c>
      <x:c r="E25" s="397"/>
      <x:c r="F25" s="387" t="str">
        <x:v>Unavailable</x:v>
      </x:c>
      <x:c r="G25" s="398" t="str">
        <x:v>Operating needs and capex also use cash. Do not deduct lease payments already inside OCF twice. Dated cash allocation, future OCF and drawable credit are not established.</x:v>
      </x:c>
    </x:row>
    <x:row r="26" ht="65" customHeight="1">
      <x:c r="A26" s="385" t="str">
        <x:v>FY2030</x:v>
      </x:c>
      <x:c r="B26" s="387" t="str">
        <x:v>Finance leases</x:v>
      </x:c>
      <x:c r="C26" s="386" t="n">
        <x:f>IF(ISNUMBER('Data'!B33),'Data'!B33,NA())</x:f>
        <x:v>947000000</x:v>
      </x:c>
      <x:c r="D26" s="387" t="str">
        <x:v>August cash pool; conditional revolver. No payment allocation established.</x:v>
      </x:c>
      <x:c r="E26" s="397"/>
      <x:c r="F26" s="387" t="str">
        <x:v>Unavailable</x:v>
      </x:c>
      <x:c r="G26" s="398" t="str">
        <x:v>Includes principal and interest. Do not deduct any interest already inside OCF twice. Dated cash allocation, future OCF and drawable credit are not established.</x:v>
      </x:c>
    </x:row>
    <x:row r="27" ht="65" customHeight="1">
      <x:c r="A27" s="385" t="str">
        <x:v>FY2030</x:v>
      </x:c>
      <x:c r="B27" s="387" t="str">
        <x:v>Purchase and other obligations</x:v>
      </x:c>
      <x:c r="C27" s="386" t="n">
        <x:f>IF(ISNUMBER('Data'!B40),'Data'!B40,NA())</x:f>
        <x:v>4318000000</x:v>
      </x:c>
      <x:c r="D27" s="387" t="str">
        <x:v>August cash pool; conditional revolver. No payment allocation established.</x:v>
      </x:c>
      <x:c r="E27" s="397"/>
      <x:c r="F27" s="387" t="str">
        <x:v>Unavailable</x:v>
      </x:c>
      <x:c r="G27" s="398" t="str">
        <x:v>Cloud supplies and power commitments may overlap capex, unpaid capex or leases. No combined total. Dated cash allocation, future OCF and drawable credit are not established.</x:v>
      </x:c>
    </x:row>
    <x:row r="28" ht="65" customHeight="1">
      <x:c r="A28" s="385" t="str">
        <x:v>FY2031</x:v>
      </x:c>
      <x:c r="B28" s="387" t="str">
        <x:v>Operating leases</x:v>
      </x:c>
      <x:c r="C28" s="386" t="n">
        <x:f>IF(ISNUMBER('Data'!B27),'Data'!B27,NA())</x:f>
        <x:v>4089000000</x:v>
      </x:c>
      <x:c r="D28" s="387" t="str">
        <x:v>August cash pool; revolver expires within this bucket. Funding after expiry is Unavailable.</x:v>
      </x:c>
      <x:c r="E28" s="397"/>
      <x:c r="F28" s="387" t="str">
        <x:v>Unavailable</x:v>
      </x:c>
      <x:c r="G28" s="398" t="str">
        <x:v>Operating needs and capex also use cash. Do not deduct lease payments already inside OCF twice. Dated cash allocation, future OCF and drawable credit are not established.</x:v>
      </x:c>
    </x:row>
    <x:row r="29" ht="65" customHeight="1">
      <x:c r="A29" s="385" t="str">
        <x:v>FY2031</x:v>
      </x:c>
      <x:c r="B29" s="387" t="str">
        <x:v>Finance leases</x:v>
      </x:c>
      <x:c r="C29" s="386" t="n">
        <x:f>IF(ISNUMBER('Data'!B34),'Data'!B34,NA())</x:f>
        <x:v>971000000</x:v>
      </x:c>
      <x:c r="D29" s="387" t="str">
        <x:v>August cash pool; revolver expires within this bucket. Funding after expiry is Unavailable.</x:v>
      </x:c>
      <x:c r="E29" s="397"/>
      <x:c r="F29" s="387" t="str">
        <x:v>Unavailable</x:v>
      </x:c>
      <x:c r="G29" s="398" t="str">
        <x:v>Includes principal and interest. Do not deduct any interest already inside OCF twice. Dated cash allocation, future OCF and drawable credit are not established.</x:v>
      </x:c>
    </x:row>
    <x:row r="30" ht="65" customHeight="1">
      <x:c r="A30" s="385" t="str">
        <x:v>FY2031</x:v>
      </x:c>
      <x:c r="B30" s="387" t="str">
        <x:v>Purchase and other obligations</x:v>
      </x:c>
      <x:c r="C30" s="386" t="n">
        <x:f>IF(ISNUMBER('Data'!B41),'Data'!B41,NA())</x:f>
        <x:v>6768000000</x:v>
      </x:c>
      <x:c r="D30" s="387" t="str">
        <x:v>August cash pool; revolver expires within this bucket. Funding after expiry is Unavailable.</x:v>
      </x:c>
      <x:c r="E30" s="397"/>
      <x:c r="F30" s="387" t="str">
        <x:v>Unavailable</x:v>
      </x:c>
      <x:c r="G30" s="398" t="str">
        <x:v>Cloud supplies and power commitments may overlap capex, unpaid capex or leases. No combined total. Dated cash allocation, future OCF and drawable credit are not established.</x:v>
      </x:c>
    </x:row>
    <x:row r="31" ht="65" customHeight="1">
      <x:c r="A31" s="385" t="str">
        <x:v>FY2032</x:v>
      </x:c>
      <x:c r="B31" s="387" t="str">
        <x:v>Operating leases</x:v>
      </x:c>
      <x:c r="C31" s="386" t="n">
        <x:f>IF(ISNUMBER('Data'!B28),'Data'!B28,NA())</x:f>
        <x:v>4030000000</x:v>
      </x:c>
      <x:c r="D31" s="387" t="str">
        <x:v>Future cash or new financing Unavailable. Original revolver expires before this bucket.</x:v>
      </x:c>
      <x:c r="E31" s="397"/>
      <x:c r="F31" s="387" t="str">
        <x:v>Unavailable</x:v>
      </x:c>
      <x:c r="G31" s="398" t="str">
        <x:v>Operating needs and capex also use cash. Do not deduct lease payments already inside OCF twice. Dated cash allocation, future OCF and drawable credit are not established.</x:v>
      </x:c>
    </x:row>
    <x:row r="32" ht="65" customHeight="1">
      <x:c r="A32" s="385" t="str">
        <x:v>FY2032</x:v>
      </x:c>
      <x:c r="B32" s="387" t="str">
        <x:v>Finance leases</x:v>
      </x:c>
      <x:c r="C32" s="386" t="n">
        <x:f>IF(ISNUMBER('Data'!B35),'Data'!B35,NA())</x:f>
        <x:v>996000000</x:v>
      </x:c>
      <x:c r="D32" s="387" t="str">
        <x:v>Future cash or new financing Unavailable. Original revolver expires before this bucket.</x:v>
      </x:c>
      <x:c r="E32" s="397"/>
      <x:c r="F32" s="387" t="str">
        <x:v>Unavailable</x:v>
      </x:c>
      <x:c r="G32" s="398" t="str">
        <x:v>Includes principal and interest. Do not deduct any interest already inside OCF twice. Dated cash allocation, future OCF and drawable credit are not established.</x:v>
      </x:c>
    </x:row>
    <x:row r="33" ht="65" customHeight="1">
      <x:c r="A33" s="385" t="str">
        <x:v>FY2032</x:v>
      </x:c>
      <x:c r="B33" s="387" t="str">
        <x:v>Purchase and other obligations</x:v>
      </x:c>
      <x:c r="C33" s="386" t="n">
        <x:f>IF(ISNUMBER('Data'!B42),'Data'!B42,NA())</x:f>
        <x:v>954000000</x:v>
      </x:c>
      <x:c r="D33" s="387" t="str">
        <x:v>Future cash or new financing Unavailable. Original revolver expires before this bucket.</x:v>
      </x:c>
      <x:c r="E33" s="397"/>
      <x:c r="F33" s="387" t="str">
        <x:v>Unavailable</x:v>
      </x:c>
      <x:c r="G33" s="398" t="str">
        <x:v>Cloud supplies and power commitments may overlap capex, unpaid capex or leases. No combined total. Dated cash allocation, future OCF and drawable credit are not established.</x:v>
      </x:c>
    </x:row>
    <x:row r="34" ht="65" customHeight="1">
      <x:c r="A34" s="385" t="str">
        <x:v>Thereafter</x:v>
      </x:c>
      <x:c r="B34" s="387" t="str">
        <x:v>Operating leases</x:v>
      </x:c>
      <x:c r="C34" s="386" t="n">
        <x:f>IF(ISNUMBER('Data'!B29),'Data'!B29,NA())</x:f>
        <x:v>24371000000</x:v>
      </x:c>
      <x:c r="D34" s="387" t="str">
        <x:v>Future cash or new financing Unavailable. Original revolver expires before this bucket.</x:v>
      </x:c>
      <x:c r="E34" s="397"/>
      <x:c r="F34" s="387" t="str">
        <x:v>Unavailable</x:v>
      </x:c>
      <x:c r="G34" s="398" t="str">
        <x:v>Operating needs and capex also use cash. Do not deduct lease payments already inside OCF twice. Dated cash allocation, future OCF and drawable credit are not established. Thereafter combines multiple years with no final payment date.</x:v>
      </x:c>
    </x:row>
    <x:row r="35" ht="65" customHeight="1">
      <x:c r="A35" s="385" t="str">
        <x:v>Thereafter</x:v>
      </x:c>
      <x:c r="B35" s="387" t="str">
        <x:v>Finance leases</x:v>
      </x:c>
      <x:c r="C35" s="386" t="n">
        <x:f>IF(ISNUMBER('Data'!B36),'Data'!B36,NA())</x:f>
        <x:v>9886000000</x:v>
      </x:c>
      <x:c r="D35" s="387" t="str">
        <x:v>Future cash or new financing Unavailable. Original revolver expires before this bucket.</x:v>
      </x:c>
      <x:c r="E35" s="397"/>
      <x:c r="F35" s="387" t="str">
        <x:v>Unavailable</x:v>
      </x:c>
      <x:c r="G35" s="398" t="str">
        <x:v>Includes principal and interest. Do not deduct any interest already inside OCF twice. Dated cash allocation, future OCF and drawable credit are not established. Thereafter combines multiple years with no final payment date.</x:v>
      </x:c>
    </x:row>
    <x:row r="36" ht="65" customHeight="1">
      <x:c r="A36" s="389" t="str">
        <x:v>Thereafter</x:v>
      </x:c>
      <x:c r="B36" s="391" t="str">
        <x:v>Purchase and other obligations</x:v>
      </x:c>
      <x:c r="C36" s="390" t="n">
        <x:f>IF(ISNUMBER('Data'!B43),'Data'!B43,NA())</x:f>
        <x:v>6622000000</x:v>
      </x:c>
      <x:c r="D36" s="391" t="str">
        <x:v>Future cash or new financing Unavailable. Original revolver expires before this bucket.</x:v>
      </x:c>
      <x:c r="E36" s="399"/>
      <x:c r="F36" s="391" t="str">
        <x:v>Unavailable</x:v>
      </x:c>
      <x:c r="G36" s="400" t="str">
        <x:v>Cloud supplies and power commitments may overlap capex, unpaid capex or leases. No combined total. Dated cash allocation, future OCF and drawable credit are not established. Thereafter combines multiple years with no final payment date.</x:v>
      </x:c>
    </x:row>
    <x:row r="37" ht="24" customHeight="1">
      <x:c r="A37" s="393"/>
      <x:c r="B37" s="383"/>
      <x:c r="C37" s="383"/>
      <x:c r="D37" s="383"/>
      <x:c r="E37" s="383"/>
      <x:c r="F37" s="383"/>
      <x:c r="G37" s="384"/>
    </x:row>
    <x:row r="38" ht="24" customHeight="1">
      <x:c r="A38" s="394" t="str">
        <x:v>Dates are fiscal buckets, not specific payment days. See Payment dates for exact period boundaries.</x:v>
      </x:c>
      <x:c r="B38" s="383"/>
      <x:c r="C38" s="383"/>
      <x:c r="D38" s="383"/>
      <x:c r="E38" s="383"/>
      <x:c r="F38" s="383"/>
      <x:c r="G38" s="384"/>
    </x:row>
    <x:row r="39" ht="24" customHeight="1">
      <x:c r="A39" s="394" t="str">
        <x:v>Blank confirmed funding is Unavailable, not zero. No cash pool is allocated to several obligations.</x:v>
      </x:c>
      <x:c r="B39" s="383"/>
      <x:c r="C39" s="383"/>
      <x:c r="D39" s="383"/>
      <x:c r="E39" s="383"/>
      <x:c r="F39" s="383"/>
      <x:c r="G39" s="384"/>
    </x:row>
    <x:row r="40" ht="24" customHeight="1">
      <x:c r="A40" s="394" t="str">
        <x:v>Note and term-loan principal is dated in Payment dates, row 35 onward. Commercial paper and interest dates are Unavailable.</x:v>
      </x:c>
      <x:c r="B40" s="383"/>
      <x:c r="C40" s="383"/>
      <x:c r="D40" s="383"/>
      <x:c r="E40" s="383"/>
      <x:c r="F40" s="383"/>
      <x:c r="G40" s="384"/>
    </x:row>
    <x:row r="41" ht="24" customHeight="1">
      <x:c r="A41" s="393"/>
      <x:c r="B41" s="383"/>
      <x:c r="C41" s="383"/>
      <x:c r="D41" s="383"/>
      <x:c r="E41" s="383"/>
      <x:c r="F41" s="383"/>
      <x:c r="G41" s="384"/>
    </x:row>
    <x:row r="42" ht="24" customHeight="1">
      <x:c r="A42" s="394" t="str">
        <x:v>Historical debt principal at May 31, 2026 — not the remaining August schedule</x:v>
      </x:c>
      <x:c r="B42" s="383"/>
      <x:c r="C42" s="383"/>
      <x:c r="D42" s="383"/>
      <x:c r="E42" s="383"/>
      <x:c r="F42" s="383"/>
      <x:c r="G42" s="384"/>
    </x:row>
    <x:row r="43" ht="48" customHeight="1">
      <x:c r="A43" s="380" t="str">
        <x:v>Historical bucket</x:v>
      </x:c>
      <x:c r="B43" s="381" t="str">
        <x:v>USD millions</x:v>
      </x:c>
      <x:c r="C43" s="381" t="str">
        <x:v>Due from</x:v>
      </x:c>
      <x:c r="D43" s="381" t="str">
        <x:v>Due through</x:v>
      </x:c>
      <x:c r="E43" s="381" t="str">
        <x:v>Basis</x:v>
      </x:c>
      <x:c r="F43" s="382" t="str">
        <x:v>Why not used for coverage?</x:v>
      </x:c>
      <x:c r="G43" s="384"/>
    </x:row>
    <x:row r="44" ht="65" customHeight="1">
      <x:c r="A44" s="385" t="str">
        <x:v>Fiscal 2027</x:v>
      </x:c>
      <x:c r="B44" s="386" t="n">
        <x:f>IF(ISNUMBER('Data'!B51),'Data'!B51,NA())</x:f>
        <x:v>7210000000</x:v>
      </x:c>
      <x:c r="C44" s="401" t="d">
        <x:v>2026-06-01T00:00:00.000Z</x:v>
      </x:c>
      <x:c r="D44" s="401" t="d">
        <x:v>2027-05-31T00:00:00.000Z</x:v>
      </x:c>
      <x:c r="E44" s="387" t="str">
        <x:v>May 31 principal, excluding interest and leases</x:v>
      </x:c>
      <x:c r="F44" s="388" t="str">
        <x:v>Quarter repayments cannot be assigned to these buckets; no August roll-forward is inferred.</x:v>
      </x:c>
      <x:c r="G44" s="384"/>
    </x:row>
    <x:row r="45" ht="65" customHeight="1">
      <x:c r="A45" s="385" t="str">
        <x:v>Fiscal 2028</x:v>
      </x:c>
      <x:c r="B45" s="386" t="n">
        <x:f>IF(ISNUMBER('Data'!B52),'Data'!B52,NA())</x:f>
        <x:v>10145000000</x:v>
      </x:c>
      <x:c r="C45" s="401" t="d">
        <x:v>2027-06-01T00:00:00.000Z</x:v>
      </x:c>
      <x:c r="D45" s="401" t="d">
        <x:v>2028-05-31T00:00:00.000Z</x:v>
      </x:c>
      <x:c r="E45" s="387" t="str">
        <x:v>May 31 principal, excluding interest and leases</x:v>
      </x:c>
      <x:c r="F45" s="388" t="str">
        <x:v>Quarter repayments cannot be assigned to these buckets; no August roll-forward is inferred.</x:v>
      </x:c>
      <x:c r="G45" s="384"/>
    </x:row>
    <x:row r="46" ht="65" customHeight="1">
      <x:c r="A46" s="385" t="str">
        <x:v>Fiscal 2029</x:v>
      </x:c>
      <x:c r="B46" s="386" t="n">
        <x:f>IF(ISNUMBER('Data'!B53),'Data'!B53,NA())</x:f>
        <x:v>5500000000</x:v>
      </x:c>
      <x:c r="C46" s="401" t="d">
        <x:v>2028-06-01T00:00:00.000Z</x:v>
      </x:c>
      <x:c r="D46" s="401" t="d">
        <x:v>2029-05-31T00:00:00.000Z</x:v>
      </x:c>
      <x:c r="E46" s="387" t="str">
        <x:v>May 31 principal, excluding interest and leases</x:v>
      </x:c>
      <x:c r="F46" s="388" t="str">
        <x:v>Quarter repayments cannot be assigned to these buckets; no August roll-forward is inferred.</x:v>
      </x:c>
      <x:c r="G46" s="384"/>
    </x:row>
    <x:row r="47" ht="65" customHeight="1">
      <x:c r="A47" s="385" t="str">
        <x:v>Fiscal 2030</x:v>
      </x:c>
      <x:c r="B47" s="386" t="n">
        <x:f>IF(ISNUMBER('Data'!B54),'Data'!B54,NA())</x:f>
        <x:v>7250000000</x:v>
      </x:c>
      <x:c r="C47" s="401" t="d">
        <x:v>2029-06-01T00:00:00.000Z</x:v>
      </x:c>
      <x:c r="D47" s="401" t="d">
        <x:v>2030-05-31T00:00:00.000Z</x:v>
      </x:c>
      <x:c r="E47" s="387" t="str">
        <x:v>May 31 principal, excluding interest and leases</x:v>
      </x:c>
      <x:c r="F47" s="388" t="str">
        <x:v>Quarter repayments cannot be assigned to these buckets; no August roll-forward is inferred.</x:v>
      </x:c>
      <x:c r="G47" s="384"/>
    </x:row>
    <x:row r="48" ht="65" customHeight="1">
      <x:c r="A48" s="385" t="str">
        <x:v>Fiscal 2031</x:v>
      </x:c>
      <x:c r="B48" s="386" t="n">
        <x:f>IF(ISNUMBER('Data'!B55),'Data'!B55,NA())</x:f>
        <x:v>9750000000</x:v>
      </x:c>
      <x:c r="C48" s="401" t="d">
        <x:v>2030-06-01T00:00:00.000Z</x:v>
      </x:c>
      <x:c r="D48" s="401" t="d">
        <x:v>2031-05-31T00:00:00.000Z</x:v>
      </x:c>
      <x:c r="E48" s="387" t="str">
        <x:v>May 31 principal, excluding interest and leases</x:v>
      </x:c>
      <x:c r="F48" s="388" t="str">
        <x:v>Quarter repayments cannot be assigned to these buckets; no August roll-forward is inferred.</x:v>
      </x:c>
      <x:c r="G48" s="384"/>
    </x:row>
    <x:row r="49" ht="65" customHeight="1">
      <x:c r="A49" s="389" t="str">
        <x:v>Thereafter</x:v>
      </x:c>
      <x:c r="B49" s="390" t="n">
        <x:f>IF(ISNUMBER('Data'!B56),'Data'!B56,NA())</x:f>
        <x:v>90250000000</x:v>
      </x:c>
      <x:c r="C49" s="402" t="d">
        <x:v>2031-06-01T00:00:00.000Z</x:v>
      </x:c>
      <x:c r="D49" s="403"/>
      <x:c r="E49" s="391" t="str">
        <x:v>May 31 principal, excluding interest and leases</x:v>
      </x:c>
      <x:c r="F49" s="392" t="str">
        <x:v>Quarter repayments cannot be assigned to these buckets; no August roll-forward is inferred.</x:v>
      </x:c>
      <x:c r="G49" s="384"/>
    </x:row>
    <x:row r="50" ht="24" customHeight="1">
      <x:c r="A50" s="393"/>
      <x:c r="B50" s="383"/>
      <x:c r="C50" s="383"/>
      <x:c r="D50" s="383"/>
      <x:c r="E50" s="383"/>
      <x:c r="F50" s="383"/>
      <x:c r="G50" s="384"/>
    </x:row>
    <x:row r="51" ht="24" customHeight="1">
      <x:c r="A51" s="394" t="str">
        <x:v>Obligations without usable payment dates</x:v>
      </x:c>
      <x:c r="B51" s="383"/>
      <x:c r="C51" s="383"/>
      <x:c r="D51" s="383"/>
      <x:c r="E51" s="383"/>
      <x:c r="F51" s="383"/>
      <x:c r="G51" s="384"/>
    </x:row>
    <x:row r="52" ht="48" customHeight="1">
      <x:c r="A52" s="380" t="str">
        <x:v>Disclosure</x:v>
      </x:c>
      <x:c r="B52" s="381" t="str">
        <x:v>USD millions</x:v>
      </x:c>
      <x:c r="C52" s="381" t="str">
        <x:v>Payment timing</x:v>
      </x:c>
      <x:c r="D52" s="382" t="str">
        <x:v>Limitation</x:v>
      </x:c>
      <x:c r="E52" s="383"/>
      <x:c r="F52" s="383"/>
      <x:c r="G52" s="384"/>
    </x:row>
    <x:row r="53" ht="100" customHeight="1">
      <x:c r="A53" s="385" t="str">
        <x:v>Commercial paper and interest at August 31</x:v>
      </x:c>
      <x:c r="B53" s="404"/>
      <x:c r="C53" s="387" t="str">
        <x:v>Unavailable</x:v>
      </x:c>
      <x:c r="D53" s="388" t="str">
        <x:v>Senior-note and term-loan principal is dated by instrument in the August 31 principal calendar. Commercial paper's August balance and maturity dates, and interest payment amounts, are Unavailable. Quarter repayments are not assigned to instruments.</x:v>
      </x:c>
      <x:c r="E53" s="383"/>
      <x:c r="F53" s="383"/>
      <x:c r="G53" s="384"/>
    </x:row>
    <x:row r="54" ht="100" customHeight="1">
      <x:c r="A54" s="385" t="str">
        <x:v>Operating leases not yet commenced</x:v>
      </x:c>
      <x:c r="B54" s="386" t="n">
        <x:f>IF(ISNUMBER('Data'!B22),'Data'!B22,NA())</x:f>
        <x:v>288000000000</x:v>
      </x:c>
      <x:c r="C54" s="387" t="str">
        <x:v>Unavailable</x:v>
      </x:c>
      <x:c r="D54" s="388" t="str">
        <x:v>Expected commencement in FY2027–2029 and 15–19 year terms do not establish payment dates. Annual amounts and overlap with other commitments are Unavailable.</x:v>
      </x:c>
      <x:c r="E54" s="383"/>
      <x:c r="F54" s="383"/>
      <x:c r="G54" s="384"/>
    </x:row>
    <x:row r="55" ht="100" customHeight="1">
      <x:c r="A55" s="389" t="str">
        <x:v>Unpaid capital expenditures</x:v>
      </x:c>
      <x:c r="B55" s="390" t="n">
        <x:f>IF(ISNUMBER('Data'!B18),'Data'!B18,NA())</x:f>
        <x:v>6247000000</x:v>
      </x:c>
      <x:c r="C55" s="391" t="str">
        <x:v>Unavailable</x:v>
      </x:c>
      <x:c r="D55" s="392" t="str">
        <x:v>Noncash quarter disclosure. Payment dates and overlap with purchase obligations are Unavailable. It is not added to historical cash capex.</x:v>
      </x:c>
      <x:c r="E55" s="383"/>
      <x:c r="F55" s="383"/>
      <x:c r="G55" s="384"/>
    </x:row>
    <x:row r="56" ht="24" customHeight="1">
      <x:c r="A56" s="379"/>
      <x:c r="B56" s="376"/>
      <x:c r="C56" s="376"/>
      <x:c r="D56" s="376"/>
      <x:c r="E56" s="376"/>
      <x:c r="F56" s="376"/>
      <x:c r="G56" s="377"/>
    </x:row>
    <x:row r="57" ht="24" customHeight="1">
      <x:c r="A57" s="378" t="str">
        <x:v>Revolver availability by evidence date</x:v>
      </x:c>
      <x:c r="B57" s="376"/>
      <x:c r="C57" s="376"/>
      <x:c r="D57" s="376"/>
      <x:c r="E57" s="376"/>
      <x:c r="F57" s="376"/>
      <x:c r="G57" s="377"/>
    </x:row>
    <x:row r="58" ht="52" customHeight="1">
      <x:c r="A58" s="380" t="str">
        <x:v>Evidence date</x:v>
      </x:c>
      <x:c r="B58" s="381" t="str">
        <x:v>Commitment, USD millions</x:v>
      </x:c>
      <x:c r="C58" s="381" t="str">
        <x:v>Advances, USD millions</x:v>
      </x:c>
      <x:c r="D58" s="381" t="str">
        <x:v>Undrawn commitment, USD millions</x:v>
      </x:c>
      <x:c r="E58" s="381" t="str">
        <x:v>Drawable capacity</x:v>
      </x:c>
      <x:c r="F58" s="381" t="str">
        <x:v>Covenant evidence</x:v>
      </x:c>
      <x:c r="G58" s="396" t="str">
        <x:v>Date-specific limit</x:v>
      </x:c>
    </x:row>
    <x:row r="59" ht="100" customHeight="1">
      <x:c r="A59" s="405" t="d">
        <x:v>2026-03-06T00:00:00.000Z</x:v>
      </x:c>
      <x:c r="B59" s="386" t="n">
        <x:f>IF(ISNUMBER('Data'!B57),'Data'!B57,NA())</x:f>
        <x:v>10000000000</x:v>
      </x:c>
      <x:c r="C59" s="404"/>
      <x:c r="D59" s="397"/>
      <x:c r="E59" s="387" t="str">
        <x:v>Unavailable</x:v>
      </x:c>
      <x:c r="F59" s="387" t="str">
        <x:v>Unavailable: no borrowing-date compliance evidence in the agreement.</x:v>
      </x:c>
      <x:c r="G59" s="398" t="str">
        <x:v>Original contractual commitment. The agreement does not establish actual borrowings on this date. Unavailable: same-date commitment, outstanding advances and draw conditions are not established.</x:v>
      </x:c>
    </x:row>
    <x:row r="60" ht="100" customHeight="1">
      <x:c r="A60" s="405" t="d">
        <x:v>2026-05-31T00:00:00.000Z</x:v>
      </x:c>
      <x:c r="B60" s="386" t="n">
        <x:f>IF(ISNUMBER('Data'!B60),'Data'!B60,NA())</x:f>
        <x:v>10000000000</x:v>
      </x:c>
      <x:c r="C60" s="386" t="n">
        <x:f>IF(ISNUMBER('Data'!B58),'Data'!B58,NA())</x:f>
        <x:v>0</x:v>
      </x:c>
      <x:c r="D60" s="406" t="n">
        <x:f>IF(COUNT(B60:C60)=2,B60-C60,NA())</x:f>
        <x:v>10000000000</x:v>
      </x:c>
      <x:c r="E60" s="387" t="str">
        <x:v>Unavailable</x:v>
      </x:c>
      <x:c r="F60" s="387" t="str">
        <x:v>Reported compliant with debt-related covenants at May 31. Ratio and headroom not disclosed.</x:v>
      </x:c>
      <x:c r="G60" s="398" t="str">
        <x:v>The 10-K confirms the $10B facility and zero outstanding borrowing. Undrawn commitment is arithmetic, not a verified draw authorization. Unavailable: public evidence does not establish all conditions for a specific borrowing.</x:v>
      </x:c>
    </x:row>
    <x:row r="61" ht="100" customHeight="1">
      <x:c r="A61" s="407" t="d">
        <x:v>2026-08-31T00:00:00.000Z</x:v>
      </x:c>
      <x:c r="B61" s="399"/>
      <x:c r="C61" s="399"/>
      <x:c r="D61" s="399"/>
      <x:c r="E61" s="391" t="str">
        <x:v>Unavailable</x:v>
      </x:c>
      <x:c r="F61" s="391" t="str">
        <x:v>Unavailable: no updated revolver compliance statement or contract ratio in this 10-Q.</x:v>
      </x:c>
      <x:c r="G61" s="400" t="str">
        <x:v>The 10-Q does not update the revolver commitment or borrowing balance. Other borrowing and repayment lines cannot identify revolver use. Unavailable: same-date commitment, outstanding advances and draw conditions are not established.</x:v>
      </x:c>
    </x:row>
    <x:row r="62" ht="24" customHeight="1">
      <x:c r="A62" s="393"/>
      <x:c r="B62" s="383"/>
      <x:c r="C62" s="383"/>
      <x:c r="D62" s="383"/>
      <x:c r="E62" s="383"/>
      <x:c r="F62" s="383"/>
      <x:c r="G62" s="384"/>
    </x:row>
    <x:row r="63" ht="24" customHeight="1">
      <x:c r="A63" s="394" t="str">
        <x:v>Revolver contract terms. Source evidence is on Data.</x:v>
      </x:c>
      <x:c r="B63" s="383"/>
      <x:c r="C63" s="383"/>
      <x:c r="D63" s="383"/>
      <x:c r="E63" s="383"/>
      <x:c r="F63" s="383"/>
      <x:c r="G63" s="384"/>
    </x:row>
    <x:row r="64" ht="52" customHeight="1">
      <x:c r="A64" s="380" t="str">
        <x:v>Term</x:v>
      </x:c>
      <x:c r="B64" s="381" t="str">
        <x:v>USD millions, if applicable</x:v>
      </x:c>
      <x:c r="C64" s="381" t="str">
        <x:v>Filing location</x:v>
      </x:c>
      <x:c r="D64" s="382" t="str">
        <x:v>Interpretation / condition</x:v>
      </x:c>
      <x:c r="E64" s="383"/>
      <x:c r="F64" s="383"/>
      <x:c r="G64" s="384"/>
    </x:row>
    <x:row r="65" ht="48" customHeight="1">
      <x:c r="A65" s="385" t="str">
        <x:v>Replacement of the old facility</x:v>
      </x:c>
      <x:c r="B65" s="397"/>
      <x:c r="C65" s="387" t="str">
        <x:v>10-K Note 6, p. 85</x:v>
      </x:c>
      <x:c r="D65" s="388" t="str">
        <x:f>'Data'!O62</x:f>
        <x:v>The old $6B revolver was terminated on March 6, 2026 when the new $10B facility was entered. They are not two concurrent commitments.</x:v>
      </x:c>
      <x:c r="E65" s="383"/>
      <x:c r="F65" s="383"/>
      <x:c r="G65" s="384"/>
    </x:row>
    <x:row r="66" ht="85" customHeight="1">
      <x:c r="A66" s="385" t="str">
        <x:v>Exposure and letters of credit</x:v>
      </x:c>
      <x:c r="B66" s="397"/>
      <x:c r="C66" s="387" t="str">
        <x:v>§1.01 Revolving Credit Exposure; §2.01</x:v>
      </x:c>
      <x:c r="D66" s="388" t="str">
        <x:f>'Data'!O63</x:f>
        <x:v>Exposure is defined as outstanding advances. No letter-of-credit issuance subfacility or LC deduction is specified in these operative provisions. Generic Debt and interest definitions mention LCs; they do not create a facility LC sublimit. Company-wide LC usage is Unavailable, not assumed zero.</x:v>
      </x:c>
      <x:c r="E66" s="383"/>
      <x:c r="F66" s="383"/>
      <x:c r="G66" s="384"/>
    </x:row>
    <x:row r="67" ht="95" customHeight="1">
      <x:c r="A67" s="385" t="str">
        <x:v>Reductions and termination</x:v>
      </x:c>
      <x:c r="B67" s="397"/>
      <x:c r="C67" s="387" t="str">
        <x:v>§§2.04, 7.01</x:v>
      </x:c>
      <x:c r="D67" s="388" t="str">
        <x:f>'Data'!O64</x:f>
        <x:v>Oracle may reduce unused commitments on at least three business days' notice. Partial reductions are at least $10M, then $1M increments, and cannot leave commitments below outstanding exposure. Terminated commitments cannot be reinstated. Default provisions can accelerate advances and terminate commitments. No later reduction amount is established by the saved filings.</x:v>
      </x:c>
      <x:c r="E67" s="383"/>
      <x:c r="F67" s="383"/>
      <x:c r="G67" s="384"/>
    </x:row>
    <x:row r="68" ht="72" customHeight="1">
      <x:c r="A68" s="385" t="str">
        <x:v>Conditional increase ceiling</x:v>
      </x:c>
      <x:c r="B68" s="386" t="n">
        <x:f>IF(ISNUMBER('Data'!B61),'Data'!B61,NA())</x:f>
        <x:v>12000000000</x:v>
      </x:c>
      <x:c r="C68" s="387" t="str">
        <x:v>§2.05, especially (d)</x:v>
      </x:c>
      <x:c r="D68" s="388" t="str">
        <x:f>'Data'!O65</x:f>
        <x:v>The agreement permits aggregate commitments up to $12B, subject to conditions and willing existing or additional lenders. This is an option ceiling, not a $12B commitment or $2B of available funding. No exercised increase is established by the saved filings.</x:v>
      </x:c>
      <x:c r="E68" s="383"/>
      <x:c r="F68" s="383"/>
      <x:c r="G68" s="384"/>
    </x:row>
    <x:row r="69" ht="105" customHeight="1">
      <x:c r="A69" s="385" t="str">
        <x:v>Borrowing procedure and conditions</x:v>
      </x:c>
      <x:c r="B69" s="397"/>
      <x:c r="C69" s="387" t="str">
        <x:v>§§2.02, 4.02</x:v>
      </x:c>
      <x:c r="D69" s="388" t="str">
        <x:f>'Data'!O66</x:f>
        <x:v>Notice is due by 11 a.m. New York time three business days before a Term SOFR borrowing, or on the borrowing day for Base Rate. Specified representations must hold, subject to the agreement's exceptions and materiality terms, before and after the borrowing and use of proceeds. No Default or Event of Default may be continuing or result. Public filings do not supply a borrowing-specific confirmation.</x:v>
      </x:c>
      <x:c r="E69" s="383"/>
      <x:c r="F69" s="383"/>
      <x:c r="G69" s="384"/>
    </x:row>
    <x:row r="70" ht="125" customHeight="1">
      <x:c r="A70" s="385" t="str">
        <x:v>Covenant and evidence needed</x:v>
      </x:c>
      <x:c r="B70" s="397"/>
      <x:c r="C70" s="387" t="str">
        <x:v>§§1.01, 6.01(f)(iii), 6.02(c)</x:v>
      </x:c>
      <x:c r="D70" s="388" t="str">
        <x:f>'Data'!O67</x:f>
        <x:v>The contract ratio must be at least 3.0x at fiscal quarter-end. It uses four-quarter contract EBITDA and net cash interest, with specified adjustments and acquisition rules. EBITDA includes specified cash and noncash addbacks. Cash interest includes finance-lease interest and net swap costs, excludes LC fees, and is reduced by cash interest income. The agreement requires a no-default certificate with financial reports; no such separate certificate is in the saved set. Generic operating-income coverage cannot establish covenant headroom.</x:v>
      </x:c>
      <x:c r="E70" s="383"/>
      <x:c r="F70" s="383"/>
      <x:c r="G70" s="384"/>
    </x:row>
    <x:row r="71" ht="65" customHeight="1">
      <x:c r="A71" s="385" t="str">
        <x:v>Permitted uses</x:v>
      </x:c>
      <x:c r="B71" s="397"/>
      <x:c r="C71" s="387" t="str">
        <x:v>§§2.21, 6.01(g)</x:v>
      </x:c>
      <x:c r="D71" s="388" t="str">
        <x:f>'Data'!O68</x:f>
        <x:v>Working capital and other general corporate purposes, subject to Regulation U/X and sanctions, anti-corruption, anti-bribery and anti-money-laundering restrictions. No allocation to a particular repayment is established.</x:v>
      </x:c>
      <x:c r="E71" s="383"/>
      <x:c r="F71" s="383"/>
      <x:c r="G71" s="384"/>
    </x:row>
    <x:row r="72" ht="100" customHeight="1">
      <x:c r="A72" s="389" t="str">
        <x:v>Expiration and extensions</x:v>
      </x:c>
      <x:c r="B72" s="399"/>
      <x:c r="C72" s="391" t="str">
        <x:v>§§1.01, 2.06, 2.07</x:v>
      </x:c>
      <x:c r="D72" s="392" t="str">
        <x:f>'Data'!O69</x:f>
        <x:v>Original maturity is March 6, 2031, subject to earlier termination. Up to two 365-day extensions may be requested. Each lender elects independently; extending and replacement commitments must exceed 50% of the prior total, and extension conditions apply. Non-extending lenders keep their dates. No exercised extension is established by the saved filings.</x:v>
      </x:c>
      <x:c r="E72" s="383"/>
      <x:c r="F72" s="383"/>
      <x:c r="G72" s="384"/>
    </x:row>
    <x:row r="73" ht="24" customHeight="1">
      <x:c r="A73" s="393"/>
      <x:c r="B73" s="383"/>
      <x:c r="C73" s="383"/>
      <x:c r="D73" s="383"/>
      <x:c r="E73" s="383"/>
      <x:c r="F73" s="383"/>
      <x:c r="G73" s="384"/>
    </x:row>
    <x:row r="74" ht="24" customHeight="1">
      <x:c r="A74" s="394" t="str">
        <x:v>Later saved filings. Balances are not carried forward.</x:v>
      </x:c>
      <x:c r="B74" s="383"/>
      <x:c r="C74" s="383"/>
      <x:c r="D74" s="383"/>
      <x:c r="E74" s="383"/>
      <x:c r="F74" s="383"/>
      <x:c r="G74" s="384"/>
    </x:row>
    <x:row r="75" ht="52" customHeight="1">
      <x:c r="A75" s="380" t="str">
        <x:v>Filed</x:v>
      </x:c>
      <x:c r="B75" s="381" t="str">
        <x:v>Documents checked</x:v>
      </x:c>
      <x:c r="C75" s="381" t="str">
        <x:v>Event date</x:v>
      </x:c>
      <x:c r="D75" s="382" t="str">
        <x:v>Revolver finding</x:v>
      </x:c>
      <x:c r="E75" s="383"/>
      <x:c r="F75" s="383"/>
      <x:c r="G75" s="384"/>
    </x:row>
    <x:row r="76" ht="75" customHeight="1">
      <x:c r="A76" s="405" t="d">
        <x:v>2026-09-10T00:00:00.000Z</x:v>
      </x:c>
      <x:c r="B76" s="387" t="str">
        <x:v>8-K and Exhibit 99.1</x:v>
      </x:c>
      <x:c r="C76" s="401" t="d">
        <x:v>2026-09-10T00:00:00.000Z</x:v>
      </x:c>
      <x:c r="D76" s="388" t="str">
        <x:v>Results, the already completed equity sale and dividends. No updated revolver balance, increase, reduction, extension or drawable amount established.</x:v>
      </x:c>
      <x:c r="E76" s="383"/>
      <x:c r="F76" s="383"/>
      <x:c r="G76" s="384"/>
    </x:row>
    <x:row r="77" ht="75" customHeight="1">
      <x:c r="A77" s="407" t="d">
        <x:v>2026-09-14T00:00:00.000Z</x:v>
      </x:c>
      <x:c r="B77" s="391" t="str">
        <x:v>8-K and Exhibit 99.1</x:v>
      </x:c>
      <x:c r="C77" s="402" t="d">
        <x:v>2026-09-12T00:00:00.000Z</x:v>
      </x:c>
      <x:c r="D77" s="392" t="str">
        <x:v>Filed September 14 for the September 12 insider trading-plan cancellation. No corporate revolver update established.</x:v>
      </x:c>
      <x:c r="E77" s="383"/>
      <x:c r="F77" s="383"/>
      <x:c r="G77" s="384"/>
    </x:row>
    <x:row r="78" ht="24" customHeight="1">
      <x:c r="A78" s="393"/>
      <x:c r="B78" s="383"/>
      <x:c r="C78" s="383"/>
      <x:c r="D78" s="383"/>
      <x:c r="E78" s="383"/>
      <x:c r="F78" s="383"/>
      <x:c r="G78" s="384"/>
    </x:row>
    <x:row r="79" ht="145" customHeight="1">
      <x:c r="A79" s="394" t="str">
        <x:v>Saved-source scope</x:v>
      </x:c>
      <x:c r="B79" s="383"/>
      <x:c r="C79" s="383"/>
      <x:c r="D79" s="395" t="str">
        <x:v>Revolver terms use seven saved filing/contract documents: the May 31 10-K, August 31 10-Q, March 6 credit agreement, and September 10 and September 14 8-Ks with their exhibits. A separate SEC financing-candidate index check covers August 31 through October 15, 2026. It lists only those two later 8-Ks, whose main documents and exhibits were reviewed. No additional candidate or financing update is established through that cutoff. This is not a complete review of all liability disclosures or a live filing update.</x:v>
      </x:c>
      <x:c r="E79" s="383"/>
      <x:c r="F79" s="383"/>
      <x:c r="G79" s="384"/>
    </x:row>
    <x:row r="80" ht="24" customHeight="1">
      <x:c r="A80" s="379"/>
      <x:c r="B80" s="376"/>
      <x:c r="C80" s="376"/>
      <x:c r="D80" s="376"/>
      <x:c r="E80" s="376"/>
      <x:c r="F80" s="376"/>
      <x:c r="G80" s="377"/>
    </x:row>
    <x:row r="81" ht="24" customHeight="1">
      <x:c r="A81" s="378" t="str">
        <x:v>Blank commitment, advances or undrawn cells mean Unavailable. A dash is a reported zero.</x:v>
      </x:c>
      <x:c r="B81" s="376"/>
      <x:c r="C81" s="376"/>
      <x:c r="D81" s="376"/>
      <x:c r="E81" s="376"/>
      <x:c r="F81" s="376"/>
      <x:c r="G81" s="377"/>
    </x:row>
  </x:sheetData>
  <x:pageMargins left="0.7" right="0.7" top="0.75" bottom="0.75" header="0.3" footer="0.3"/>
</x:worksheet>
</file>

<file path=xl/worksheets/sheet7.xml><?xml version="1.0" encoding="utf-8"?>
<x:worksheet xmlns:ns1="http://schemas.openxmlformats.org/officeDocument/2006/relationships" xmlns:x="http://schemas.openxmlformats.org/spreadsheetml/2006/main">
  <x:sheetViews>
    <x:sheetView showGridLines="0" workbookViewId="0"/>
  </x:sheetViews>
  <x:sheetFormatPr defaultRowHeight="15"/>
  <x:cols>
    <x:col min="1" max="1" width="53" hidden="0" customWidth="1"/>
    <x:col min="2" max="2" width="20" hidden="0" customWidth="1"/>
    <x:col min="3" max="3" width="20" hidden="0" customWidth="1"/>
    <x:col min="4" max="4" width="11" hidden="0" customWidth="1"/>
    <x:col min="5" max="5" width="11" hidden="0" customWidth="1"/>
    <x:col min="6" max="6" width="11" hidden="0" customWidth="1"/>
    <x:col min="7" max="7" width="11" hidden="0" customWidth="1"/>
    <x:col min="8" max="8" width="26" hidden="0" customWidth="1"/>
    <x:col min="9" max="9" width="11" hidden="0" customWidth="1"/>
    <x:col min="10" max="10" width="11" hidden="0" customWidth="1"/>
    <x:col min="11" max="11" width="11" hidden="0" customWidth="1"/>
    <x:col min="12" max="12" width="11" hidden="0" customWidth="1"/>
    <x:col min="13" max="13" width="11" hidden="0" customWidth="1"/>
    <x:col min="14" max="14" width="11" hidden="0" customWidth="1"/>
    <x:col min="15" max="15" width="11" hidden="0" customWidth="1"/>
    <x:col min="16" max="16" width="11" hidden="0" customWidth="1"/>
    <x:col min="17" max="17" width="11" hidden="0" customWidth="1"/>
  </x:cols>
  <x:sheetData>
    <x:row r="2" ht="24" customHeight="1">
      <x:c r="A2" s="375" t="str">
        <x:v>Oracle cash sources and uses</x:v>
      </x:c>
      <x:c r="B2" s="376"/>
      <x:c r="C2" s="376"/>
      <x:c r="D2" s="376"/>
      <x:c r="E2" s="376"/>
      <x:c r="F2" s="376"/>
      <x:c r="G2" s="376"/>
      <x:c r="H2" s="376"/>
      <x:c r="I2" s="377"/>
    </x:row>
    <x:row r="3" ht="24" customHeight="1">
      <x:c r="A3" s="408" t="str">
        <x:v>June 1–August 31, 2026. USD millions. Cash totals include restricted cash.</x:v>
      </x:c>
      <x:c r="B3" s="376"/>
      <x:c r="C3" s="376"/>
      <x:c r="D3" s="376"/>
      <x:c r="E3" s="376"/>
      <x:c r="F3" s="376"/>
      <x:c r="G3" s="376"/>
      <x:c r="H3" s="376"/>
      <x:c r="I3" s="377"/>
    </x:row>
    <x:row r="4" ht="24" customHeight="1">
      <x:c r="A4" s="409" t="str">
        <x:v>Quarter cash analysis</x:v>
      </x:c>
      <x:c r="B4" s="410" t="str">
        <x:v>USD millions</x:v>
      </x:c>
      <x:c r="C4" s="376"/>
      <x:c r="D4" s="411" t="str">
        <x:v>June–August 2026. USD millions. The second bar subtracts specified prepayments from OCF.</x:v>
      </x:c>
      <x:c r="E4" s="376"/>
      <x:c r="F4" s="376"/>
      <x:c r="G4" s="376"/>
      <x:c r="H4" s="376"/>
      <x:c r="I4" s="377"/>
    </x:row>
    <x:row r="5" ht="30" customHeight="1">
      <x:c r="A5" s="385" t="str">
        <x:v>Opening cash, including restricted</x:v>
      </x:c>
      <x:c r="B5" s="412" t="n">
        <x:f>IF(ISNUMBER('Data'!B19),'Data'!B19,NA())</x:f>
        <x:v>31289000000</x:v>
      </x:c>
      <x:c r="C5" s="376"/>
      <x:c r="D5" s="383"/>
      <x:c r="E5" s="376"/>
      <x:c r="F5" s="376"/>
      <x:c r="G5" s="376"/>
      <x:c r="H5" s="376"/>
      <x:c r="I5" s="377"/>
    </x:row>
    <x:row r="6" ht="30" customHeight="1">
      <x:c r="A6" s="385" t="str">
        <x:v>Reported operating cash flow</x:v>
      </x:c>
      <x:c r="B6" s="412" t="n">
        <x:f>IF(ISNUMBER('Data'!B2),'Data'!B2,NA())</x:f>
        <x:v>23103000000</x:v>
      </x:c>
      <x:c r="C6" s="376"/>
      <x:c r="D6" s="383"/>
      <x:c r="E6" s="376"/>
      <x:c r="F6" s="376"/>
      <x:c r="G6" s="376"/>
      <x:c r="H6" s="376"/>
      <x:c r="I6" s="377"/>
    </x:row>
    <x:row r="7" ht="30" customHeight="1">
      <x:c r="A7" s="385" t="str">
        <x:v>Specified customer-prepayment contribution</x:v>
      </x:c>
      <x:c r="B7" s="412" t="n">
        <x:f>IF(ISNUMBER('Data'!B3),'Data'!B3,NA())</x:f>
        <x:v>11363000000</x:v>
      </x:c>
      <x:c r="C7" s="376"/>
      <x:c r="D7" s="383"/>
      <x:c r="E7" s="376"/>
      <x:c r="F7" s="376"/>
      <x:c r="G7" s="376"/>
      <x:c r="H7" s="376"/>
      <x:c r="I7" s="377"/>
    </x:row>
    <x:row r="8" ht="30" customHeight="1">
      <x:c r="A8" s="413" t="str">
        <x:v>OCF less specified prepayments</x:v>
      </x:c>
      <x:c r="B8" s="414" t="n">
        <x:f>B6-B7</x:f>
        <x:v>11740000000</x:v>
      </x:c>
      <x:c r="C8" s="376"/>
      <x:c r="D8" s="383"/>
      <x:c r="E8" s="376"/>
      <x:c r="F8" s="376"/>
      <x:c r="G8" s="376"/>
      <x:c r="H8" s="376"/>
      <x:c r="I8" s="377"/>
    </x:row>
    <x:row r="9" ht="30" customHeight="1">
      <x:c r="A9" s="385" t="str">
        <x:v>ATM equity proceeds, net</x:v>
      </x:c>
      <x:c r="B9" s="412" t="n">
        <x:f>IF(ISNUMBER('Data'!B8),'Data'!B8,NA())</x:f>
        <x:v>19909000000</x:v>
      </x:c>
      <x:c r="C9" s="376"/>
      <x:c r="D9" s="383"/>
      <x:c r="E9" s="376"/>
      <x:c r="F9" s="376"/>
      <x:c r="G9" s="376"/>
      <x:c r="H9" s="376"/>
      <x:c r="I9" s="377"/>
    </x:row>
    <x:row r="10" ht="30" customHeight="1">
      <x:c r="A10" s="385" t="str">
        <x:v>Cash capital spending</x:v>
      </x:c>
      <x:c r="B10" s="412" t="n">
        <x:f>IF(ISNUMBER('Data'!B4),'Data'!B4,NA())</x:f>
        <x:v>28499000000</x:v>
      </x:c>
      <x:c r="C10" s="376"/>
      <x:c r="D10" s="383"/>
      <x:c r="E10" s="376"/>
      <x:c r="F10" s="376"/>
      <x:c r="G10" s="376"/>
      <x:c r="H10" s="376"/>
      <x:c r="I10" s="377"/>
    </x:row>
    <x:row r="11" ht="30" customHeight="1">
      <x:c r="A11" s="413" t="str">
        <x:v>Reported OCF less cash capex</x:v>
      </x:c>
      <x:c r="B11" s="415" t="n">
        <x:f>B6-B10</x:f>
        <x:v>-5396000000</x:v>
      </x:c>
      <x:c r="C11" s="376"/>
      <x:c r="D11" s="383"/>
      <x:c r="E11" s="376"/>
      <x:c r="F11" s="376"/>
      <x:c r="G11" s="376"/>
      <x:c r="H11" s="376"/>
      <x:c r="I11" s="377"/>
    </x:row>
    <x:row r="12" ht="30" customHeight="1">
      <x:c r="A12" s="416" t="str">
        <x:v>OCF less specified prepayments and capex</x:v>
      </x:c>
      <x:c r="B12" s="417" t="n">
        <x:f>B8-B10</x:f>
        <x:v>-16759000000</x:v>
      </x:c>
      <x:c r="C12" s="376"/>
      <x:c r="D12" s="383"/>
      <x:c r="E12" s="376"/>
      <x:c r="F12" s="376"/>
      <x:c r="G12" s="376"/>
      <x:c r="H12" s="376"/>
      <x:c r="I12" s="377"/>
    </x:row>
    <x:row r="13" ht="30" customHeight="1">
      <x:c r="A13" s="418" t="str">
        <x:v>Cash dividends</x:v>
      </x:c>
      <x:c r="B13" s="419" t="n">
        <x:f>IF(ISNUMBER('Data'!B10),'Data'!B10,NA())</x:f>
        <x:v>1565000000</x:v>
      </x:c>
      <x:c r="C13" s="376"/>
      <x:c r="D13" s="383"/>
      <x:c r="E13" s="376"/>
      <x:c r="F13" s="376"/>
      <x:c r="G13" s="376"/>
      <x:c r="H13" s="376"/>
      <x:c r="I13" s="377"/>
    </x:row>
    <x:row r="14" ht="30" customHeight="1">
      <x:c r="A14" s="385" t="str">
        <x:v>Grouped debt repayments</x:v>
      </x:c>
      <x:c r="B14" s="412" t="n">
        <x:f>IF(ISNUMBER('Data'!B13),'Data'!B13,NA())</x:f>
        <x:v>4202000000</x:v>
      </x:c>
      <x:c r="C14" s="376"/>
      <x:c r="D14" s="383"/>
      <x:c r="E14" s="376"/>
      <x:c r="F14" s="376"/>
      <x:c r="G14" s="376"/>
      <x:c r="H14" s="376"/>
      <x:c r="I14" s="377"/>
    </x:row>
    <x:row r="15" ht="30" customHeight="1">
      <x:c r="A15" s="385" t="str">
        <x:v>Other cash flows, net</x:v>
      </x:c>
      <x:c r="B15" s="412" t="n">
        <x:f>IF(COUNT('Data'!B5,'Data'!B6,'Data'!B9,'Data'!B11,'Data'!B12,'Data'!B14,'Data'!B16)=7,-'Data'!B5+'Data'!B6+'Data'!B9-'Data'!B11+'Data'!B12+'Data'!B14+'Data'!B16,NA())</x:f>
        <x:v>-1101000000</x:v>
      </x:c>
      <x:c r="C15" s="376"/>
      <x:c r="D15" s="383"/>
      <x:c r="E15" s="376"/>
      <x:c r="F15" s="376"/>
      <x:c r="G15" s="376"/>
      <x:c r="H15" s="376"/>
      <x:c r="I15" s="377"/>
    </x:row>
    <x:row r="16" ht="30" customHeight="1">
      <x:c r="A16" s="413" t="str">
        <x:v>Calculated cash increase</x:v>
      </x:c>
      <x:c r="B16" s="415" t="n">
        <x:f>B6+B9-B10-B13-B14+B15</x:f>
        <x:v>7645000000</x:v>
      </x:c>
      <x:c r="C16" s="376"/>
      <x:c r="D16" s="383"/>
      <x:c r="E16" s="376"/>
      <x:c r="F16" s="376"/>
      <x:c r="G16" s="376"/>
      <x:c r="H16" s="376"/>
      <x:c r="I16" s="377"/>
    </x:row>
    <x:row r="17" ht="30" customHeight="1">
      <x:c r="A17" s="413" t="str">
        <x:v>Calculated ending cash, including restricted</x:v>
      </x:c>
      <x:c r="B17" s="415" t="n">
        <x:f>B5+B16</x:f>
        <x:v>38934000000</x:v>
      </x:c>
      <x:c r="C17" s="376"/>
      <x:c r="D17" s="383"/>
      <x:c r="E17" s="376"/>
      <x:c r="F17" s="376"/>
      <x:c r="G17" s="376"/>
      <x:c r="H17" s="376"/>
      <x:c r="I17" s="377"/>
    </x:row>
    <x:row r="18" ht="30" customHeight="1">
      <x:c r="A18" s="385" t="str">
        <x:v>Reported ending cash, including restricted</x:v>
      </x:c>
      <x:c r="B18" s="412" t="n">
        <x:f>IF(ISNUMBER('Data'!B20),'Data'!B20,NA())</x:f>
        <x:v>38934000000</x:v>
      </x:c>
      <x:c r="C18" s="376"/>
      <x:c r="D18" s="383"/>
      <x:c r="E18" s="376"/>
      <x:c r="F18" s="376"/>
      <x:c r="G18" s="376"/>
      <x:c r="H18" s="376"/>
      <x:c r="I18" s="377"/>
    </x:row>
    <x:row r="19" ht="30" customHeight="1">
      <x:c r="A19" s="385" t="str">
        <x:v>Ending-cash reconciliation difference</x:v>
      </x:c>
      <x:c r="B19" s="420" t="n">
        <x:f>B17-B18</x:f>
        <x:v>0</x:v>
      </x:c>
      <x:c r="C19" s="376"/>
      <x:c r="D19" s="383"/>
      <x:c r="E19" s="376"/>
      <x:c r="F19" s="376"/>
      <x:c r="G19" s="376"/>
      <x:c r="H19" s="376"/>
      <x:c r="I19" s="377"/>
    </x:row>
    <x:row r="20" ht="30" customHeight="1">
      <x:c r="A20" s="413" t="str">
        <x:v>Balance-sheet cash excluding restricted</x:v>
      </x:c>
      <x:c r="B20" s="421" t="n">
        <x:f>IF(ISNUMBER('Data'!B21),'Data'!B21,NA())</x:f>
        <x:v>36369000000</x:v>
      </x:c>
      <x:c r="C20" s="376"/>
      <x:c r="D20" s="383"/>
      <x:c r="E20" s="376"/>
      <x:c r="F20" s="376"/>
      <x:c r="G20" s="376"/>
      <x:c r="H20" s="376"/>
      <x:c r="I20" s="377"/>
    </x:row>
    <x:row r="21" ht="30" customHeight="1">
      <x:c r="A21" s="385" t="str">
        <x:v>Restricted cash at August 31</x:v>
      </x:c>
      <x:c r="B21" s="422" t="n">
        <x:f>B18-B20</x:f>
        <x:v>2565000000</x:v>
      </x:c>
      <x:c r="C21" s="376"/>
      <x:c r="D21" s="383"/>
      <x:c r="E21" s="376"/>
      <x:c r="F21" s="376"/>
      <x:c r="G21" s="376"/>
      <x:c r="H21" s="376"/>
      <x:c r="I21" s="377"/>
    </x:row>
    <x:row r="22" ht="30" customHeight="1">
      <x:c r="A22" s="385" t="str">
        <x:v>Reported cash increase</x:v>
      </x:c>
      <x:c r="B22" s="412" t="n">
        <x:f>IF(ISNUMBER('Data'!B17),'Data'!B17,NA())</x:f>
        <x:v>7645000000</x:v>
      </x:c>
      <x:c r="C22" s="376"/>
      <x:c r="D22" s="411" t="str">
        <x:v>Reported OCF less capex = B6 − B10.</x:v>
      </x:c>
      <x:c r="E22" s="376"/>
      <x:c r="F22" s="376"/>
      <x:c r="G22" s="376"/>
      <x:c r="H22" s="376"/>
      <x:c r="I22" s="377"/>
    </x:row>
    <x:row r="23" ht="30" customHeight="1">
      <x:c r="A23" s="389" t="str">
        <x:v>Cash-increase reconciliation difference</x:v>
      </x:c>
      <x:c r="B23" s="423" t="n">
        <x:f>B16-B22</x:f>
        <x:v>0</x:v>
      </x:c>
      <x:c r="C23" s="376"/>
      <x:c r="D23" s="411" t="str">
        <x:v>Excluding specified prepayments = B8 − B10.</x:v>
      </x:c>
      <x:c r="E23" s="376"/>
      <x:c r="F23" s="376"/>
      <x:c r="G23" s="376"/>
      <x:c r="H23" s="376"/>
      <x:c r="I23" s="377"/>
    </x:row>
    <x:row r="24" ht="30" customHeight="1">
      <x:c r="A24" s="393"/>
      <x:c r="B24" s="424"/>
      <x:c r="C24" s="376"/>
      <x:c r="D24" s="376"/>
      <x:c r="E24" s="376"/>
      <x:c r="F24" s="376"/>
      <x:c r="G24" s="376"/>
      <x:c r="H24" s="376"/>
      <x:c r="I24" s="377"/>
    </x:row>
    <x:row r="25" ht="30" customHeight="1">
      <x:c r="A25" s="413" t="str">
        <x:v>Cash increase less ATM equity proceeds</x:v>
      </x:c>
      <x:c r="B25" s="415" t="n">
        <x:f>B16-B9</x:f>
        <x:v>-12264000000</x:v>
      </x:c>
      <x:c r="C25" s="376"/>
      <x:c r="D25" s="411" t="str">
        <x:v>The prepayment exclusion is historical arithmetic, not recurring cash generation.</x:v>
      </x:c>
      <x:c r="E25" s="376"/>
      <x:c r="F25" s="376"/>
      <x:c r="G25" s="376"/>
      <x:c r="H25" s="376"/>
      <x:c r="I25" s="377"/>
    </x:row>
    <x:row r="26" ht="30" customHeight="1">
      <x:c r="A26" s="413" t="str">
        <x:v>Cash increase less ATM and specified prepayments</x:v>
      </x:c>
      <x:c r="B26" s="415" t="n">
        <x:f>B25-B7</x:f>
        <x:v>-23627000000</x:v>
      </x:c>
      <x:c r="C26" s="376"/>
      <x:c r="D26" s="383"/>
      <x:c r="E26" s="376"/>
      <x:c r="F26" s="376"/>
      <x:c r="G26" s="376"/>
      <x:c r="H26" s="376"/>
      <x:c r="I26" s="377"/>
    </x:row>
    <x:row r="27" ht="30" customHeight="1">
      <x:c r="A27" s="389" t="str">
        <x:v>Specified prepayments / reported OCF</x:v>
      </x:c>
      <x:c r="B27" s="425" t="n">
        <x:f>IF(B6&gt;0,B7/B6,NA())</x:f>
        <x:v>0.49184088646496127</x:v>
      </x:c>
      <x:c r="C27" s="376"/>
      <x:c r="D27" s="383"/>
      <x:c r="E27" s="376"/>
      <x:c r="F27" s="376"/>
      <x:c r="G27" s="376"/>
      <x:c r="H27" s="376"/>
      <x:c r="I27" s="377"/>
    </x:row>
    <x:row r="28" ht="24" customHeight="1">
      <x:c r="A28" s="379"/>
      <x:c r="B28" s="424"/>
      <x:c r="C28" s="376"/>
      <x:c r="D28" s="383"/>
      <x:c r="E28" s="376"/>
      <x:c r="F28" s="376"/>
      <x:c r="G28" s="376"/>
      <x:c r="H28" s="376"/>
      <x:c r="I28" s="377"/>
    </x:row>
    <x:row r="29" ht="24" customHeight="1">
      <x:c r="A29" s="408" t="str">
        <x:v>Rows 25–26 hold every other reported flow fixed. They are historical arithmetic, not forecasts.</x:v>
      </x:c>
      <x:c r="B29" s="424"/>
      <x:c r="C29" s="376"/>
      <x:c r="D29" s="376"/>
      <x:c r="E29" s="376"/>
      <x:c r="F29" s="376"/>
      <x:c r="G29" s="376"/>
      <x:c r="H29" s="376"/>
      <x:c r="I29" s="377"/>
    </x:row>
    <x:row r="30" ht="24" customHeight="1">
      <x:c r="A30" s="408" t="str">
        <x:v>No cash runway or future repayment surplus is calculated. August debt maturity amounts and drawable credit are Unavailable.</x:v>
      </x:c>
      <x:c r="B30" s="424"/>
      <x:c r="C30" s="376"/>
      <x:c r="D30" s="376"/>
      <x:c r="E30" s="376"/>
      <x:c r="F30" s="376"/>
      <x:c r="G30" s="376"/>
      <x:c r="H30" s="376"/>
      <x:c r="I30" s="377"/>
    </x:row>
    <x:row r="31" ht="24" customHeight="1">
      <x:c r="A31" s="408" t="str">
        <x:v>Interest and operating lease cash payments within OCF are not subtracted again.</x:v>
      </x:c>
      <x:c r="B31" s="424"/>
      <x:c r="C31" s="376"/>
      <x:c r="D31" s="376"/>
      <x:c r="E31" s="376"/>
      <x:c r="F31" s="376"/>
      <x:c r="G31" s="376"/>
      <x:c r="H31" s="376"/>
      <x:c r="I31" s="377"/>
    </x:row>
    <x:row r="32" ht="24" customHeight="1">
      <x:c r="A32" s="408" t="str">
        <x:v>The 11.363B prepayment contribution is already in OCF; the 19.909B ATM proceeds are already in August cash.</x:v>
      </x:c>
      <x:c r="B32" s="424"/>
      <x:c r="C32" s="376"/>
      <x:c r="D32" s="376"/>
      <x:c r="E32" s="376"/>
      <x:c r="F32" s="376"/>
      <x:c r="G32" s="376"/>
      <x:c r="H32" s="376"/>
      <x:c r="I32" s="377"/>
    </x:row>
    <x:row r="33" ht="24" customHeight="1">
      <x:c r="A33" s="379"/>
      <x:c r="B33" s="424"/>
      <x:c r="C33" s="376"/>
      <x:c r="D33" s="376"/>
      <x:c r="E33" s="376"/>
      <x:c r="F33" s="376"/>
      <x:c r="G33" s="376"/>
      <x:c r="H33" s="376"/>
      <x:c r="I33" s="377"/>
    </x:row>
    <x:row r="34" ht="24" customHeight="1">
      <x:c r="A34" s="379"/>
      <x:c r="B34" s="376"/>
      <x:c r="C34" s="376"/>
      <x:c r="D34" s="376"/>
      <x:c r="E34" s="376"/>
      <x:c r="F34" s="376"/>
      <x:c r="G34" s="376"/>
      <x:c r="H34" s="376"/>
      <x:c r="I34" s="377"/>
    </x:row>
    <x:row r="35" ht="38" customHeight="1">
      <x:c r="A35" s="379"/>
      <x:c r="B35" s="376"/>
      <x:c r="C35" s="376"/>
      <x:c r="D35" s="376"/>
      <x:c r="E35" s="376"/>
      <x:c r="F35" s="376"/>
      <x:c r="G35" s="376"/>
      <x:c r="H35" s="426" t="str">
        <x:v>Quarter measure</x:v>
      </x:c>
      <x:c r="I35" s="396" t="str">
        <x:v>USD</x:v>
      </x:c>
    </x:row>
    <x:row r="36" ht="38" customHeight="1">
      <x:c r="A36" s="379"/>
      <x:c r="B36" s="376"/>
      <x:c r="C36" s="376"/>
      <x:c r="D36" s="376"/>
      <x:c r="E36" s="376"/>
      <x:c r="F36" s="376"/>
      <x:c r="G36" s="376"/>
      <x:c r="H36" s="427" t="str">
        <x:v>Reported
OCF</x:v>
      </x:c>
      <x:c r="I36" s="428" t="n">
        <x:f>B6</x:f>
        <x:v>23103000000</x:v>
      </x:c>
    </x:row>
    <x:row r="37" ht="38" customHeight="1">
      <x:c r="A37" s="379"/>
      <x:c r="B37" s="376"/>
      <x:c r="C37" s="376"/>
      <x:c r="D37" s="376"/>
      <x:c r="E37" s="376"/>
      <x:c r="F37" s="376"/>
      <x:c r="G37" s="376"/>
      <x:c r="H37" s="427" t="str">
        <x:v>OCF excluding specified
prepayments</x:v>
      </x:c>
      <x:c r="I37" s="428" t="n">
        <x:f>B8</x:f>
        <x:v>11740000000</x:v>
      </x:c>
    </x:row>
    <x:row r="38" ht="38" customHeight="1">
      <x:c r="A38" s="379"/>
      <x:c r="B38" s="376"/>
      <x:c r="C38" s="376"/>
      <x:c r="D38" s="376"/>
      <x:c r="E38" s="376"/>
      <x:c r="F38" s="376"/>
      <x:c r="G38" s="376"/>
      <x:c r="H38" s="429" t="str">
        <x:v>Cash
capex</x:v>
      </x:c>
      <x:c r="I38" s="430" t="n">
        <x:f>B10</x:f>
        <x:v>28499000000</x:v>
      </x:c>
    </x:row>
    <x:row r="39" ht="24" customHeight="1">
      <x:c r="A39" s="379"/>
      <x:c r="B39" s="376"/>
      <x:c r="C39" s="376"/>
      <x:c r="D39" s="376"/>
      <x:c r="E39" s="376"/>
      <x:c r="F39" s="376"/>
      <x:c r="G39" s="376"/>
      <x:c r="H39" s="376"/>
      <x:c r="I39" s="377"/>
    </x:row>
    <x:row r="40" ht="24" customHeight="1">
      <x:c r="A40" s="379"/>
      <x:c r="B40" s="376"/>
      <x:c r="C40" s="376"/>
      <x:c r="D40" s="376"/>
      <x:c r="E40" s="376"/>
      <x:c r="F40" s="376"/>
      <x:c r="G40" s="376"/>
      <x:c r="H40" s="376"/>
      <x:c r="I40" s="377"/>
    </x:row>
    <x:row r="41" ht="24" customHeight="1">
      <x:c r="A41" s="375" t="str">
        <x:v>Historical operating-income interest coverage</x:v>
      </x:c>
      <x:c r="B41" s="376"/>
      <x:c r="C41" s="376"/>
      <x:c r="D41" s="376"/>
      <x:c r="E41" s="376"/>
      <x:c r="F41" s="376"/>
      <x:c r="G41" s="376"/>
      <x:c r="H41" s="376"/>
      <x:c r="I41" s="377"/>
    </x:row>
    <x:row r="42" ht="24" customHeight="1">
      <x:c r="A42" s="378" t="str">
        <x:v>TTM September 1, 2025–August 31, 2026. Reported interest line; capitalization basis Unavailable.</x:v>
      </x:c>
      <x:c r="B42" s="376"/>
      <x:c r="C42" s="376"/>
      <x:c r="D42" s="376"/>
      <x:c r="E42" s="376"/>
      <x:c r="F42" s="376"/>
      <x:c r="G42" s="376"/>
      <x:c r="H42" s="376"/>
      <x:c r="I42" s="377"/>
    </x:row>
    <x:row r="43" ht="24" customHeight="1">
      <x:c r="A43" s="379"/>
      <x:c r="B43" s="376"/>
      <x:c r="C43" s="376"/>
      <x:c r="D43" s="376"/>
      <x:c r="E43" s="376"/>
      <x:c r="F43" s="376"/>
      <x:c r="G43" s="376"/>
      <x:c r="H43" s="376"/>
      <x:c r="I43" s="377"/>
    </x:row>
    <x:row r="44" ht="32" customHeight="1">
      <x:c r="A44" s="380" t="str">
        <x:v>Build, USD millions</x:v>
      </x:c>
      <x:c r="B44" s="381" t="str">
        <x:v>FY2026</x:v>
      </x:c>
      <x:c r="C44" s="381" t="str">
        <x:v>+ Q1 FY2027</x:v>
      </x:c>
      <x:c r="D44" s="381" t="str">
        <x:v>− Q1 FY2026</x:v>
      </x:c>
      <x:c r="E44" s="382" t="str">
        <x:v>TTM</x:v>
      </x:c>
      <x:c r="F44" s="376"/>
      <x:c r="G44" s="376"/>
      <x:c r="H44" s="376"/>
      <x:c r="I44" s="377"/>
    </x:row>
    <x:row r="45" ht="32" customHeight="1">
      <x:c r="A45" s="431" t="str">
        <x:v>Reported operating income</x:v>
      </x:c>
      <x:c r="B45" s="432" t="n">
        <x:f>IF(ISNUMBER('Data'!B77),'Data'!B77,NA())</x:f>
        <x:v>20606000000</x:v>
      </x:c>
      <x:c r="C45" s="432" t="n">
        <x:f>IF(ISNUMBER('Data'!B80),'Data'!B80,NA())</x:f>
        <x:v>6728000000</x:v>
      </x:c>
      <x:c r="D45" s="432" t="n">
        <x:f>IF(ISNUMBER('Data'!B83),'Data'!B83,NA())</x:f>
        <x:v>4277000000</x:v>
      </x:c>
      <x:c r="E45" s="433" t="n">
        <x:f>B45+C45-D45</x:f>
        <x:v>23057000000</x:v>
      </x:c>
      <x:c r="F45" s="376"/>
      <x:c r="G45" s="376"/>
      <x:c r="H45" s="376"/>
      <x:c r="I45" s="377"/>
    </x:row>
    <x:row r="46" ht="32" customHeight="1">
      <x:c r="A46" s="431" t="str">
        <x:v>Reported Interest expense</x:v>
      </x:c>
      <x:c r="B46" s="432" t="n">
        <x:f>IF(ISNUMBER('Data'!B78),'Data'!B78,NA())</x:f>
        <x:v>4599000000</x:v>
      </x:c>
      <x:c r="C46" s="432" t="n">
        <x:f>IF(ISNUMBER('Data'!B81),'Data'!B81,NA())</x:f>
        <x:v>1428000000</x:v>
      </x:c>
      <x:c r="D46" s="432" t="n">
        <x:f>IF(ISNUMBER('Data'!B84),'Data'!B84,NA())</x:f>
        <x:v>923000000</x:v>
      </x:c>
      <x:c r="E46" s="433" t="n">
        <x:f>B46+C46-D46</x:f>
        <x:v>5104000000</x:v>
      </x:c>
      <x:c r="F46" s="376"/>
      <x:c r="G46" s="376"/>
      <x:c r="H46" s="376"/>
      <x:c r="I46" s="377"/>
    </x:row>
    <x:row r="47" ht="32" customHeight="1">
      <x:c r="A47" s="434" t="str">
        <x:v>Lease-note interest, context only</x:v>
      </x:c>
      <x:c r="B47" s="435" t="n">
        <x:f>IF(ISNUMBER('Data'!B79),'Data'!B79,NA())</x:f>
        <x:v>279000000</x:v>
      </x:c>
      <x:c r="C47" s="435" t="n">
        <x:f>IF(ISNUMBER('Data'!B82),'Data'!B82,NA())</x:f>
        <x:v>126000000</x:v>
      </x:c>
      <x:c r="D47" s="435" t="n">
        <x:f>IF(ISNUMBER('Data'!B85),'Data'!B85,NA())</x:f>
        <x:v>48000000</x:v>
      </x:c>
      <x:c r="E47" s="436" t="n">
        <x:f>B47+C47-D47</x:f>
        <x:v>357000000</x:v>
      </x:c>
      <x:c r="F47" s="376"/>
      <x:c r="G47" s="376"/>
      <x:c r="H47" s="376"/>
      <x:c r="I47" s="377"/>
    </x:row>
    <x:row r="48" ht="32" customHeight="1">
      <x:c r="A48" s="379"/>
      <x:c r="B48" s="376"/>
      <x:c r="C48" s="376"/>
      <x:c r="D48" s="376"/>
      <x:c r="E48" s="376"/>
      <x:c r="F48" s="376"/>
      <x:c r="G48" s="376"/>
      <x:c r="H48" s="376"/>
      <x:c r="I48" s="377"/>
    </x:row>
    <x:row r="49" ht="32" customHeight="1">
      <x:c r="A49" s="437" t="str">
        <x:v>Historical reported-line interest coverage</x:v>
      </x:c>
      <x:c r="B49" s="438" t="n">
        <x:f>IF(E46&gt;0,E45/E46,NA())</x:f>
        <x:v>4.517437304075235</x:v>
      </x:c>
      <x:c r="C49" s="376"/>
      <x:c r="D49" s="376"/>
      <x:c r="E49" s="376"/>
      <x:c r="F49" s="376"/>
      <x:c r="G49" s="376"/>
      <x:c r="H49" s="376"/>
      <x:c r="I49" s="377"/>
    </x:row>
    <x:row r="50" ht="24" customHeight="1">
      <x:c r="A50" s="379"/>
      <x:c r="B50" s="376"/>
      <x:c r="C50" s="376"/>
      <x:c r="D50" s="376"/>
      <x:c r="E50" s="376"/>
      <x:c r="F50" s="376"/>
      <x:c r="G50" s="376"/>
      <x:c r="H50" s="376"/>
      <x:c r="I50" s="377"/>
    </x:row>
    <x:row r="51" ht="26" customHeight="1">
      <x:c r="A51" s="378" t="str">
        <x:v>Capitalization basis: Unavailable. See About.</x:v>
      </x:c>
      <x:c r="B51" s="376"/>
      <x:c r="C51" s="376"/>
      <x:c r="D51" s="376"/>
      <x:c r="E51" s="376"/>
      <x:c r="F51" s="376"/>
      <x:c r="G51" s="376"/>
      <x:c r="H51" s="376"/>
      <x:c r="I51" s="377"/>
    </x:row>
    <x:row r="52" ht="26" customHeight="1">
      <x:c r="A52" s="378" t="str">
        <x:v>Borrowing-only coverage: Unavailable. See About.</x:v>
      </x:c>
      <x:c r="B52" s="376"/>
      <x:c r="C52" s="376"/>
      <x:c r="D52" s="376"/>
      <x:c r="E52" s="376"/>
      <x:c r="F52" s="376"/>
      <x:c r="G52" s="376"/>
      <x:c r="H52" s="376"/>
      <x:c r="I52" s="377"/>
    </x:row>
    <x:row r="53" ht="26" customHeight="1">
      <x:c r="A53" s="378" t="str">
        <x:v>Covenant headroom: Unavailable. Different contract formula.</x:v>
      </x:c>
      <x:c r="B53" s="376"/>
      <x:c r="C53" s="376"/>
      <x:c r="D53" s="376"/>
      <x:c r="E53" s="376"/>
      <x:c r="F53" s="376"/>
      <x:c r="G53" s="376"/>
      <x:c r="H53" s="376"/>
      <x:c r="I53" s="377"/>
    </x:row>
    <x:row r="54" ht="26" customHeight="1">
      <x:c r="A54" s="378" t="str">
        <x:v>Lease overlap: Unavailable; row 47 is not added.</x:v>
      </x:c>
      <x:c r="B54" s="376"/>
      <x:c r="C54" s="376"/>
      <x:c r="D54" s="376"/>
      <x:c r="E54" s="376"/>
      <x:c r="F54" s="376"/>
      <x:c r="G54" s="376"/>
      <x:c r="H54" s="376"/>
      <x:c r="I54" s="377"/>
    </x:row>
  </x:sheetData>
  <x:pageMargins left="0.7" right="0.7" top="0.75" bottom="0.75" header="0.3" footer="0.3"/>
  <x:drawing ns1:id="Rf6809d7e4af04fc1"/>
</x:worksheet>
</file>

<file path=xl/worksheets/sheet8.xml><?xml version="1.0" encoding="utf-8"?>
<x:worksheet xmlns:r="http://schemas.openxmlformats.org/officeDocument/2006/relationships" xmlns:x="http://schemas.openxmlformats.org/spreadsheetml/2006/main">
  <x:sheetViews>
    <x:sheetView showGridLines="0" workbookViewId="0"/>
  </x:sheetViews>
  <x:sheetFormatPr defaultRowHeight="15"/>
  <x:cols>
    <x:col min="1" max="1" width="53" hidden="0" customWidth="1"/>
    <x:col min="2" max="2" width="20" hidden="0" customWidth="1"/>
    <x:col min="3" max="3" width="20" hidden="0" customWidth="1"/>
    <x:col min="4" max="4" width="53" hidden="0" customWidth="1"/>
    <x:col min="5" max="5" width="20" hidden="0" customWidth="1"/>
    <x:col min="6" max="6" width="20" hidden="0" customWidth="1"/>
    <x:col min="7" max="7" width="11" hidden="0" customWidth="1"/>
    <x:col min="8" max="8" width="11" hidden="0" customWidth="1"/>
    <x:col min="9" max="9" width="11" hidden="0" customWidth="1"/>
    <x:col min="10" max="10" width="11" hidden="0" customWidth="1"/>
    <x:col min="11" max="11" width="11" hidden="0" customWidth="1"/>
    <x:col min="12" max="12" width="11" hidden="0" customWidth="1"/>
    <x:col min="13" max="13" width="11" hidden="0" customWidth="1"/>
    <x:col min="14" max="14" width="11" hidden="0" customWidth="1"/>
    <x:col min="15" max="15" width="11" hidden="0" customWidth="1"/>
    <x:col min="16" max="16" width="11" hidden="0" customWidth="1"/>
    <x:col min="17" max="17" width="11" hidden="0" customWidth="1"/>
  </x:cols>
  <x:sheetData>
    <x:row r="2" ht="24" customHeight="1">
      <x:c r="A2" s="375" t="str">
        <x:v>Oracle payment dates and financing limits</x:v>
      </x:c>
      <x:c r="B2" s="376"/>
      <x:c r="C2" s="376"/>
      <x:c r="D2" s="376"/>
      <x:c r="E2" s="376"/>
      <x:c r="F2" s="377"/>
    </x:row>
    <x:row r="3" ht="24" customHeight="1">
      <x:c r="A3" s="408" t="str">
        <x:v>At August 31, 2026. USD millions. Leases include interest; no combined obligations total.</x:v>
      </x:c>
      <x:c r="B3" s="376"/>
      <x:c r="C3" s="376"/>
      <x:c r="D3" s="376"/>
      <x:c r="E3" s="376"/>
      <x:c r="F3" s="377"/>
    </x:row>
    <x:row r="4" ht="24" customHeight="1">
      <x:c r="A4" s="379"/>
      <x:c r="B4" s="376"/>
      <x:c r="C4" s="376"/>
      <x:c r="D4" s="376"/>
      <x:c r="E4" s="376"/>
      <x:c r="F4" s="377"/>
    </x:row>
    <x:row r="5" ht="24" customHeight="1">
      <x:c r="A5" s="409" t="str">
        <x:v>Due period</x:v>
      </x:c>
      <x:c r="B5" s="439" t="str">
        <x:v>Operating leases</x:v>
      </x:c>
      <x:c r="C5" s="440" t="str">
        <x:v>Finance leases</x:v>
      </x:c>
      <x:c r="D5" s="381" t="str">
        <x:v>Purchase and other</x:v>
      </x:c>
      <x:c r="E5" s="440" t="str">
        <x:v>Due from</x:v>
      </x:c>
      <x:c r="F5" s="441" t="str">
        <x:v>Due through</x:v>
      </x:c>
    </x:row>
    <x:row r="6" ht="24" customHeight="1">
      <x:c r="A6" s="431" t="str">
        <x:v>Remainder FY2027</x:v>
      </x:c>
      <x:c r="B6" s="442" t="n">
        <x:f>IF(ISNUMBER('Data'!B23),'Data'!B23,NA())</x:f>
        <x:v>3219000000</x:v>
      </x:c>
      <x:c r="C6" s="442" t="n">
        <x:f>IF(ISNUMBER('Data'!B30),'Data'!B30,NA())</x:f>
        <x:v>620000000</x:v>
      </x:c>
      <x:c r="D6" s="443" t="n">
        <x:f>IF(ISNUMBER('Data'!B37),'Data'!B37,NA())</x:f>
        <x:v>5449000000</x:v>
      </x:c>
      <x:c r="E6" s="444" t="d">
        <x:v>2026-09-01T00:00:00.000Z</x:v>
      </x:c>
      <x:c r="F6" s="445" t="d">
        <x:v>2027-05-31T00:00:00.000Z</x:v>
      </x:c>
    </x:row>
    <x:row r="7" ht="24" customHeight="1">
      <x:c r="A7" s="431" t="str">
        <x:v>FY2028</x:v>
      </x:c>
      <x:c r="B7" s="442" t="n">
        <x:f>IF(ISNUMBER('Data'!B24),'Data'!B24,NA())</x:f>
        <x:v>4135000000</x:v>
      </x:c>
      <x:c r="C7" s="442" t="n">
        <x:f>IF(ISNUMBER('Data'!B31),'Data'!B31,NA())</x:f>
        <x:v>852000000</x:v>
      </x:c>
      <x:c r="D7" s="443" t="n">
        <x:f>IF(ISNUMBER('Data'!B38),'Data'!B38,NA())</x:f>
        <x:v>6176000000</x:v>
      </x:c>
      <x:c r="E7" s="444" t="d">
        <x:v>2027-06-01T00:00:00.000Z</x:v>
      </x:c>
      <x:c r="F7" s="445" t="d">
        <x:v>2028-05-31T00:00:00.000Z</x:v>
      </x:c>
    </x:row>
    <x:row r="8" ht="24" customHeight="1">
      <x:c r="A8" s="431" t="str">
        <x:v>FY2029</x:v>
      </x:c>
      <x:c r="B8" s="442" t="n">
        <x:f>IF(ISNUMBER('Data'!B25),'Data'!B25,NA())</x:f>
        <x:v>4097000000</x:v>
      </x:c>
      <x:c r="C8" s="442" t="n">
        <x:f>IF(ISNUMBER('Data'!B32),'Data'!B32,NA())</x:f>
        <x:v>923000000</x:v>
      </x:c>
      <x:c r="D8" s="443" t="n">
        <x:f>IF(ISNUMBER('Data'!B39),'Data'!B39,NA())</x:f>
        <x:v>3863000000</x:v>
      </x:c>
      <x:c r="E8" s="444" t="d">
        <x:v>2028-06-01T00:00:00.000Z</x:v>
      </x:c>
      <x:c r="F8" s="445" t="d">
        <x:v>2029-05-31T00:00:00.000Z</x:v>
      </x:c>
    </x:row>
    <x:row r="9" ht="24" customHeight="1">
      <x:c r="A9" s="431" t="str">
        <x:v>FY2030</x:v>
      </x:c>
      <x:c r="B9" s="442" t="n">
        <x:f>IF(ISNUMBER('Data'!B26),'Data'!B26,NA())</x:f>
        <x:v>4109000000</x:v>
      </x:c>
      <x:c r="C9" s="442" t="n">
        <x:f>IF(ISNUMBER('Data'!B33),'Data'!B33,NA())</x:f>
        <x:v>947000000</x:v>
      </x:c>
      <x:c r="D9" s="443" t="n">
        <x:f>IF(ISNUMBER('Data'!B40),'Data'!B40,NA())</x:f>
        <x:v>4318000000</x:v>
      </x:c>
      <x:c r="E9" s="444" t="d">
        <x:v>2029-06-01T00:00:00.000Z</x:v>
      </x:c>
      <x:c r="F9" s="445" t="d">
        <x:v>2030-05-31T00:00:00.000Z</x:v>
      </x:c>
    </x:row>
    <x:row r="10" ht="24" customHeight="1">
      <x:c r="A10" s="431" t="str">
        <x:v>FY2031</x:v>
      </x:c>
      <x:c r="B10" s="442" t="n">
        <x:f>IF(ISNUMBER('Data'!B27),'Data'!B27,NA())</x:f>
        <x:v>4089000000</x:v>
      </x:c>
      <x:c r="C10" s="442" t="n">
        <x:f>IF(ISNUMBER('Data'!B34),'Data'!B34,NA())</x:f>
        <x:v>971000000</x:v>
      </x:c>
      <x:c r="D10" s="443" t="n">
        <x:f>IF(ISNUMBER('Data'!B41),'Data'!B41,NA())</x:f>
        <x:v>6768000000</x:v>
      </x:c>
      <x:c r="E10" s="444" t="d">
        <x:v>2030-06-01T00:00:00.000Z</x:v>
      </x:c>
      <x:c r="F10" s="445" t="d">
        <x:v>2031-05-31T00:00:00.000Z</x:v>
      </x:c>
    </x:row>
    <x:row r="11" ht="24" customHeight="1">
      <x:c r="A11" s="431" t="str">
        <x:v>FY2032</x:v>
      </x:c>
      <x:c r="B11" s="442" t="n">
        <x:f>IF(ISNUMBER('Data'!B28),'Data'!B28,NA())</x:f>
        <x:v>4030000000</x:v>
      </x:c>
      <x:c r="C11" s="442" t="n">
        <x:f>IF(ISNUMBER('Data'!B35),'Data'!B35,NA())</x:f>
        <x:v>996000000</x:v>
      </x:c>
      <x:c r="D11" s="443" t="n">
        <x:f>IF(ISNUMBER('Data'!B42),'Data'!B42,NA())</x:f>
        <x:v>954000000</x:v>
      </x:c>
      <x:c r="E11" s="444" t="d">
        <x:v>2031-06-01T00:00:00.000Z</x:v>
      </x:c>
      <x:c r="F11" s="445" t="d">
        <x:v>2032-05-31T00:00:00.000Z</x:v>
      </x:c>
    </x:row>
    <x:row r="12" ht="24" customHeight="1">
      <x:c r="A12" s="431" t="str">
        <x:v>Thereafter</x:v>
      </x:c>
      <x:c r="B12" s="442" t="n">
        <x:f>IF(ISNUMBER('Data'!B29),'Data'!B29,NA())</x:f>
        <x:v>24371000000</x:v>
      </x:c>
      <x:c r="C12" s="442" t="n">
        <x:f>IF(ISNUMBER('Data'!B36),'Data'!B36,NA())</x:f>
        <x:v>9886000000</x:v>
      </x:c>
      <x:c r="D12" s="443" t="n">
        <x:f>IF(ISNUMBER('Data'!B43),'Data'!B43,NA())</x:f>
        <x:v>6622000000</x:v>
      </x:c>
      <x:c r="E12" s="444" t="d">
        <x:v>2032-06-01T00:00:00.000Z</x:v>
      </x:c>
      <x:c r="F12" s="446"/>
    </x:row>
    <x:row r="13" ht="24" customHeight="1">
      <x:c r="A13" s="447"/>
      <x:c r="B13" s="448"/>
      <x:c r="C13" s="448"/>
      <x:c r="D13" s="397"/>
      <x:c r="E13" s="449"/>
      <x:c r="F13" s="450"/>
    </x:row>
    <x:row r="14" ht="24" customHeight="1">
      <x:c r="A14" s="451" t="str">
        <x:v>Calculated payment total</x:v>
      </x:c>
      <x:c r="B14" s="452" t="n">
        <x:f>SUM(B6:B12)</x:f>
        <x:v>48050000000</x:v>
      </x:c>
      <x:c r="C14" s="452" t="n">
        <x:f>SUM(C6:C12)</x:f>
        <x:v>15195000000</x:v>
      </x:c>
      <x:c r="D14" s="453" t="n">
        <x:f>SUM(D6:D12)</x:f>
        <x:v>34150000000</x:v>
      </x:c>
      <x:c r="E14" s="449"/>
      <x:c r="F14" s="450"/>
    </x:row>
    <x:row r="15" ht="24" customHeight="1">
      <x:c r="A15" s="431" t="str">
        <x:v>Reported payment total</x:v>
      </x:c>
      <x:c r="B15" s="442" t="n">
        <x:f>IF(ISNUMBER('Data'!B44),'Data'!B44,NA())</x:f>
        <x:v>48050000000</x:v>
      </x:c>
      <x:c r="C15" s="442" t="n">
        <x:f>IF(ISNUMBER('Data'!B47),'Data'!B47,NA())</x:f>
        <x:v>15195000000</x:v>
      </x:c>
      <x:c r="D15" s="443" t="n">
        <x:f>IF(ISNUMBER('Data'!B50),'Data'!B50,NA())</x:f>
        <x:v>34150000000</x:v>
      </x:c>
      <x:c r="E15" s="449"/>
      <x:c r="F15" s="450"/>
    </x:row>
    <x:row r="16" ht="24" customHeight="1">
      <x:c r="A16" s="431" t="str">
        <x:v>Payment-total difference</x:v>
      </x:c>
      <x:c r="B16" s="454" t="n">
        <x:f>B14-B15</x:f>
        <x:v>0</x:v>
      </x:c>
      <x:c r="C16" s="454" t="n">
        <x:f>C14-C15</x:f>
        <x:v>0</x:v>
      </x:c>
      <x:c r="D16" s="455" t="n">
        <x:f>D14-D15</x:f>
        <x:v>0</x:v>
      </x:c>
      <x:c r="E16" s="449"/>
      <x:c r="F16" s="450"/>
    </x:row>
    <x:row r="17" ht="24" customHeight="1">
      <x:c r="A17" s="431" t="str">
        <x:v>Less: imputed interest</x:v>
      </x:c>
      <x:c r="B17" s="442" t="n">
        <x:f>IF(ISNUMBER('Data'!B45),'Data'!B45,NA())</x:f>
        <x:v>13429000000</x:v>
      </x:c>
      <x:c r="C17" s="442" t="n">
        <x:f>IF(ISNUMBER('Data'!B48),'Data'!B48,NA())</x:f>
        <x:v>6010000000</x:v>
      </x:c>
      <x:c r="D17" s="397"/>
      <x:c r="E17" s="449"/>
      <x:c r="F17" s="450"/>
    </x:row>
    <x:row r="18" ht="24" customHeight="1">
      <x:c r="A18" s="451" t="str">
        <x:v>Calculated lease liability</x:v>
      </x:c>
      <x:c r="B18" s="452" t="n">
        <x:f>B14-B17</x:f>
        <x:v>34621000000</x:v>
      </x:c>
      <x:c r="C18" s="452" t="n">
        <x:f>C14-C17</x:f>
        <x:v>9185000000</x:v>
      </x:c>
      <x:c r="D18" s="456"/>
      <x:c r="E18" s="449"/>
      <x:c r="F18" s="450"/>
    </x:row>
    <x:row r="19" ht="24" customHeight="1">
      <x:c r="A19" s="431" t="str">
        <x:v>Reported lease liability</x:v>
      </x:c>
      <x:c r="B19" s="442" t="n">
        <x:f>IF(ISNUMBER('Data'!B46),'Data'!B46,NA())</x:f>
        <x:v>34621000000</x:v>
      </x:c>
      <x:c r="C19" s="442" t="n">
        <x:f>IF(ISNUMBER('Data'!B49),'Data'!B49,NA())</x:f>
        <x:v>9185000000</x:v>
      </x:c>
      <x:c r="D19" s="397"/>
      <x:c r="E19" s="449"/>
      <x:c r="F19" s="450"/>
    </x:row>
    <x:row r="20" ht="24" customHeight="1">
      <x:c r="A20" s="434" t="str">
        <x:v>Lease-liability difference</x:v>
      </x:c>
      <x:c r="B20" s="457" t="n">
        <x:f>B18-B19</x:f>
        <x:v>0</x:v>
      </x:c>
      <x:c r="C20" s="457" t="n">
        <x:f>C18-C19</x:f>
        <x:v>0</x:v>
      </x:c>
      <x:c r="D20" s="458"/>
      <x:c r="E20" s="459"/>
      <x:c r="F20" s="460"/>
    </x:row>
    <x:row r="21" ht="24" customHeight="1">
      <x:c r="A21" s="379"/>
      <x:c r="B21" s="424"/>
      <x:c r="C21" s="376"/>
      <x:c r="D21" s="383"/>
      <x:c r="E21" s="376"/>
      <x:c r="F21" s="377"/>
    </x:row>
    <x:row r="22" ht="42" customHeight="1">
      <x:c r="A22" s="461" t="str">
        <x:v>Operating leases not yet commenced</x:v>
      </x:c>
      <x:c r="B22" s="462" t="n">
        <x:f>IF(ISNUMBER('Data'!B22),'Data'!B22,NA())</x:f>
        <x:v>288000000000</x:v>
      </x:c>
      <x:c r="C22" s="376"/>
      <x:c r="D22" s="395" t="str">
        <x:v>Commencement FY2027–2029; terms 15–19 years. Annual payment timing Unavailable.</x:v>
      </x:c>
      <x:c r="E22" s="383"/>
      <x:c r="F22" s="384"/>
    </x:row>
    <x:row r="23" ht="24" customHeight="1">
      <x:c r="A23" s="379"/>
      <x:c r="B23" s="424"/>
      <x:c r="C23" s="376"/>
      <x:c r="D23" s="383"/>
      <x:c r="E23" s="383"/>
      <x:c r="F23" s="384"/>
    </x:row>
    <x:row r="24" ht="42" customHeight="1">
      <x:c r="A24" s="463" t="str">
        <x:v>Original revolver commitment</x:v>
      </x:c>
      <x:c r="B24" s="419" t="n">
        <x:f>IF(ISNUMBER('Data'!B57),'Data'!B57,NA())</x:f>
        <x:v>10000000000</x:v>
      </x:c>
      <x:c r="C24" s="376"/>
      <x:c r="D24" s="395" t="str">
        <x:v>Agreement dated March 6, 2026. Original maturity March 6, 2031.</x:v>
      </x:c>
      <x:c r="E24" s="383"/>
      <x:c r="F24" s="384"/>
    </x:row>
    <x:row r="25" ht="42" customHeight="1">
      <x:c r="A25" s="431" t="str">
        <x:v>Revolver drawn at May 31</x:v>
      </x:c>
      <x:c r="B25" s="412" t="n">
        <x:f>IF(ISNUMBER('Data'!B58),'Data'!B58,NA())</x:f>
        <x:v>0</x:v>
      </x:c>
      <x:c r="C25" s="376"/>
      <x:c r="D25" s="395" t="str">
        <x:v>Historical drawing balance only.</x:v>
      </x:c>
      <x:c r="E25" s="383"/>
      <x:c r="F25" s="384"/>
    </x:row>
    <x:row r="26" ht="42" customHeight="1">
      <x:c r="A26" s="431" t="str">
        <x:v>August drawable revolver capacity</x:v>
      </x:c>
      <x:c r="B26" s="464"/>
      <x:c r="C26" s="376"/>
      <x:c r="D26" s="395" t="str">
        <x:v>Unavailable: current drawings, conditions and covenant headroom not established.</x:v>
      </x:c>
      <x:c r="E26" s="383"/>
      <x:c r="F26" s="384"/>
    </x:row>
    <x:row r="27" ht="42" customHeight="1">
      <x:c r="A27" s="434" t="str">
        <x:v>Minimum contractual interest coverage</x:v>
      </x:c>
      <x:c r="B27" s="465" t="n">
        <x:f>IF(ISNUMBER('Data'!B59),'Data'!B59,NA())</x:f>
        <x:v>3</x:v>
      </x:c>
      <x:c r="C27" s="376"/>
      <x:c r="D27" s="395" t="str">
        <x:v>3.0x, contract-defined. Current covenant headroom Unavailable.</x:v>
      </x:c>
      <x:c r="E27" s="383"/>
      <x:c r="F27" s="384"/>
    </x:row>
    <x:row r="28" ht="24" customHeight="1">
      <x:c r="A28" s="379"/>
      <x:c r="B28" s="424"/>
      <x:c r="C28" s="376"/>
      <x:c r="D28" s="383"/>
      <x:c r="E28" s="383"/>
      <x:c r="F28" s="384"/>
    </x:row>
    <x:row r="29" ht="24" customHeight="1">
      <x:c r="A29" s="408" t="str">
        <x:v>The May borrowing schedule is historical. August 31 principal by instrument starts at row 35; commercial paper is Unavailable.</x:v>
      </x:c>
      <x:c r="B29" s="424"/>
      <x:c r="C29" s="376"/>
      <x:c r="D29" s="383"/>
      <x:c r="E29" s="383"/>
      <x:c r="F29" s="384"/>
    </x:row>
    <x:row r="30" ht="24" customHeight="1">
      <x:c r="A30" s="408" t="str">
        <x:v>The $20B gross ATM program was fully used in Q1. It is not unused equity capacity.</x:v>
      </x:c>
      <x:c r="B30" s="424"/>
      <x:c r="C30" s="376"/>
      <x:c r="D30" s="383"/>
      <x:c r="E30" s="383"/>
      <x:c r="F30" s="384"/>
    </x:row>
    <x:row r="31" ht="24" customHeight="1">
      <x:c r="A31" s="408" t="str">
        <x:v>Purchase obligations, unpaid capex and leases may overlap. No aggregate funding requirement is inferred.</x:v>
      </x:c>
      <x:c r="B31" s="424"/>
      <x:c r="C31" s="376"/>
      <x:c r="D31" s="383"/>
      <x:c r="E31" s="383"/>
      <x:c r="F31" s="384"/>
    </x:row>
    <x:row r="32" ht="24" customHeight="1">
      <x:c r="A32" s="466"/>
      <x:c r="B32" s="424"/>
      <x:c r="C32" s="376"/>
      <x:c r="D32" s="383"/>
      <x:c r="E32" s="383"/>
      <x:c r="F32" s="384"/>
    </x:row>
    <x:row r="33" ht="42" customHeight="1">
      <x:c r="A33" s="461" t="str">
        <x:v>Unpaid capex, noncash disclosure</x:v>
      </x:c>
      <x:c r="B33" s="467" t="n">
        <x:f>IF(ISNUMBER('Data'!B18),'Data'!B18,NA())</x:f>
        <x:v>6247000000</x:v>
      </x:c>
      <x:c r="C33" s="376"/>
      <x:c r="D33" s="395" t="str">
        <x:v>Payment dates and overlap with purchase obligations are Unavailable.</x:v>
      </x:c>
      <x:c r="E33" s="383"/>
      <x:c r="F33" s="384"/>
    </x:row>
    <x:row r="35" ht="24" customHeight="1">
      <x:c r="A35" s="468" t="str">
        <x:v>August 31, 2026 borrowing principal by instrument</x:v>
      </x:c>
    </x:row>
    <x:row r="36" ht="54" customHeight="1">
      <x:c r="A36" s="394" t="str">
        <x:v>Principal, excluding interest. Senior notes and the term loan come from the 10-K debt table at May 31, 2026, carried forward to August 31. Commercial paper is Unavailable. Each instrument's tag, context and source are in its row below. Not funding coverage or drawable credit.</x:v>
      </x:c>
    </x:row>
    <x:row r="38" ht="30" customHeight="1">
      <x:c r="A38" s="469" t="str">
        <x:v>Due September 2026–August 2027</x:v>
      </x:c>
      <x:c r="B38" s="470" t="str">
        <x:v>Due date</x:v>
      </x:c>
      <x:c r="C38" s="470" t="str">
        <x:v>Principal (USD millions)</x:v>
      </x:c>
      <x:c r="D38" s="470" t="str">
        <x:v>Basis</x:v>
      </x:c>
    </x:row>
    <x:row r="39" ht="18" customHeight="1">
      <x:c r="A39" s="378" t="str">
        <x:v>Term loan, scheduled installment (2.50% of the amount borrowed)</x:v>
      </x:c>
      <x:c r="B39" s="471" t="d">
        <x:v>2026-09-30T00:00:00.000Z</x:v>
      </x:c>
      <x:c r="C39" s="472" t="n">
        <x:f>C86</x:f>
        <x:v>140750000</x:v>
      </x:c>
      <x:c r="D39" s="395" t="str">
        <x:v>Contract installment, calculated; not separately reported.</x:v>
      </x:c>
    </x:row>
    <x:row r="40" ht="18" customHeight="1">
      <x:c r="A40" s="378" t="str">
        <x:v>Term loan, scheduled installment (2.50% of the amount borrowed)</x:v>
      </x:c>
      <x:c r="B40" s="471" t="d">
        <x:v>2026-12-31T00:00:00.000Z</x:v>
      </x:c>
      <x:c r="C40" s="472" t="n">
        <x:f>C87</x:f>
        <x:v>140750000</x:v>
      </x:c>
      <x:c r="D40" s="395" t="str">
        <x:v>Contract installment, calculated; not separately reported.</x:v>
      </x:c>
    </x:row>
    <x:row r="41" ht="18" customHeight="1">
      <x:c r="A41" s="378" t="str">
        <x:v>Term loan, scheduled installment (2.50% of the amount borrowed)</x:v>
      </x:c>
      <x:c r="B41" s="471" t="d">
        <x:v>2027-03-31T00:00:00.000Z</x:v>
      </x:c>
      <x:c r="C41" s="472" t="n">
        <x:f>C88</x:f>
        <x:v>140750000</x:v>
      </x:c>
      <x:c r="D41" s="395" t="str">
        <x:v>Contract installment, calculated; not separately reported.</x:v>
      </x:c>
    </x:row>
    <x:row r="42" ht="18" customHeight="1">
      <x:c r="A42" s="378" t="str">
        <x:v>$2,250M, 2.80%, due April 2027</x:v>
      </x:c>
      <x:c r="B42" s="471" t="d">
        <x:v>2027-04-01T00:00:00.000Z</x:v>
      </x:c>
      <x:c r="C42" s="472" t="n">
        <x:f>E96</x:f>
        <x:v>2250000000</x:v>
      </x:c>
      <x:c r="D42" s="395" t="str">
        <x:v>Senior note at its stated maturity.</x:v>
      </x:c>
    </x:row>
    <x:row r="43" ht="18" customHeight="1">
      <x:c r="A43" s="378" t="str">
        <x:v>Term loan, scheduled installment (2.50% of the amount borrowed)</x:v>
      </x:c>
      <x:c r="B43" s="471" t="d">
        <x:v>2027-06-30T00:00:00.000Z</x:v>
      </x:c>
      <x:c r="C43" s="472" t="n">
        <x:f>C89</x:f>
        <x:v>140750000</x:v>
      </x:c>
      <x:c r="D43" s="395" t="str">
        <x:v>Contract installment, calculated; not separately reported.</x:v>
      </x:c>
    </x:row>
    <x:row r="44" ht="18" customHeight="1">
      <x:c r="A44" s="378" t="str">
        <x:v>Term loan, remaining principal</x:v>
      </x:c>
      <x:c r="B44" s="471" t="d">
        <x:v>2027-08-16T00:00:00.000Z</x:v>
      </x:c>
      <x:c r="C44" s="472" t="n">
        <x:f>C90</x:f>
        <x:v>4504000000</x:v>
      </x:c>
      <x:c r="D44" s="395" t="str">
        <x:v>Calculated remainder. Oracle may extend the date by up to 2 years.</x:v>
      </x:c>
    </x:row>
    <x:row r="45" ht="18" customHeight="1">
      <x:c r="A45" s="378" t="str">
        <x:v>Commercial paper</x:v>
      </x:c>
      <x:c r="D45" s="395" t="str">
        <x:v>Unavailable: August 31 balance and maturity dates are not reported.</x:v>
      </x:c>
    </x:row>
    <x:row r="46" ht="18" customHeight="1">
      <x:c r="A46" s="473" t="str">
        <x:v>Next twelve months, excluding commercial paper</x:v>
      </x:c>
      <x:c r="C46" s="474" t="n">
        <x:f>SUM(C39:C44)</x:f>
        <x:v>7317000000</x:v>
      </x:c>
    </x:row>
    <x:row r="48" ht="30" customHeight="1">
      <x:c r="A48" s="469" t="str">
        <x:v>Fiscal year</x:v>
      </x:c>
      <x:c r="B48" s="470" t="str">
        <x:v>From</x:v>
      </x:c>
      <x:c r="C48" s="470" t="str">
        <x:v>Principal (USD millions)</x:v>
      </x:c>
      <x:c r="D48" s="470" t="str">
        <x:v>Through</x:v>
      </x:c>
      <x:c r="E48" s="469" t="str">
        <x:v>FY2032 onward, by decade</x:v>
      </x:c>
      <x:c r="F48" s="470" t="str">
        <x:v>Principal (USD millions)</x:v>
      </x:c>
    </x:row>
    <x:row r="49" ht="18" customHeight="1">
      <x:c r="A49" s="378" t="str">
        <x:v>Remainder FY2027</x:v>
      </x:c>
      <x:c r="B49" s="471" t="d">
        <x:v>2026-09-01T00:00:00.000Z</x:v>
      </x:c>
      <x:c r="C49" s="472" t="n">
        <x:f>SUMIFS($E$95:$E$152,$B$95:$B$152,"&gt;="&amp;B49,$B$95:$B$152,"&lt;="&amp;D49,$F$95:$F$152,"&lt;&gt;Term loan")+SUMIFS($C$78:$C$90,$B$78:$B$90,"&gt;="&amp;B49,$B$78:$B$90,"&lt;="&amp;D49)</x:f>
        <x:v>2672250000</x:v>
      </x:c>
      <x:c r="D49" s="471" t="d">
        <x:v>2027-05-31T00:00:00.000Z</x:v>
      </x:c>
      <x:c r="E49" s="378" t="str">
        <x:v>FY2032–36</x:v>
      </x:c>
      <x:c r="F49" s="472" t="n">
        <x:f>SUMIFS($E$95:$E$152,$B$95:$B$152,"&gt;="&amp;DATE(2031,6,1),$B$95:$B$152,"&lt;="&amp;DATE(2036,5,31),$F$95:$F$152,"&lt;&gt;Term loan")</x:f>
        <x:v>26500000000</x:v>
      </x:c>
    </x:row>
    <x:row r="50" ht="18" customHeight="1">
      <x:c r="A50" s="378" t="str">
        <x:v>FY2028</x:v>
      </x:c>
      <x:c r="B50" s="471" t="d">
        <x:v>2027-06-01T00:00:00.000Z</x:v>
      </x:c>
      <x:c r="C50" s="472" t="n">
        <x:f>SUMIFS($E$95:$E$152,$B$95:$B$152,"&gt;="&amp;B50,$B$95:$B$152,"&lt;="&amp;D50,$F$95:$F$152,"&lt;&gt;Term loan")+SUMIFS($C$78:$C$90,$B$78:$B$90,"&gt;="&amp;B50,$B$78:$B$90,"&lt;="&amp;D50)</x:f>
        <x:v>10144750000</x:v>
      </x:c>
      <x:c r="D50" s="471" t="d">
        <x:v>2028-05-31T00:00:00.000Z</x:v>
      </x:c>
      <x:c r="E50" s="378" t="str">
        <x:v>FY2037–46</x:v>
      </x:c>
      <x:c r="F50" s="472" t="n">
        <x:f>SUMIFS($E$95:$E$152,$B$95:$B$152,"&gt;="&amp;DATE(2036,6,1),$B$95:$B$152,"&lt;="&amp;DATE(2046,5,31),$F$95:$F$152,"&lt;&gt;Term loan")</x:f>
        <x:v>20750000000</x:v>
      </x:c>
    </x:row>
    <x:row r="51" ht="18" customHeight="1">
      <x:c r="A51" s="378" t="str">
        <x:v>FY2029</x:v>
      </x:c>
      <x:c r="B51" s="471" t="d">
        <x:v>2028-06-01T00:00:00.000Z</x:v>
      </x:c>
      <x:c r="C51" s="472" t="n">
        <x:f>SUMIFS($E$95:$E$152,$B$95:$B$152,"&gt;="&amp;B51,$B$95:$B$152,"&lt;="&amp;D51,$F$95:$F$152,"&lt;&gt;Term loan")+SUMIFS($C$78:$C$90,$B$78:$B$90,"&gt;="&amp;B51,$B$78:$B$90,"&lt;="&amp;D51)</x:f>
        <x:v>5500000000</x:v>
      </x:c>
      <x:c r="D51" s="471" t="d">
        <x:v>2029-05-31T00:00:00.000Z</x:v>
      </x:c>
      <x:c r="E51" s="378" t="str">
        <x:v>FY2047–56</x:v>
      </x:c>
      <x:c r="F51" s="472" t="n">
        <x:f>SUMIFS($E$95:$E$152,$B$95:$B$152,"&gt;="&amp;DATE(2046,6,1),$B$95:$B$152,"&lt;="&amp;DATE(2056,5,31),$F$95:$F$152,"&lt;&gt;Term loan")</x:f>
        <x:v>31000000000</x:v>
      </x:c>
    </x:row>
    <x:row r="52" ht="18" customHeight="1">
      <x:c r="A52" s="378" t="str">
        <x:v>FY2030</x:v>
      </x:c>
      <x:c r="B52" s="471" t="d">
        <x:v>2029-06-01T00:00:00.000Z</x:v>
      </x:c>
      <x:c r="C52" s="472" t="n">
        <x:f>SUMIFS($E$95:$E$152,$B$95:$B$152,"&gt;="&amp;B52,$B$95:$B$152,"&lt;="&amp;D52,$F$95:$F$152,"&lt;&gt;Term loan")+SUMIFS($C$78:$C$90,$B$78:$B$90,"&gt;="&amp;B52,$B$78:$B$90,"&lt;="&amp;D52)</x:f>
        <x:v>7250000000</x:v>
      </x:c>
      <x:c r="D52" s="471" t="d">
        <x:v>2030-05-31T00:00:00.000Z</x:v>
      </x:c>
      <x:c r="E52" s="378" t="str">
        <x:v>FY2057–66</x:v>
      </x:c>
      <x:c r="F52" s="472" t="n">
        <x:f>SUMIFS($E$95:$E$152,$B$95:$B$152,"&gt;="&amp;DATE(2056,6,1),$B$95:$B$152,"&lt;="&amp;DATE(2066,5,31),$F$95:$F$152,"&lt;&gt;Term loan")</x:f>
        <x:v>12000000000</x:v>
      </x:c>
    </x:row>
    <x:row r="53" ht="18" customHeight="1">
      <x:c r="A53" s="378" t="str">
        <x:v>FY2031</x:v>
      </x:c>
      <x:c r="B53" s="471" t="d">
        <x:v>2030-06-01T00:00:00.000Z</x:v>
      </x:c>
      <x:c r="C53" s="472" t="n">
        <x:f>SUMIFS($E$95:$E$152,$B$95:$B$152,"&gt;="&amp;B53,$B$95:$B$152,"&lt;="&amp;D53,$F$95:$F$152,"&lt;&gt;Term loan")+SUMIFS($C$78:$C$90,$B$78:$B$90,"&gt;="&amp;B53,$B$78:$B$90,"&lt;="&amp;D53)</x:f>
        <x:v>9750000000</x:v>
      </x:c>
      <x:c r="D53" s="471" t="d">
        <x:v>2031-05-31T00:00:00.000Z</x:v>
      </x:c>
      <x:c r="E53" s="473" t="str">
        <x:v>Sum of decades</x:v>
      </x:c>
      <x:c r="F53" s="474" t="n">
        <x:f>SUM(F49:F52)</x:f>
        <x:v>90250000000</x:v>
      </x:c>
    </x:row>
    <x:row r="54" ht="18" customHeight="1">
      <x:c r="A54" s="378" t="str">
        <x:v>Thereafter</x:v>
      </x:c>
      <x:c r="B54" s="471" t="d">
        <x:v>2031-06-01T00:00:00.000Z</x:v>
      </x:c>
      <x:c r="C54" s="472" t="n">
        <x:f>SUMIFS($E$95:$E$152,$B$95:$B$152,"&gt;="&amp;B54,$F$95:$F$152,"&lt;&gt;Term loan")+SUMIFS($C$78:$C$90,$B$78:$B$90,"&gt;="&amp;B54)</x:f>
        <x:v>90250000000</x:v>
      </x:c>
      <x:c r="D54" s="411" t="str">
        <x:v>Final maturity</x:v>
      </x:c>
      <x:c r="E54" s="378" t="str">
        <x:v>Less Thereafter (C54); should be 0</x:v>
      </x:c>
      <x:c r="F54" s="472" t="n">
        <x:f>F53-C54</x:f>
        <x:v>0</x:v>
      </x:c>
    </x:row>
    <x:row r="55" ht="18" customHeight="1">
      <x:c r="A55" s="473" t="str">
        <x:v>Total, excluding commercial paper</x:v>
      </x:c>
      <x:c r="C55" s="474" t="n">
        <x:f>SUM(C49:C54)</x:f>
        <x:v>125567000000</x:v>
      </x:c>
    </x:row>
    <x:row r="57" ht="30" customHeight="1">
      <x:c r="A57" s="469" t="str">
        <x:v>Principal versus carrying value</x:v>
      </x:c>
      <x:c r="C57" s="470" t="str">
        <x:v>USD millions</x:v>
      </x:c>
      <x:c r="D57" s="470" t="str">
        <x:v>Basis</x:v>
      </x:c>
    </x:row>
    <x:row r="58" ht="30" customHeight="1">
      <x:c r="A58" s="378" t="str">
        <x:v>Senior-note and term-loan principal at August 31</x:v>
      </x:c>
      <x:c r="C58" s="472" t="n">
        <x:f>C55</x:f>
        <x:v>125567000000</x:v>
      </x:c>
      <x:c r="D58" s="395" t="str">
        <x:v>Sum of the calendar above.</x:v>
      </x:c>
    </x:row>
    <x:row r="59" ht="30" customHeight="1">
      <x:c r="A59" s="378" t="str">
        <x:v>Long-term borrowing at carrying value, as tagged</x:v>
      </x:c>
      <x:c r="C59" s="475" t="n">
        <x:v>125000000000</x:v>
      </x:c>
      <x:c r="D59" s="395" t="str">
        <x:v>10-Q Note 2, p. 9: $125.0B, decimals -8 (nearest $100M). us-gaap:DebtInstrumentCarryingAmount, senior notes and other long-term borrowings.</x:v>
      </x:c>
    </x:row>
    <x:row r="60" ht="30" customHeight="1">
      <x:c r="A60" s="378" t="str">
        <x:v>Implied unamortized discount and issuance costs, low</x:v>
      </x:c>
      <x:c r="C60" s="472" t="n">
        <x:f>C58-(C59+50000000)</x:f>
        <x:v>517000000</x:v>
      </x:c>
      <x:c r="D60" s="395" t="str">
        <x:v>Not reported at August 31. Rounding of the tagged figure gives a range.</x:v>
      </x:c>
    </x:row>
    <x:row r="61" ht="18" customHeight="1">
      <x:c r="A61" s="378" t="str">
        <x:v>Implied unamortized discount and issuance costs, high</x:v>
      </x:c>
      <x:c r="C61" s="472" t="n">
        <x:f>C58-(C59-50000000)</x:f>
        <x:v>617000000</x:v>
      </x:c>
    </x:row>
    <x:row r="62" ht="30" customHeight="1">
      <x:c r="A62" s="378" t="str">
        <x:v>Unamortized discount and issuance costs at May 31</x:v>
      </x:c>
      <x:c r="C62" s="475" t="n">
        <x:v>564000000</x:v>
      </x:c>
      <x:c r="D62" s="395" t="str">
        <x:v>10-K Note 6, p. 84. It falls as costs amortize; no new issuance in the quarter.</x:v>
      </x:c>
    </x:row>
    <x:row r="63" ht="30" customHeight="1">
      <x:c r="A63" s="378" t="str">
        <x:v>Current borrowing at carrying value</x:v>
      </x:c>
      <x:c r="C63" s="475" t="n">
        <x:v>7625000000</x:v>
      </x:c>
      <x:c r="D63" s="395" t="str">
        <x:v>10-Q balance sheet, p. 1.</x:v>
      </x:c>
    </x:row>
    <x:row r="64" ht="30" customHeight="1">
      <x:c r="A64" s="378" t="str">
        <x:v>Noncurrent borrowing at carrying value</x:v>
      </x:c>
      <x:c r="C64" s="475" t="n">
        <x:v>117712000000</x:v>
      </x:c>
      <x:c r="D64" s="395" t="str">
        <x:v>10-Q balance sheet, p. 1.</x:v>
      </x:c>
    </x:row>
    <x:row r="65" ht="18" customHeight="1">
      <x:c r="A65" s="378" t="str">
        <x:v>Total borrowing at carrying value</x:v>
      </x:c>
      <x:c r="C65" s="472" t="n">
        <x:f>C63+C64</x:f>
        <x:v>125337000000</x:v>
      </x:c>
    </x:row>
    <x:row r="66" ht="30" customHeight="1">
      <x:c r="A66" s="378" t="str">
        <x:v>Commercial paper implied, low</x:v>
      </x:c>
      <x:c r="C66" s="472" t="n">
        <x:f>C65-(C59+50000000)</x:f>
        <x:v>287000000</x:v>
      </x:c>
      <x:c r="D66" s="395" t="str">
        <x:v>Total carrying less the rounded long-term figure. A range, so the balance stays Unavailable.</x:v>
      </x:c>
    </x:row>
    <x:row r="67" ht="18" customHeight="1">
      <x:c r="A67" s="378" t="str">
        <x:v>Commercial paper implied, high</x:v>
      </x:c>
      <x:c r="C67" s="472" t="n">
        <x:f>C65-(C59-50000000)</x:f>
        <x:v>387000000</x:v>
      </x:c>
    </x:row>
    <x:row r="68" ht="30" customHeight="1">
      <x:c r="A68" s="378" t="str">
        <x:v>Grouped June–August repayments</x:v>
      </x:c>
      <x:c r="C68" s="475" t="n">
        <x:v>4202000000</x:v>
      </x:c>
      <x:c r="D68" s="395" t="str">
        <x:v>10-Q cash flows, p. 5: senior notes, term loan and other borrowings. Not assigned to instruments.</x:v>
      </x:c>
    </x:row>
    <x:row r="69" ht="30" customHeight="1">
      <x:c r="A69" s="378" t="str">
        <x:v>Scheduled principal due June–August</x:v>
      </x:c>
      <x:c r="C69" s="472" t="n">
        <x:f>C95+C85</x:f>
        <x:v>3070375000</x:v>
      </x:c>
      <x:c r="D69" s="395" t="str">
        <x:v>July 15, 2026 notes plus the June 30 term-loan installment. MD&amp;A: about $3.1B of scheduled repayments.</x:v>
      </x:c>
    </x:row>
    <x:row r="70" ht="30" customHeight="1">
      <x:c r="A70" s="378" t="str">
        <x:v>Grouped repayments less scheduled principal</x:v>
      </x:c>
      <x:c r="C70" s="472" t="n">
        <x:f>C68-C69</x:f>
        <x:v>1131625000</x:v>
      </x:c>
      <x:c r="D70" s="395" t="str">
        <x:v>MD&amp;A describes about $1.1B of commercial-paper repayment; the commercial-paper row is zero. Not subtracted.</x:v>
      </x:c>
    </x:row>
    <x:row r="71" ht="30" customHeight="1">
      <x:c r="A71" s="378" t="str">
        <x:v>Instrument principal at May 31</x:v>
      </x:c>
      <x:c r="C71" s="472" t="n">
        <x:f>SUM(C95:C152)</x:f>
        <x:v>130105000000</x:v>
      </x:c>
      <x:c r="D71" s="395" t="str">
        <x:v>Sum of the instrument table.</x:v>
      </x:c>
    </x:row>
    <x:row r="72" ht="30" customHeight="1">
      <x:c r="A72" s="378" t="str">
        <x:v>Reported principal total at May 31</x:v>
      </x:c>
      <x:c r="C72" s="475" t="n">
        <x:v>130105000000</x:v>
      </x:c>
      <x:c r="D72" s="395" t="str">
        <x:v>10-K Note 6, p. 84; us-gaap:DebtInstrumentCarryingAmount, undimensioned.</x:v>
      </x:c>
    </x:row>
    <x:row r="73" ht="18" customHeight="1">
      <x:c r="A73" s="473" t="str">
        <x:v>Difference</x:v>
      </x:c>
      <x:c r="C73" s="474" t="n">
        <x:f>C71-C72</x:f>
        <x:v>0</x:v>
      </x:c>
    </x:row>
    <x:row r="76" ht="18" customHeight="1">
      <x:c r="A76" s="469" t="str">
        <x:v>Term loan: amortization from the stated terms (10-K Note 6, pp. 85–86)</x:v>
      </x:c>
      <x:c r="B76" s="470" t="str">
        <x:v>Date</x:v>
      </x:c>
      <x:c r="C76" s="470" t="str">
        <x:v>USD millions</x:v>
      </x:c>
      <x:c r="D76" s="470" t="str">
        <x:v>Basis</x:v>
      </x:c>
    </x:row>
    <x:row r="77" ht="18" customHeight="1">
      <x:c r="A77" s="378" t="str">
        <x:v>Amount borrowed</x:v>
      </x:c>
      <x:c r="C77" s="475" t="n">
        <x:v>5630000000</x:v>
      </x:c>
      <x:c r="D77" s="395" t="str">
        <x:v>us-gaap:DebtInstrumentFaceAmount, term loan member, May 31, 2026. Assumes no prepayment.</x:v>
      </x:c>
    </x:row>
    <x:row r="78" ht="18" customHeight="1">
      <x:c r="A78" s="378" t="str">
        <x:v>Installment, paid</x:v>
      </x:c>
      <x:c r="B78" s="471" t="d">
        <x:v>2024-09-30T00:00:00.000Z</x:v>
      </x:c>
      <x:c r="C78" s="472" t="n">
        <x:f>ROUND($C$77*0.0125,0)</x:f>
        <x:v>70375000</x:v>
      </x:c>
      <x:c r="D78" s="395" t="str">
        <x:v>1.25% of the amount borrowed</x:v>
      </x:c>
    </x:row>
    <x:row r="79" ht="18" customHeight="1">
      <x:c r="A79" s="378" t="str">
        <x:v>Installment, paid</x:v>
      </x:c>
      <x:c r="B79" s="471" t="d">
        <x:v>2024-12-31T00:00:00.000Z</x:v>
      </x:c>
      <x:c r="C79" s="472" t="n">
        <x:f>ROUND($C$77*0.0125,0)</x:f>
        <x:v>70375000</x:v>
      </x:c>
      <x:c r="D79" s="395" t="str">
        <x:v>1.25% of the amount borrowed</x:v>
      </x:c>
    </x:row>
    <x:row r="80" ht="18" customHeight="1">
      <x:c r="A80" s="378" t="str">
        <x:v>Installment, paid</x:v>
      </x:c>
      <x:c r="B80" s="471" t="d">
        <x:v>2025-03-31T00:00:00.000Z</x:v>
      </x:c>
      <x:c r="C80" s="472" t="n">
        <x:f>ROUND($C$77*0.0125,0)</x:f>
        <x:v>70375000</x:v>
      </x:c>
      <x:c r="D80" s="395" t="str">
        <x:v>1.25% of the amount borrowed</x:v>
      </x:c>
    </x:row>
    <x:row r="81" ht="18" customHeight="1">
      <x:c r="A81" s="378" t="str">
        <x:v>Installment, paid</x:v>
      </x:c>
      <x:c r="B81" s="471" t="d">
        <x:v>2025-06-30T00:00:00.000Z</x:v>
      </x:c>
      <x:c r="C81" s="472" t="n">
        <x:f>ROUND($C$77*0.0125,0)</x:f>
        <x:v>70375000</x:v>
      </x:c>
      <x:c r="D81" s="395" t="str">
        <x:v>1.25% of the amount borrowed</x:v>
      </x:c>
    </x:row>
    <x:row r="82" ht="18" customHeight="1">
      <x:c r="A82" s="378" t="str">
        <x:v>Installment, paid</x:v>
      </x:c>
      <x:c r="B82" s="471" t="d">
        <x:v>2025-09-30T00:00:00.000Z</x:v>
      </x:c>
      <x:c r="C82" s="472" t="n">
        <x:f>ROUND($C$77*0.0125,0)</x:f>
        <x:v>70375000</x:v>
      </x:c>
      <x:c r="D82" s="395" t="str">
        <x:v>1.25% of the amount borrowed</x:v>
      </x:c>
    </x:row>
    <x:row r="83" ht="18" customHeight="1">
      <x:c r="A83" s="378" t="str">
        <x:v>Installment, paid</x:v>
      </x:c>
      <x:c r="B83" s="471" t="d">
        <x:v>2025-12-31T00:00:00.000Z</x:v>
      </x:c>
      <x:c r="C83" s="472" t="n">
        <x:f>ROUND($C$77*0.0125,0)</x:f>
        <x:v>70375000</x:v>
      </x:c>
      <x:c r="D83" s="395" t="str">
        <x:v>1.25% of the amount borrowed</x:v>
      </x:c>
    </x:row>
    <x:row r="84" ht="18" customHeight="1">
      <x:c r="A84" s="378" t="str">
        <x:v>Installment, paid</x:v>
      </x:c>
      <x:c r="B84" s="471" t="d">
        <x:v>2026-03-31T00:00:00.000Z</x:v>
      </x:c>
      <x:c r="C84" s="472" t="n">
        <x:f>ROUND($C$77*0.0125,0)</x:f>
        <x:v>70375000</x:v>
      </x:c>
      <x:c r="D84" s="395" t="str">
        <x:v>1.25% of the amount borrowed</x:v>
      </x:c>
    </x:row>
    <x:row r="85" ht="18" customHeight="1">
      <x:c r="A85" s="378" t="str">
        <x:v>Installment, June–August</x:v>
      </x:c>
      <x:c r="B85" s="471" t="d">
        <x:v>2026-06-30T00:00:00.000Z</x:v>
      </x:c>
      <x:c r="C85" s="472" t="n">
        <x:f>ROUND($C$77*0.0125,0)</x:f>
        <x:v>70375000</x:v>
      </x:c>
      <x:c r="D85" s="395" t="str">
        <x:v>1.25% of the amount borrowed</x:v>
      </x:c>
    </x:row>
    <x:row r="86" ht="18" customHeight="1">
      <x:c r="A86" s="378" t="str">
        <x:v>Installment, scheduled</x:v>
      </x:c>
      <x:c r="B86" s="471" t="d">
        <x:v>2026-09-30T00:00:00.000Z</x:v>
      </x:c>
      <x:c r="C86" s="472" t="n">
        <x:f>ROUND($C$77*0.025,0)</x:f>
        <x:v>140750000</x:v>
      </x:c>
      <x:c r="D86" s="395" t="str">
        <x:v>2.50% of the amount borrowed</x:v>
      </x:c>
    </x:row>
    <x:row r="87" ht="18" customHeight="1">
      <x:c r="A87" s="378" t="str">
        <x:v>Installment, scheduled</x:v>
      </x:c>
      <x:c r="B87" s="471" t="d">
        <x:v>2026-12-31T00:00:00.000Z</x:v>
      </x:c>
      <x:c r="C87" s="472" t="n">
        <x:f>ROUND($C$77*0.025,0)</x:f>
        <x:v>140750000</x:v>
      </x:c>
      <x:c r="D87" s="395" t="str">
        <x:v>2.50% of the amount borrowed</x:v>
      </x:c>
    </x:row>
    <x:row r="88" ht="18" customHeight="1">
      <x:c r="A88" s="378" t="str">
        <x:v>Installment, scheduled</x:v>
      </x:c>
      <x:c r="B88" s="471" t="d">
        <x:v>2027-03-31T00:00:00.000Z</x:v>
      </x:c>
      <x:c r="C88" s="472" t="n">
        <x:f>ROUND($C$77*0.025,0)</x:f>
        <x:v>140750000</x:v>
      </x:c>
      <x:c r="D88" s="395" t="str">
        <x:v>2.50% of the amount borrowed</x:v>
      </x:c>
    </x:row>
    <x:row r="89" ht="18" customHeight="1">
      <x:c r="A89" s="378" t="str">
        <x:v>Installment, scheduled</x:v>
      </x:c>
      <x:c r="B89" s="471" t="d">
        <x:v>2027-06-30T00:00:00.000Z</x:v>
      </x:c>
      <x:c r="C89" s="472" t="n">
        <x:f>ROUND($C$77*0.025,0)</x:f>
        <x:v>140750000</x:v>
      </x:c>
      <x:c r="D89" s="395" t="str">
        <x:v>2.50% of the amount borrowed</x:v>
      </x:c>
    </x:row>
    <x:row r="90" ht="18" customHeight="1">
      <x:c r="A90" s="378" t="str">
        <x:v>Remaining principal</x:v>
      </x:c>
      <x:c r="B90" s="471" t="d">
        <x:v>2027-08-16T00:00:00.000Z</x:v>
      </x:c>
      <x:c r="C90" s="472" t="n">
        <x:f>C77-SUM(C78:C89)</x:f>
        <x:v>4504000000</x:v>
      </x:c>
      <x:c r="D90" s="395" t="str">
        <x:v>Due August 16, 2027 unless Oracle extends it (up to 2 years at its option).</x:v>
      </x:c>
    </x:row>
    <x:row r="91" ht="18" customHeight="1">
      <x:c r="A91" s="473" t="str">
        <x:v>Principal outstanding at August 31, 2026</x:v>
      </x:c>
      <x:c r="C91" s="474" t="n">
        <x:f>C77-SUMIFS(C78:C89,B78:B89,"&lt;="&amp;DATE(2026,8,31))</x:f>
        <x:v>5067000000</x:v>
      </x:c>
    </x:row>
    <x:row r="92" ht="18" customHeight="1">
      <x:c r="A92" s="378" t="str">
        <x:v>Check: calculated May 31, 2026 balance less reported 5,137M</x:v>
      </x:c>
      <x:c r="C92" s="472" t="n">
        <x:f>C77-SUMIFS(C78:C89,B78:B89,"&lt;="&amp;DATE(2026,5,31))-5137000000</x:f>
        <x:v>375000</x:v>
      </x:c>
      <x:c r="D92" s="395" t="str">
        <x:v>Reported to the nearest million; a difference under 0.5M agrees.</x:v>
      </x:c>
    </x:row>
    <x:row r="94" ht="42" customHeight="1">
      <x:c r="A94" s="469" t="str">
        <x:v>Instrument (10-K debt table)</x:v>
      </x:c>
      <x:c r="B94" s="470" t="str">
        <x:v>Maturity</x:v>
      </x:c>
      <x:c r="C94" s="470" t="str">
        <x:v>May 31, 2026 principal (USD millions)</x:v>
      </x:c>
      <x:c r="D94" s="470" t="str">
        <x:v>Status and source</x:v>
      </x:c>
      <x:c r="E94" s="470" t="str">
        <x:v>August 31, 2026 principal (USD millions)</x:v>
      </x:c>
      <x:c r="F94" s="476" t="str">
        <x:v>Kind</x:v>
      </x:c>
    </x:row>
    <x:row r="95" ht="42" customHeight="1">
      <x:c r="A95" s="378" t="str">
        <x:v>$3,000M, 2.65%, due July 2026</x:v>
      </x:c>
      <x:c r="B95" s="471" t="d">
        <x:v>2026-07-15T00:00:00.000Z</x:v>
      </x:c>
      <x:c r="C95" s="475" t="n">
        <x:v>3000000000</x:v>
      </x:c>
      <x:c r="D95" s="395" t="str">
        <x:v>Matured. us-gaap:DebtInstrumentCarryingAmount context C_f6f6c107-8a12-4a7a-ad60-94e54101fe3c; maturity context C_82c89223-0cbb-481e-84b9-48f80a5082f5; 0001193125-26-277521.</x:v>
      </x:c>
      <x:c r="E95" s="472" t="n">
        <x:f>C95-C95</x:f>
        <x:v>0</x:v>
      </x:c>
      <x:c r="F95" s="477" t="str">
        <x:v>Senior notes</x:v>
      </x:c>
    </x:row>
    <x:row r="96" ht="42" customHeight="1">
      <x:c r="A96" s="378" t="str">
        <x:v>$2,250M, 2.80%, due April 2027</x:v>
      </x:c>
      <x:c r="B96" s="471" t="d">
        <x:v>2027-04-01T00:00:00.000Z</x:v>
      </x:c>
      <x:c r="C96" s="475" t="n">
        <x:v>2250000000</x:v>
      </x:c>
      <x:c r="D96" s="395" t="str">
        <x:v>Carried forward. us-gaap:DebtInstrumentCarryingAmount context C_a743ec6f-8eeb-46ab-9053-3f4f619edb0e; maturity context C_4ed1ffae-e627-4ff0-9e73-62f4d4831289; 0001193125-26-277521.</x:v>
      </x:c>
      <x:c r="E96" s="472" t="n">
        <x:f>C96</x:f>
        <x:v>2250000000</x:v>
      </x:c>
      <x:c r="F96" s="477" t="str">
        <x:v>Senior notes</x:v>
      </x:c>
    </x:row>
    <x:row r="97" ht="42" customHeight="1">
      <x:c r="A97" s="378" t="str">
        <x:v>$2,750M, 3.25%, due November 2027</x:v>
      </x:c>
      <x:c r="B97" s="471" t="d">
        <x:v>2027-11-15T00:00:00.000Z</x:v>
      </x:c>
      <x:c r="C97" s="475" t="n">
        <x:v>2750000000</x:v>
      </x:c>
      <x:c r="D97" s="395" t="str">
        <x:v>Carried forward. us-gaap:DebtInstrumentCarryingAmount context C_4c58a11e-87b8-42bf-abc3-7205aad3686f; maturity context C_1c95f548-9457-4d15-a314-5846d57f51bb; 0001193125-26-277521.</x:v>
      </x:c>
      <x:c r="E97" s="472" t="n">
        <x:f>C97</x:f>
        <x:v>2750000000</x:v>
      </x:c>
      <x:c r="F97" s="477" t="str">
        <x:v>Senior notes</x:v>
      </x:c>
    </x:row>
    <x:row r="98" ht="42" customHeight="1">
      <x:c r="A98" s="378" t="str">
        <x:v>$2,000M, 2.30%, due March 2028</x:v>
      </x:c>
      <x:c r="B98" s="471" t="d">
        <x:v>2028-03-25T00:00:00.000Z</x:v>
      </x:c>
      <x:c r="C98" s="475" t="n">
        <x:v>2000000000</x:v>
      </x:c>
      <x:c r="D98" s="395" t="str">
        <x:v>Carried forward. us-gaap:DebtInstrumentCarryingAmount context C_4a760de7-ba70-4c1c-ac7b-173b0770c81c; maturity context C_41995800-b301-4bca-aa8e-d3d7891b9a21; 0001193125-26-277521.</x:v>
      </x:c>
      <x:c r="E98" s="472" t="n">
        <x:f>C98</x:f>
        <x:v>2000000000</x:v>
      </x:c>
      <x:c r="F98" s="477" t="str">
        <x:v>Senior notes</x:v>
      </x:c>
    </x:row>
    <x:row r="99" ht="42" customHeight="1">
      <x:c r="A99" s="378" t="str">
        <x:v>$750M, 4.50%, due May 2028</x:v>
      </x:c>
      <x:c r="B99" s="471" t="d">
        <x:v>2028-05-31T00:00:00.000Z</x:v>
      </x:c>
      <x:c r="C99" s="475" t="n">
        <x:v>750000000</x:v>
      </x:c>
      <x:c r="D99" s="395" t="str">
        <x:v>Carried forward. us-gaap:DebtInstrumentCarryingAmount context C_9142af28-1adb-4c96-b444-3af20bbae4be; maturity context C_ee007d6d-25d3-45c9-b6db-c8e95861832f; 0001193125-26-277521.</x:v>
      </x:c>
      <x:c r="E99" s="472" t="n">
        <x:f>C99</x:f>
        <x:v>750000000</x:v>
      </x:c>
      <x:c r="F99" s="477" t="str">
        <x:v>Senior notes</x:v>
      </x:c>
    </x:row>
    <x:row r="100" ht="42" customHeight="1">
      <x:c r="A100" s="378" t="str">
        <x:v>$1,500M, 4.80%, due August 2028</x:v>
      </x:c>
      <x:c r="B100" s="471" t="d">
        <x:v>2028-08-03T00:00:00.000Z</x:v>
      </x:c>
      <x:c r="C100" s="475" t="n">
        <x:v>1500000000</x:v>
      </x:c>
      <x:c r="D100" s="395" t="str">
        <x:v>Carried forward. us-gaap:DebtInstrumentCarryingAmount context C_6d6ee105-8c7d-4446-b600-b6b3bf8abe98; maturity context C_b0308845-53c8-4e78-84f0-632a05942478; 0001193125-26-277521.</x:v>
      </x:c>
      <x:c r="E100" s="472" t="n">
        <x:f>C100</x:f>
        <x:v>1500000000</x:v>
      </x:c>
      <x:c r="F100" s="477" t="str">
        <x:v>Senior notes</x:v>
      </x:c>
    </x:row>
    <x:row r="101" ht="42" customHeight="1">
      <x:c r="A101" s="378" t="str">
        <x:v>$3,000M, 4.55%, due February 2029</x:v>
      </x:c>
      <x:c r="B101" s="471" t="d">
        <x:v>2029-02-04T00:00:00.000Z</x:v>
      </x:c>
      <x:c r="C101" s="475" t="n">
        <x:v>3000000000</x:v>
      </x:c>
      <x:c r="D101" s="395" t="str">
        <x:v>Carried forward. us-gaap:DebtInstrumentCarryingAmount context C_65c60c9a-dbfb-41bd-abf8-5f20f2aaba3f; maturity context C_60faf990-bab5-4720-a6bb-473674f3409b; 0001193125-26-277521.</x:v>
      </x:c>
      <x:c r="E101" s="472" t="n">
        <x:f>C101</x:f>
        <x:v>3000000000</x:v>
      </x:c>
      <x:c r="F101" s="477" t="str">
        <x:v>Senior notes</x:v>
      </x:c>
    </x:row>
    <x:row r="102" ht="42" customHeight="1">
      <x:c r="A102" s="378" t="str">
        <x:v>$1,500M, 4.20%, due September 2029</x:v>
      </x:c>
      <x:c r="B102" s="471" t="d">
        <x:v>2029-09-27T00:00:00.000Z</x:v>
      </x:c>
      <x:c r="C102" s="475" t="n">
        <x:v>1500000000</x:v>
      </x:c>
      <x:c r="D102" s="395" t="str">
        <x:v>Carried forward. us-gaap:DebtInstrumentCarryingAmount context C_4b945cce-a91e-4713-8804-16879a87ff5b; maturity context C_284f12f2-49cc-4919-9bfe-565b7cb11da3; 0001193125-26-277521.</x:v>
      </x:c>
      <x:c r="E102" s="472" t="n">
        <x:f>C102</x:f>
        <x:v>1500000000</x:v>
      </x:c>
      <x:c r="F102" s="477" t="str">
        <x:v>Senior notes</x:v>
      </x:c>
    </x:row>
    <x:row r="103" ht="42" customHeight="1">
      <x:c r="A103" s="378" t="str">
        <x:v>$1,250M, 6.15%, due November 2029</x:v>
      </x:c>
      <x:c r="B103" s="471" t="d">
        <x:v>2029-11-09T00:00:00.000Z</x:v>
      </x:c>
      <x:c r="C103" s="475" t="n">
        <x:v>1250000000</x:v>
      </x:c>
      <x:c r="D103" s="395" t="str">
        <x:v>Carried forward. us-gaap:DebtInstrumentCarryingAmount context C_8aa7e201-edc6-4920-8256-35f8ee18f4b8; maturity context C_4973fb3e-333f-477a-ba61-72a554e14e74; 0001193125-26-277521.</x:v>
      </x:c>
      <x:c r="E103" s="472" t="n">
        <x:f>C103</x:f>
        <x:v>1250000000</x:v>
      </x:c>
      <x:c r="F103" s="477" t="str">
        <x:v>Senior notes</x:v>
      </x:c>
    </x:row>
    <x:row r="104" ht="42" customHeight="1">
      <x:c r="A104" s="378" t="str">
        <x:v>$3,250M, 2.95%, due April 2030</x:v>
      </x:c>
      <x:c r="B104" s="471" t="d">
        <x:v>2030-04-01T00:00:00.000Z</x:v>
      </x:c>
      <x:c r="C104" s="475" t="n">
        <x:v>3250000000</x:v>
      </x:c>
      <x:c r="D104" s="395" t="str">
        <x:v>Carried forward. us-gaap:DebtInstrumentCarryingAmount context C_b19b50e6-b222-456d-9fea-1bca5e3fb634; maturity context C_e5ce1dde-2e13-478e-abdb-bcf96493f139; 0001193125-26-277521.</x:v>
      </x:c>
      <x:c r="E104" s="472" t="n">
        <x:f>C104</x:f>
        <x:v>3250000000</x:v>
      </x:c>
      <x:c r="F104" s="477" t="str">
        <x:v>Senior notes</x:v>
      </x:c>
    </x:row>
    <x:row r="105" ht="42" customHeight="1">
      <x:c r="A105" s="378" t="str">
        <x:v>$750M, 4.65%, due May 2030</x:v>
      </x:c>
      <x:c r="B105" s="471" t="d">
        <x:v>2030-05-31T00:00:00.000Z</x:v>
      </x:c>
      <x:c r="C105" s="475" t="n">
        <x:v>750000000</x:v>
      </x:c>
      <x:c r="D105" s="395" t="str">
        <x:v>Carried forward. us-gaap:DebtInstrumentCarryingAmount context C_c76136cd-2797-4fef-883c-79d66d5a2837; maturity context C_59ec280a-ba89-4433-a4e5-ee4f403f9184; 0001193125-26-277521.</x:v>
      </x:c>
      <x:c r="E105" s="472" t="n">
        <x:f>C105</x:f>
        <x:v>750000000</x:v>
      </x:c>
      <x:c r="F105" s="477" t="str">
        <x:v>Senior notes</x:v>
      </x:c>
    </x:row>
    <x:row r="106" ht="42" customHeight="1">
      <x:c r="A106" s="378" t="str">
        <x:v>$500M, 3.25%, due May 2030</x:v>
      </x:c>
      <x:c r="B106" s="471" t="d">
        <x:v>2030-05-15T00:00:00.000Z</x:v>
      </x:c>
      <x:c r="C106" s="475" t="n">
        <x:v>500000000</x:v>
      </x:c>
      <x:c r="D106" s="395" t="str">
        <x:v>Carried forward. us-gaap:DebtInstrumentCarryingAmount context C_70c2256f-1f16-4e15-bc5c-53c1fc629421; maturity context C_c0d2d8c5-4432-486a-8154-4b567f4506b1; 0001193125-26-277521.</x:v>
      </x:c>
      <x:c r="E106" s="472" t="n">
        <x:f>C106</x:f>
        <x:v>500000000</x:v>
      </x:c>
      <x:c r="F106" s="477" t="str">
        <x:v>Senior notes</x:v>
      </x:c>
    </x:row>
    <x:row r="107" ht="42" customHeight="1">
      <x:c r="A107" s="378" t="str">
        <x:v>$3,000M, 4.45%, due September 2030</x:v>
      </x:c>
      <x:c r="B107" s="471" t="d">
        <x:v>2030-09-26T00:00:00.000Z</x:v>
      </x:c>
      <x:c r="C107" s="475" t="n">
        <x:v>3000000000</x:v>
      </x:c>
      <x:c r="D107" s="395" t="str">
        <x:v>Carried forward. us-gaap:DebtInstrumentCarryingAmount context C_113e803d-da69-4c22-a39c-a109d7514b35; maturity context C_450fa2a2-ef57-465e-8c9a-60b4dc366c86; 0001193125-26-277521.</x:v>
      </x:c>
      <x:c r="E107" s="472" t="n">
        <x:f>C107</x:f>
        <x:v>3000000000</x:v>
      </x:c>
      <x:c r="F107" s="477" t="str">
        <x:v>Senior notes</x:v>
      </x:c>
    </x:row>
    <x:row r="108" ht="42" customHeight="1">
      <x:c r="A108" s="378" t="str">
        <x:v>$3,500M, 4.95%, due February 2031</x:v>
      </x:c>
      <x:c r="B108" s="471" t="d">
        <x:v>2031-02-04T00:00:00.000Z</x:v>
      </x:c>
      <x:c r="C108" s="475" t="n">
        <x:v>3500000000</x:v>
      </x:c>
      <x:c r="D108" s="395" t="str">
        <x:v>Carried forward. us-gaap:DebtInstrumentCarryingAmount context C_87f6716e-b1b9-4a3d-9ba1-858589593ee3; maturity context C_0929a12e-be9c-4351-bfcf-c9898bf10fa9; 0001193125-26-277521.</x:v>
      </x:c>
      <x:c r="E108" s="472" t="n">
        <x:f>C108</x:f>
        <x:v>3500000000</x:v>
      </x:c>
      <x:c r="F108" s="477" t="str">
        <x:v>Senior notes</x:v>
      </x:c>
    </x:row>
    <x:row r="109" ht="42" customHeight="1">
      <x:c r="A109" s="378" t="str">
        <x:v>$3,250M, 2.875%, due March 2031</x:v>
      </x:c>
      <x:c r="B109" s="471" t="d">
        <x:v>2031-03-31T00:00:00.000Z</x:v>
      </x:c>
      <x:c r="C109" s="475" t="n">
        <x:v>3250000000</x:v>
      </x:c>
      <x:c r="D109" s="395" t="str">
        <x:v>Carried forward. us-gaap:DebtInstrumentCarryingAmount context C_48f76007-8b8f-482c-ae4e-cc2d13f4241b; maturity context C_011cb79f-6e74-4a91-be76-d4061500e549; 0001193125-26-277521.</x:v>
      </x:c>
      <x:c r="E109" s="472" t="n">
        <x:f>C109</x:f>
        <x:v>3250000000</x:v>
      </x:c>
      <x:c r="F109" s="477" t="str">
        <x:v>Senior notes</x:v>
      </x:c>
    </x:row>
    <x:row r="110" ht="42" customHeight="1">
      <x:c r="A110" s="378" t="str">
        <x:v>$1,250M, 5.25%, due February 2032</x:v>
      </x:c>
      <x:c r="B110" s="471" t="d">
        <x:v>2032-02-03T00:00:00.000Z</x:v>
      </x:c>
      <x:c r="C110" s="475" t="n">
        <x:v>1250000000</x:v>
      </x:c>
      <x:c r="D110" s="395" t="str">
        <x:v>Carried forward. us-gaap:DebtInstrumentCarryingAmount context C_e42f7f37-e8c5-46a8-90f7-e218c66724e4; maturity context C_0ee767cf-95d4-47fb-b863-88f4b4296910; 0001193125-26-277521.</x:v>
      </x:c>
      <x:c r="E110" s="472" t="n">
        <x:f>C110</x:f>
        <x:v>1250000000</x:v>
      </x:c>
      <x:c r="F110" s="477" t="str">
        <x:v>Senior notes</x:v>
      </x:c>
    </x:row>
    <x:row r="111" ht="42" customHeight="1">
      <x:c r="A111" s="378" t="str">
        <x:v>$3,000M, 4.80%, due September 2032</x:v>
      </x:c>
      <x:c r="B111" s="471" t="d">
        <x:v>2032-09-26T00:00:00.000Z</x:v>
      </x:c>
      <x:c r="C111" s="475" t="n">
        <x:v>3000000000</x:v>
      </x:c>
      <x:c r="D111" s="395" t="str">
        <x:v>Carried forward. us-gaap:DebtInstrumentCarryingAmount context C_50527f49-e9c6-4c52-a8ec-b1c2a0068c55; maturity context C_1703a636-7c7e-455b-9aad-037fbbaacc99; 0001193125-26-277521.</x:v>
      </x:c>
      <x:c r="E111" s="472" t="n">
        <x:f>C111</x:f>
        <x:v>3000000000</x:v>
      </x:c>
      <x:c r="F111" s="477" t="str">
        <x:v>Senior notes</x:v>
      </x:c>
    </x:row>
    <x:row r="112" ht="42" customHeight="1">
      <x:c r="A112" s="378" t="str">
        <x:v>$2,250M, 6.25%, due November 2032</x:v>
      </x:c>
      <x:c r="B112" s="471" t="d">
        <x:v>2032-11-09T00:00:00.000Z</x:v>
      </x:c>
      <x:c r="C112" s="475" t="n">
        <x:v>2250000000</x:v>
      </x:c>
      <x:c r="D112" s="395" t="str">
        <x:v>Carried forward. us-gaap:DebtInstrumentCarryingAmount context C_3baaf4b5-05a7-4e95-a2c7-fdbbde90234a; maturity context C_cecd92ce-5eb3-4ec8-94f1-e313e35dd75e; 0001193125-26-277521.</x:v>
      </x:c>
      <x:c r="E112" s="472" t="n">
        <x:f>C112</x:f>
        <x:v>2250000000</x:v>
      </x:c>
      <x:c r="F112" s="477" t="str">
        <x:v>Senior notes</x:v>
      </x:c>
    </x:row>
    <x:row r="113" ht="42" customHeight="1">
      <x:c r="A113" s="378" t="str">
        <x:v>$1,500M, 4.90%, due February 2033</x:v>
      </x:c>
      <x:c r="B113" s="471" t="d">
        <x:v>2033-02-28T00:00:00.000Z</x:v>
      </x:c>
      <x:c r="C113" s="475" t="n">
        <x:v>1500000000</x:v>
      </x:c>
      <x:c r="D113" s="395" t="str">
        <x:v>Carried forward. us-gaap:DebtInstrumentCarryingAmount context C_532c52db-e3a7-41dc-a1d8-5abc4267e4d1; maturity context C_8c69b03d-1853-45b2-905e-31a465a92f7e; 0001193125-26-277521.</x:v>
      </x:c>
      <x:c r="E113" s="472" t="n">
        <x:f>C113</x:f>
        <x:v>1500000000</x:v>
      </x:c>
      <x:c r="F113" s="477" t="str">
        <x:v>Senior notes</x:v>
      </x:c>
    </x:row>
    <x:row r="114" ht="42" customHeight="1">
      <x:c r="A114" s="378" t="str">
        <x:v>$3,000M, 5.35%, due May 2033</x:v>
      </x:c>
      <x:c r="B114" s="471" t="d">
        <x:v>2033-05-04T00:00:00.000Z</x:v>
      </x:c>
      <x:c r="C114" s="475" t="n">
        <x:v>3000000000</x:v>
      </x:c>
      <x:c r="D114" s="395" t="str">
        <x:v>Carried forward. us-gaap:DebtInstrumentCarryingAmount context C_b9924291-37c4-4597-bf81-6b6f7148423e; maturity context C_2bf90733-de25-4675-b8ec-f0cae3262cec; 0001193125-26-277521.</x:v>
      </x:c>
      <x:c r="E114" s="472" t="n">
        <x:f>C114</x:f>
        <x:v>3000000000</x:v>
      </x:c>
      <x:c r="F114" s="477" t="str">
        <x:v>Senior notes</x:v>
      </x:c>
    </x:row>
    <x:row r="115" ht="42" customHeight="1">
      <x:c r="A115" s="378" t="str">
        <x:v>$1,750M, 4.30%, due July 2034</x:v>
      </x:c>
      <x:c r="B115" s="471" t="d">
        <x:v>2034-07-08T00:00:00.000Z</x:v>
      </x:c>
      <x:c r="C115" s="475" t="n">
        <x:v>1750000000</x:v>
      </x:c>
      <x:c r="D115" s="395" t="str">
        <x:v>Carried forward. us-gaap:DebtInstrumentCarryingAmount context C_f735565f-4060-4ea6-9a9b-a17b4d097aca; maturity context C_fdd0efc7-2a44-4070-96c8-a22a2e9be324; 0001193125-26-277521.</x:v>
      </x:c>
      <x:c r="E115" s="472" t="n">
        <x:f>C115</x:f>
        <x:v>1750000000</x:v>
      </x:c>
      <x:c r="F115" s="477" t="str">
        <x:v>Senior notes</x:v>
      </x:c>
    </x:row>
    <x:row r="116" ht="42" customHeight="1">
      <x:c r="A116" s="378" t="str">
        <x:v>$1,750M, 4.70%, due September 2034</x:v>
      </x:c>
      <x:c r="B116" s="471" t="d">
        <x:v>2034-09-27T00:00:00.000Z</x:v>
      </x:c>
      <x:c r="C116" s="475" t="n">
        <x:v>1750000000</x:v>
      </x:c>
      <x:c r="D116" s="395" t="str">
        <x:v>Carried forward. us-gaap:DebtInstrumentCarryingAmount context C_15416320-28ee-45bd-9193-de9adecf8103; maturity context C_5494947c-d4aa-4925-ace3-a65e708e5657; 0001193125-26-277521.</x:v>
      </x:c>
      <x:c r="E116" s="472" t="n">
        <x:f>C116</x:f>
        <x:v>1750000000</x:v>
      </x:c>
      <x:c r="F116" s="477" t="str">
        <x:v>Senior notes</x:v>
      </x:c>
    </x:row>
    <x:row r="117" ht="42" customHeight="1">
      <x:c r="A117" s="378" t="str">
        <x:v>$1,250M, 3.90%, due May 2035</x:v>
      </x:c>
      <x:c r="B117" s="471" t="d">
        <x:v>2035-05-15T00:00:00.000Z</x:v>
      </x:c>
      <x:c r="C117" s="475" t="n">
        <x:v>1250000000</x:v>
      </x:c>
      <x:c r="D117" s="395" t="str">
        <x:v>Carried forward. us-gaap:DebtInstrumentCarryingAmount context C_01f50072-c7e6-47ea-9b91-24a078772c62; maturity context C_7ca11f63-9a19-4daa-bfdc-20512d930ab7; 0001193125-26-277521.</x:v>
      </x:c>
      <x:c r="E117" s="472" t="n">
        <x:f>C117</x:f>
        <x:v>1250000000</x:v>
      </x:c>
      <x:c r="F117" s="477" t="str">
        <x:v>Senior notes</x:v>
      </x:c>
    </x:row>
    <x:row r="118" ht="42" customHeight="1">
      <x:c r="A118" s="378" t="str">
        <x:v>$1,750M, 5.50%, due August 2035</x:v>
      </x:c>
      <x:c r="B118" s="471" t="d">
        <x:v>2035-08-03T00:00:00.000Z</x:v>
      </x:c>
      <x:c r="C118" s="475" t="n">
        <x:v>1750000000</x:v>
      </x:c>
      <x:c r="D118" s="395" t="str">
        <x:v>Carried forward. us-gaap:DebtInstrumentCarryingAmount context C_aac57422-340d-4fbf-b85b-5fcc96306c34; maturity context C_828d1f7b-6c6e-40f0-b4d5-f8bb3835de34; 0001193125-26-277521.</x:v>
      </x:c>
      <x:c r="E118" s="472" t="n">
        <x:f>C118</x:f>
        <x:v>1750000000</x:v>
      </x:c>
      <x:c r="F118" s="477" t="str">
        <x:v>Senior notes</x:v>
      </x:c>
    </x:row>
    <x:row r="119" ht="42" customHeight="1">
      <x:c r="A119" s="378" t="str">
        <x:v>$4,000M, 5.20%, due September 2035</x:v>
      </x:c>
      <x:c r="B119" s="471" t="d">
        <x:v>2035-09-26T00:00:00.000Z</x:v>
      </x:c>
      <x:c r="C119" s="475" t="n">
        <x:v>4000000000</x:v>
      </x:c>
      <x:c r="D119" s="395" t="str">
        <x:v>Carried forward. us-gaap:DebtInstrumentCarryingAmount context C_573df544-be68-4729-878f-dc0c4d603869; maturity context C_3ddf21c1-db22-40ae-ab21-78484efaa8f6; 0001193125-26-277521.</x:v>
      </x:c>
      <x:c r="E119" s="472" t="n">
        <x:f>C119</x:f>
        <x:v>4000000000</x:v>
      </x:c>
      <x:c r="F119" s="477" t="str">
        <x:v>Senior notes</x:v>
      </x:c>
    </x:row>
    <x:row r="120" ht="42" customHeight="1">
      <x:c r="A120" s="378" t="str">
        <x:v>$5,000M, 5.70%, due February 2036</x:v>
      </x:c>
      <x:c r="B120" s="471" t="d">
        <x:v>2036-02-04T00:00:00.000Z</x:v>
      </x:c>
      <x:c r="C120" s="475" t="n">
        <x:v>5000000000</x:v>
      </x:c>
      <x:c r="D120" s="395" t="str">
        <x:v>Carried forward. us-gaap:DebtInstrumentCarryingAmount context C_eb11f4ee-c98c-405c-9c32-8f9b81fee1fa; maturity context C_89b9516f-1cdf-4f51-89cd-0a963c57d0de; 0001193125-26-277521.</x:v>
      </x:c>
      <x:c r="E120" s="472" t="n">
        <x:f>C120</x:f>
        <x:v>5000000000</x:v>
      </x:c>
      <x:c r="F120" s="477" t="str">
        <x:v>Senior notes</x:v>
      </x:c>
    </x:row>
    <x:row r="121" ht="42" customHeight="1">
      <x:c r="A121" s="378" t="str">
        <x:v>$1,250M, 3.85%, due July 2036</x:v>
      </x:c>
      <x:c r="B121" s="471" t="d">
        <x:v>2036-07-15T00:00:00.000Z</x:v>
      </x:c>
      <x:c r="C121" s="475" t="n">
        <x:v>1250000000</x:v>
      </x:c>
      <x:c r="D121" s="395" t="str">
        <x:v>Carried forward. us-gaap:DebtInstrumentCarryingAmount context C_72fff26c-c6a0-4942-9b20-5d70cc2c444c; maturity context C_ef573705-b08a-40a1-807a-7491d13bfcc8; 0001193125-26-277521.</x:v>
      </x:c>
      <x:c r="E121" s="472" t="n">
        <x:f>C121</x:f>
        <x:v>1250000000</x:v>
      </x:c>
      <x:c r="F121" s="477" t="str">
        <x:v>Senior notes</x:v>
      </x:c>
    </x:row>
    <x:row r="122" ht="42" customHeight="1">
      <x:c r="A122" s="378" t="str">
        <x:v>$1,750M, 3.80%, due November 2037</x:v>
      </x:c>
      <x:c r="B122" s="471" t="d">
        <x:v>2037-11-15T00:00:00.000Z</x:v>
      </x:c>
      <x:c r="C122" s="475" t="n">
        <x:v>1750000000</x:v>
      </x:c>
      <x:c r="D122" s="395" t="str">
        <x:v>Carried forward. us-gaap:DebtInstrumentCarryingAmount context C_7f258c62-3faa-4ff0-8ea7-70a73c3c6b74; maturity context C_a2306cc6-35b8-453c-ab02-0b0e5b0493be; 0001193125-26-277521.</x:v>
      </x:c>
      <x:c r="E122" s="472" t="n">
        <x:f>C122</x:f>
        <x:v>1750000000</x:v>
      </x:c>
      <x:c r="F122" s="477" t="str">
        <x:v>Senior notes</x:v>
      </x:c>
    </x:row>
    <x:row r="123" ht="42" customHeight="1">
      <x:c r="A123" s="378" t="str">
        <x:v>$1,250M, 6.50%, due April 2038</x:v>
      </x:c>
      <x:c r="B123" s="471" t="d">
        <x:v>2038-04-15T00:00:00.000Z</x:v>
      </x:c>
      <x:c r="C123" s="475" t="n">
        <x:v>1250000000</x:v>
      </x:c>
      <x:c r="D123" s="395" t="str">
        <x:v>Carried forward. us-gaap:DebtInstrumentCarryingAmount context C_3f89c9fc-6e68-4cc6-83e1-9c86b63ce9de; maturity context C_f4141e79-31ec-4605-98b2-166f8d73bb5e; 0001193125-26-277521.</x:v>
      </x:c>
      <x:c r="E123" s="472" t="n">
        <x:f>C123</x:f>
        <x:v>1250000000</x:v>
      </x:c>
      <x:c r="F123" s="477" t="str">
        <x:v>Senior notes</x:v>
      </x:c>
    </x:row>
    <x:row r="124" ht="42" customHeight="1">
      <x:c r="A124" s="378" t="str">
        <x:v>$1,250M, 6.125%, due July 2039</x:v>
      </x:c>
      <x:c r="B124" s="471" t="d">
        <x:v>2039-07-08T00:00:00.000Z</x:v>
      </x:c>
      <x:c r="C124" s="475" t="n">
        <x:v>1250000000</x:v>
      </x:c>
      <x:c r="D124" s="395" t="str">
        <x:v>Carried forward. us-gaap:DebtInstrumentCarryingAmount context C_ac987fd5-0ebc-4b0b-acd6-cb559c89ce69; maturity context C_9c891068-4ae1-4cd3-971b-255cf7a9da34; 0001193125-26-277521.</x:v>
      </x:c>
      <x:c r="E124" s="472" t="n">
        <x:f>C124</x:f>
        <x:v>1250000000</x:v>
      </x:c>
      <x:c r="F124" s="477" t="str">
        <x:v>Senior notes</x:v>
      </x:c>
    </x:row>
    <x:row r="125" ht="42" customHeight="1">
      <x:c r="A125" s="378" t="str">
        <x:v>$3,000M, 3.60%, due April 2040</x:v>
      </x:c>
      <x:c r="B125" s="471" t="d">
        <x:v>2040-04-01T00:00:00.000Z</x:v>
      </x:c>
      <x:c r="C125" s="475" t="n">
        <x:v>3000000000</x:v>
      </x:c>
      <x:c r="D125" s="395" t="str">
        <x:v>Carried forward. us-gaap:DebtInstrumentCarryingAmount context C_edacb177-150a-440a-8eab-3b1f65db82ab; maturity context C_3cafaf53-01fa-4115-9e1b-0c641b079928; 0001193125-26-277521.</x:v>
      </x:c>
      <x:c r="E125" s="472" t="n">
        <x:f>C125</x:f>
        <x:v>3000000000</x:v>
      </x:c>
      <x:c r="F125" s="477" t="str">
        <x:v>Senior notes</x:v>
      </x:c>
    </x:row>
    <x:row r="126" ht="42" customHeight="1">
      <x:c r="A126" s="378" t="str">
        <x:v>$2,250M, 5.375%, due July 2040</x:v>
      </x:c>
      <x:c r="B126" s="471" t="d">
        <x:v>2040-07-15T00:00:00.000Z</x:v>
      </x:c>
      <x:c r="C126" s="475" t="n">
        <x:v>2250000000</x:v>
      </x:c>
      <x:c r="D126" s="395" t="str">
        <x:v>Carried forward. us-gaap:DebtInstrumentCarryingAmount context C_ea9fb0e1-e7f4-43bd-9646-a319ee8e1fad; maturity context C_868ab625-7743-4f27-9158-b00ca8c5c651; 0001193125-26-277521.</x:v>
      </x:c>
      <x:c r="E126" s="472" t="n">
        <x:f>C126</x:f>
        <x:v>2250000000</x:v>
      </x:c>
      <x:c r="F126" s="477" t="str">
        <x:v>Senior notes</x:v>
      </x:c>
    </x:row>
    <x:row r="127" ht="42" customHeight="1">
      <x:c r="A127" s="378" t="str">
        <x:v>$2,250M, 3.65%, due March 2041</x:v>
      </x:c>
      <x:c r="B127" s="471" t="d">
        <x:v>2041-03-25T00:00:00.000Z</x:v>
      </x:c>
      <x:c r="C127" s="475" t="n">
        <x:v>2250000000</x:v>
      </x:c>
      <x:c r="D127" s="395" t="str">
        <x:v>Carried forward. us-gaap:DebtInstrumentCarryingAmount context C_0279d3a4-1e75-4ad5-847d-0aae45a2dc5a; maturity context C_7b023360-6988-496f-b647-79d8dc671c30; 0001193125-26-277521.</x:v>
      </x:c>
      <x:c r="E127" s="472" t="n">
        <x:f>C127</x:f>
        <x:v>2250000000</x:v>
      </x:c>
      <x:c r="F127" s="477" t="str">
        <x:v>Senior notes</x:v>
      </x:c>
    </x:row>
    <x:row r="128" ht="42" customHeight="1">
      <x:c r="A128" s="378" t="str">
        <x:v>$1,000M, 4.50%, due July 2044</x:v>
      </x:c>
      <x:c r="B128" s="471" t="d">
        <x:v>2044-07-08T00:00:00.000Z</x:v>
      </x:c>
      <x:c r="C128" s="475" t="n">
        <x:v>1000000000</x:v>
      </x:c>
      <x:c r="D128" s="395" t="str">
        <x:v>Carried forward. us-gaap:DebtInstrumentCarryingAmount context C_fbf167a2-b1f8-4f0a-9421-2691f6ee52e0; maturity context C_d4da1d90-accf-45e8-8a72-555d0018fa4b; 0001193125-26-277521.</x:v>
      </x:c>
      <x:c r="E128" s="472" t="n">
        <x:f>C128</x:f>
        <x:v>1000000000</x:v>
      </x:c>
      <x:c r="F128" s="477" t="str">
        <x:v>Senior notes</x:v>
      </x:c>
    </x:row>
    <x:row r="129" ht="42" customHeight="1">
      <x:c r="A129" s="378" t="str">
        <x:v>$2,000M, 4.125%, due May 2045</x:v>
      </x:c>
      <x:c r="B129" s="471" t="d">
        <x:v>2045-05-15T00:00:00.000Z</x:v>
      </x:c>
      <x:c r="C129" s="475" t="n">
        <x:v>2000000000</x:v>
      </x:c>
      <x:c r="D129" s="395" t="str">
        <x:v>Carried forward. us-gaap:DebtInstrumentCarryingAmount context C_659e0314-4b26-4b16-98b4-e72d8c61f734; maturity context C_726b02be-7017-4cd7-946a-0a4fb85cad4d; 0001193125-26-277521.</x:v>
      </x:c>
      <x:c r="E129" s="472" t="n">
        <x:f>C129</x:f>
        <x:v>2000000000</x:v>
      </x:c>
      <x:c r="F129" s="477" t="str">
        <x:v>Senior notes</x:v>
      </x:c>
    </x:row>
    <x:row r="130" ht="42" customHeight="1">
      <x:c r="A130" s="378" t="str">
        <x:v>$2,500M, 5.875%, due September 2045</x:v>
      </x:c>
      <x:c r="B130" s="471" t="d">
        <x:v>2045-09-26T00:00:00.000Z</x:v>
      </x:c>
      <x:c r="C130" s="475" t="n">
        <x:v>2500000000</x:v>
      </x:c>
      <x:c r="D130" s="395" t="str">
        <x:v>Carried forward. us-gaap:DebtInstrumentCarryingAmount context C_988fd38e-d5f3-4fa1-b1de-787d7b61a453; maturity context C_c7fadca5-29db-4521-ba7d-9fb916fbb3e0; 0001193125-26-277521.</x:v>
      </x:c>
      <x:c r="E130" s="472" t="n">
        <x:f>C130</x:f>
        <x:v>2500000000</x:v>
      </x:c>
      <x:c r="F130" s="477" t="str">
        <x:v>Senior notes</x:v>
      </x:c>
    </x:row>
    <x:row r="131" ht="42" customHeight="1">
      <x:c r="A131" s="378" t="str">
        <x:v>$2,250M, 6.55%, due February 2046</x:v>
      </x:c>
      <x:c r="B131" s="471" t="d">
        <x:v>2046-02-04T00:00:00.000Z</x:v>
      </x:c>
      <x:c r="C131" s="475" t="n">
        <x:v>2250000000</x:v>
      </x:c>
      <x:c r="D131" s="395" t="str">
        <x:v>Carried forward. us-gaap:DebtInstrumentCarryingAmount context C_eaaaba69-f386-49f6-9dbc-4f5720b4ffcc; maturity context C_e88e6562-aa5b-4c1c-96c1-2ec27cdce992; 0001193125-26-277521.</x:v>
      </x:c>
      <x:c r="E131" s="472" t="n">
        <x:f>C131</x:f>
        <x:v>2250000000</x:v>
      </x:c>
      <x:c r="F131" s="477" t="str">
        <x:v>Senior notes</x:v>
      </x:c>
    </x:row>
    <x:row r="132" ht="42" customHeight="1">
      <x:c r="A132" s="378" t="str">
        <x:v>$3,000M, 4.00%, due July 2046</x:v>
      </x:c>
      <x:c r="B132" s="471" t="d">
        <x:v>2046-07-15T00:00:00.000Z</x:v>
      </x:c>
      <x:c r="C132" s="475" t="n">
        <x:v>3000000000</x:v>
      </x:c>
      <x:c r="D132" s="395" t="str">
        <x:v>Carried forward. us-gaap:DebtInstrumentCarryingAmount context C_01a106fb-d1a5-45eb-aea5-1d2c1f806db3; maturity context C_e2302914-4319-4cc7-8ca6-ad70894e7492; 0001193125-26-277521.</x:v>
      </x:c>
      <x:c r="E132" s="472" t="n">
        <x:f>C132</x:f>
        <x:v>3000000000</x:v>
      </x:c>
      <x:c r="F132" s="477" t="str">
        <x:v>Senior notes</x:v>
      </x:c>
    </x:row>
    <x:row r="133" ht="42" customHeight="1">
      <x:c r="A133" s="378" t="str">
        <x:v>$2,250M, 4.00%, due November 2047</x:v>
      </x:c>
      <x:c r="B133" s="471" t="d">
        <x:v>2047-11-15T00:00:00.000Z</x:v>
      </x:c>
      <x:c r="C133" s="475" t="n">
        <x:v>2250000000</x:v>
      </x:c>
      <x:c r="D133" s="395" t="str">
        <x:v>Carried forward. us-gaap:DebtInstrumentCarryingAmount context C_c028290f-556a-41ee-891d-a0580570969c; maturity context C_d746ab53-93c3-44f7-a9bc-1c5270381f53; 0001193125-26-277521.</x:v>
      </x:c>
      <x:c r="E133" s="472" t="n">
        <x:f>C133</x:f>
        <x:v>2250000000</x:v>
      </x:c>
      <x:c r="F133" s="477" t="str">
        <x:v>Senior notes</x:v>
      </x:c>
    </x:row>
    <x:row r="134" ht="42" customHeight="1">
      <x:c r="A134" s="378" t="str">
        <x:v>$4,500M, 3.60%, due April 2050</x:v>
      </x:c>
      <x:c r="B134" s="471" t="d">
        <x:v>2050-04-01T00:00:00.000Z</x:v>
      </x:c>
      <x:c r="C134" s="475" t="n">
        <x:v>4500000000</x:v>
      </x:c>
      <x:c r="D134" s="395" t="str">
        <x:v>Carried forward. us-gaap:DebtInstrumentCarryingAmount context C_93d974de-69a0-4d66-8685-9c10b38c70e4; maturity context C_6e65a72f-e02d-4176-92a6-7eefd37f75f2; 0001193125-26-277521.</x:v>
      </x:c>
      <x:c r="E134" s="472" t="n">
        <x:f>C134</x:f>
        <x:v>4500000000</x:v>
      </x:c>
      <x:c r="F134" s="477" t="str">
        <x:v>Senior notes</x:v>
      </x:c>
    </x:row>
    <x:row r="135" ht="42" customHeight="1">
      <x:c r="A135" s="378" t="str">
        <x:v>$3,250M, 3.95%, due March 2051</x:v>
      </x:c>
      <x:c r="B135" s="471" t="d">
        <x:v>2051-03-25T00:00:00.000Z</x:v>
      </x:c>
      <x:c r="C135" s="475" t="n">
        <x:v>3250000000</x:v>
      </x:c>
      <x:c r="D135" s="395" t="str">
        <x:v>Carried forward. us-gaap:DebtInstrumentCarryingAmount context C_78c45de9-3a45-4a24-9a9d-682f75245066; maturity context C_120132e4-48c1-40ef-83dd-831bd42b4eb1; 0001193125-26-277521.</x:v>
      </x:c>
      <x:c r="E135" s="472" t="n">
        <x:f>C135</x:f>
        <x:v>3250000000</x:v>
      </x:c>
      <x:c r="F135" s="477" t="str">
        <x:v>Senior notes</x:v>
      </x:c>
    </x:row>
    <x:row r="136" ht="42" customHeight="1">
      <x:c r="A136" s="378" t="str">
        <x:v>$2,500M, 6.90%, due November 2052</x:v>
      </x:c>
      <x:c r="B136" s="471" t="d">
        <x:v>2052-11-09T00:00:00.000Z</x:v>
      </x:c>
      <x:c r="C136" s="475" t="n">
        <x:v>2500000000</x:v>
      </x:c>
      <x:c r="D136" s="395" t="str">
        <x:v>Carried forward. us-gaap:DebtInstrumentCarryingAmount context C_1c2c1ccf-88f9-44b3-bbba-88d5b66222e1; maturity context C_146f6555-e8fd-473f-8010-7c66bd216c1f; 0001193125-26-277521.</x:v>
      </x:c>
      <x:c r="E136" s="472" t="n">
        <x:f>C136</x:f>
        <x:v>2500000000</x:v>
      </x:c>
      <x:c r="F136" s="477" t="str">
        <x:v>Senior notes</x:v>
      </x:c>
    </x:row>
    <x:row r="137" ht="42" customHeight="1">
      <x:c r="A137" s="378" t="str">
        <x:v>$2,250M, 5.55%, due February 2053</x:v>
      </x:c>
      <x:c r="B137" s="471" t="d">
        <x:v>2053-02-28T00:00:00.000Z</x:v>
      </x:c>
      <x:c r="C137" s="475" t="n">
        <x:v>2250000000</x:v>
      </x:c>
      <x:c r="D137" s="395" t="str">
        <x:v>Carried forward. us-gaap:DebtInstrumentCarryingAmount context C_275ee10c-5579-4b7f-9db6-d0c32731214a; maturity context C_62b6d4a9-c2ea-4b4d-b819-f72896383839; 0001193125-26-277521.</x:v>
      </x:c>
      <x:c r="E137" s="472" t="n">
        <x:f>C137</x:f>
        <x:v>2250000000</x:v>
      </x:c>
      <x:c r="F137" s="477" t="str">
        <x:v>Senior notes</x:v>
      </x:c>
    </x:row>
    <x:row r="138" ht="42" customHeight="1">
      <x:c r="A138" s="378" t="str">
        <x:v>$1,750M, 5.375%, due September 2054</x:v>
      </x:c>
      <x:c r="B138" s="471" t="d">
        <x:v>2054-09-27T00:00:00.000Z</x:v>
      </x:c>
      <x:c r="C138" s="475" t="n">
        <x:v>1750000000</x:v>
      </x:c>
      <x:c r="D138" s="395" t="str">
        <x:v>Carried forward. us-gaap:DebtInstrumentCarryingAmount context C_d6db44a5-2cc2-45f8-b9bb-750ce5701802; maturity context C_1a315a33-dba8-456f-82c3-9319c7cd9395; 0001193125-26-277521.</x:v>
      </x:c>
      <x:c r="E138" s="472" t="n">
        <x:f>C138</x:f>
        <x:v>1750000000</x:v>
      </x:c>
      <x:c r="F138" s="477" t="str">
        <x:v>Senior notes</x:v>
      </x:c>
    </x:row>
    <x:row r="139" ht="42" customHeight="1">
      <x:c r="A139" s="378" t="str">
        <x:v>$1,250M, 4.375%, due May 2055</x:v>
      </x:c>
      <x:c r="B139" s="471" t="d">
        <x:v>2055-05-15T00:00:00.000Z</x:v>
      </x:c>
      <x:c r="C139" s="475" t="n">
        <x:v>1250000000</x:v>
      </x:c>
      <x:c r="D139" s="395" t="str">
        <x:v>Carried forward. us-gaap:DebtInstrumentCarryingAmount context C_10f379d0-eecf-4d69-9526-2a2acfd8110f; maturity context C_79912715-0f0b-407c-8bb5-ea595417b273; 0001193125-26-277521.</x:v>
      </x:c>
      <x:c r="E139" s="472" t="n">
        <x:f>C139</x:f>
        <x:v>1250000000</x:v>
      </x:c>
      <x:c r="F139" s="477" t="str">
        <x:v>Senior notes</x:v>
      </x:c>
    </x:row>
    <x:row r="140" ht="42" customHeight="1">
      <x:c r="A140" s="378" t="str">
        <x:v>$1,750M, 6.00%, due August 2055</x:v>
      </x:c>
      <x:c r="B140" s="471" t="d">
        <x:v>2055-08-03T00:00:00.000Z</x:v>
      </x:c>
      <x:c r="C140" s="475" t="n">
        <x:v>1750000000</x:v>
      </x:c>
      <x:c r="D140" s="395" t="str">
        <x:v>Carried forward. us-gaap:DebtInstrumentCarryingAmount context C_6c16cb24-86ff-434f-9d08-118161063c4e; maturity context C_46150084-c548-4ab3-84f5-ffa591c5a25c; 0001193125-26-277521.</x:v>
      </x:c>
      <x:c r="E140" s="472" t="n">
        <x:f>C140</x:f>
        <x:v>1750000000</x:v>
      </x:c>
      <x:c r="F140" s="477" t="str">
        <x:v>Senior notes</x:v>
      </x:c>
    </x:row>
    <x:row r="141" ht="42" customHeight="1">
      <x:c r="A141" s="378" t="str">
        <x:v>$3,500M, 5.95%, due September 2055</x:v>
      </x:c>
      <x:c r="B141" s="471" t="d">
        <x:v>2055-09-26T00:00:00.000Z</x:v>
      </x:c>
      <x:c r="C141" s="475" t="n">
        <x:v>3500000000</x:v>
      </x:c>
      <x:c r="D141" s="395" t="str">
        <x:v>Carried forward. us-gaap:DebtInstrumentCarryingAmount context C_2dd1f035-9a29-4212-8137-0ffb70bc95f9; maturity context C_da3ca40f-780f-4922-894e-76bc8a6687b3; 0001193125-26-277521.</x:v>
      </x:c>
      <x:c r="E141" s="472" t="n">
        <x:f>C141</x:f>
        <x:v>3500000000</x:v>
      </x:c>
      <x:c r="F141" s="477" t="str">
        <x:v>Senior notes</x:v>
      </x:c>
    </x:row>
    <x:row r="142" ht="42" customHeight="1">
      <x:c r="A142" s="378" t="str">
        <x:v>$5,000M, 6.70%, due February 2056</x:v>
      </x:c>
      <x:c r="B142" s="471" t="d">
        <x:v>2056-02-04T00:00:00.000Z</x:v>
      </x:c>
      <x:c r="C142" s="475" t="n">
        <x:v>5000000000</x:v>
      </x:c>
      <x:c r="D142" s="395" t="str">
        <x:v>Carried forward. us-gaap:DebtInstrumentCarryingAmount context C_470c4dd1-b044-4c06-b569-b9f227d4bcc6; maturity context C_17f2b8e7-9a87-429f-8403-253cf5f9c9a8; 0001193125-26-277521.</x:v>
      </x:c>
      <x:c r="E142" s="472" t="n">
        <x:f>C142</x:f>
        <x:v>5000000000</x:v>
      </x:c>
      <x:c r="F142" s="477" t="str">
        <x:v>Senior notes</x:v>
      </x:c>
    </x:row>
    <x:row r="143" ht="42" customHeight="1">
      <x:c r="A143" s="378" t="str">
        <x:v>$3,500M, 3.85%, due April 2060</x:v>
      </x:c>
      <x:c r="B143" s="471" t="d">
        <x:v>2060-04-01T00:00:00.000Z</x:v>
      </x:c>
      <x:c r="C143" s="475" t="n">
        <x:v>3500000000</x:v>
      </x:c>
      <x:c r="D143" s="395" t="str">
        <x:v>Carried forward. us-gaap:DebtInstrumentCarryingAmount context C_72ade28f-8b47-4d01-b51d-ad50b6ab1306; maturity context C_790e7099-f510-4774-a45b-d9e57868a823; 0001193125-26-277521.</x:v>
      </x:c>
      <x:c r="E143" s="472" t="n">
        <x:f>C143</x:f>
        <x:v>3500000000</x:v>
      </x:c>
      <x:c r="F143" s="477" t="str">
        <x:v>Senior notes</x:v>
      </x:c>
    </x:row>
    <x:row r="144" ht="42" customHeight="1">
      <x:c r="A144" s="378" t="str">
        <x:v>$1,500M, 4.10%, due March 2061</x:v>
      </x:c>
      <x:c r="B144" s="471" t="d">
        <x:v>2061-03-25T00:00:00.000Z</x:v>
      </x:c>
      <x:c r="C144" s="475" t="n">
        <x:v>1500000000</x:v>
      </x:c>
      <x:c r="D144" s="395" t="str">
        <x:v>Carried forward. us-gaap:DebtInstrumentCarryingAmount context C_b75cf642-988f-4748-9e3d-32020e3a1e6e; maturity context C_e0ba123f-367d-4f6f-9ffd-691244072749; 0001193125-26-277521.</x:v>
      </x:c>
      <x:c r="E144" s="472" t="n">
        <x:f>C144</x:f>
        <x:v>1500000000</x:v>
      </x:c>
      <x:c r="F144" s="477" t="str">
        <x:v>Senior notes</x:v>
      </x:c>
    </x:row>
    <x:row r="145" ht="42" customHeight="1">
      <x:c r="A145" s="378" t="str">
        <x:v>$1,250M, 5.50%, due September 2064</x:v>
      </x:c>
      <x:c r="B145" s="471" t="d">
        <x:v>2064-09-27T00:00:00.000Z</x:v>
      </x:c>
      <x:c r="C145" s="475" t="n">
        <x:v>1250000000</x:v>
      </x:c>
      <x:c r="D145" s="395" t="str">
        <x:v>Carried forward. us-gaap:DebtInstrumentCarryingAmount context C_0d59a7d6-884c-46a0-8e28-22708f737f7d; maturity context C_64c8ab8d-57ef-492f-be3c-e8912a104b57; 0001193125-26-277521.</x:v>
      </x:c>
      <x:c r="E145" s="472" t="n">
        <x:f>C145</x:f>
        <x:v>1250000000</x:v>
      </x:c>
      <x:c r="F145" s="477" t="str">
        <x:v>Senior notes</x:v>
      </x:c>
    </x:row>
    <x:row r="146" ht="42" customHeight="1">
      <x:c r="A146" s="378" t="str">
        <x:v>$1,000M, 6.125%, due August 2065</x:v>
      </x:c>
      <x:c r="B146" s="471" t="d">
        <x:v>2065-08-03T00:00:00.000Z</x:v>
      </x:c>
      <x:c r="C146" s="475" t="n">
        <x:v>1000000000</x:v>
      </x:c>
      <x:c r="D146" s="395" t="str">
        <x:v>Carried forward. us-gaap:DebtInstrumentCarryingAmount context C_e4423b6e-8f9e-4ed3-b891-83bcb06a00e7; maturity context C_6e18b720-3a24-49ec-95ec-71ab641f6ef4; 0001193125-26-277521.</x:v>
      </x:c>
      <x:c r="E146" s="472" t="n">
        <x:f>C146</x:f>
        <x:v>1000000000</x:v>
      </x:c>
      <x:c r="F146" s="477" t="str">
        <x:v>Senior notes</x:v>
      </x:c>
    </x:row>
    <x:row r="147" ht="42" customHeight="1">
      <x:c r="A147" s="378" t="str">
        <x:v>$2,000M, 6.10%, due September 2065</x:v>
      </x:c>
      <x:c r="B147" s="471" t="d">
        <x:v>2065-09-26T00:00:00.000Z</x:v>
      </x:c>
      <x:c r="C147" s="475" t="n">
        <x:v>2000000000</x:v>
      </x:c>
      <x:c r="D147" s="395" t="str">
        <x:v>Carried forward. us-gaap:DebtInstrumentCarryingAmount context C_b1d66ac5-86bb-48a1-9fd7-0f91b2f20166; maturity context C_943d857f-6e7c-4ab1-9392-17b23efb7b1d; 0001193125-26-277521.</x:v>
      </x:c>
      <x:c r="E147" s="472" t="n">
        <x:f>C147</x:f>
        <x:v>2000000000</x:v>
      </x:c>
      <x:c r="F147" s="477" t="str">
        <x:v>Senior notes</x:v>
      </x:c>
    </x:row>
    <x:row r="148" ht="42" customHeight="1">
      <x:c r="A148" s="378" t="str">
        <x:v>$2,750M, 6.85%, due February 2066</x:v>
      </x:c>
      <x:c r="B148" s="471" t="d">
        <x:v>2066-02-04T00:00:00.000Z</x:v>
      </x:c>
      <x:c r="C148" s="475" t="n">
        <x:v>2750000000</x:v>
      </x:c>
      <x:c r="D148" s="395" t="str">
        <x:v>Carried forward. us-gaap:DebtInstrumentCarryingAmount context C_9d3c0b91-ca57-49e8-bcd6-845c7dd4a592; maturity context C_f8ced8f8-0d46-4063-9333-4d5cc1a62965; 0001193125-26-277521.</x:v>
      </x:c>
      <x:c r="E148" s="472" t="n">
        <x:f>C148</x:f>
        <x:v>2750000000</x:v>
      </x:c>
      <x:c r="F148" s="477" t="str">
        <x:v>Senior notes</x:v>
      </x:c>
    </x:row>
    <x:row r="149" ht="42" customHeight="1">
      <x:c r="A149" s="378" t="str">
        <x:v>$500M, Compounded SOFR plus 0.76%, due August 2028</x:v>
      </x:c>
      <x:c r="B149" s="471" t="d">
        <x:v>2028-08-03T00:00:00.000Z</x:v>
      </x:c>
      <x:c r="C149" s="475" t="n">
        <x:v>500000000</x:v>
      </x:c>
      <x:c r="D149" s="395" t="str">
        <x:v>Carried forward. us-gaap:DebtInstrumentCarryingAmount context C_54708843-a4f7-43fe-9847-c4ee0f1d5918; maturity context C_160561d2-d537-4b08-9c61-e9bf09b0220e; 0001193125-26-277521.</x:v>
      </x:c>
      <x:c r="E149" s="472" t="n">
        <x:f>C149</x:f>
        <x:v>500000000</x:v>
      </x:c>
      <x:c r="F149" s="477" t="str">
        <x:v>Senior notes</x:v>
      </x:c>
    </x:row>
    <x:row r="150" ht="42" customHeight="1">
      <x:c r="A150" s="378" t="str">
        <x:v>$500M, Compounded SOFR plus 1.11%, due February 2029</x:v>
      </x:c>
      <x:c r="B150" s="471" t="d">
        <x:v>2029-02-04T00:00:00.000Z</x:v>
      </x:c>
      <x:c r="C150" s="475" t="n">
        <x:v>500000000</x:v>
      </x:c>
      <x:c r="D150" s="395" t="str">
        <x:v>Carried forward. us-gaap:DebtInstrumentCarryingAmount context C_9811b0d3-b168-4ae6-851d-5a1318806b6f; maturity context C_0baaa79b-3295-410a-8222-728290e56f24; 0001193125-26-277521.</x:v>
      </x:c>
      <x:c r="E150" s="472" t="n">
        <x:f>C150</x:f>
        <x:v>500000000</x:v>
      </x:c>
      <x:c r="F150" s="477" t="str">
        <x:v>Senior notes</x:v>
      </x:c>
    </x:row>
    <x:row r="151" ht="42" customHeight="1">
      <x:c r="A151" s="378" t="str">
        <x:v>Term loan, $5,630M borrowed, SOFR plus 1.35%, due August 2027</x:v>
      </x:c>
      <x:c r="B151" s="471" t="d">
        <x:v>2027-08-16T00:00:00.000Z</x:v>
      </x:c>
      <x:c r="C151" s="475" t="n">
        <x:v>5137000000</x:v>
      </x:c>
      <x:c r="D151" s="395" t="str">
        <x:v>Calculated. us-gaap:DebtInstrumentCarryingAmount context C_735501c9-1d1a-4130-ba00-a733b80c0778; maturity context C_9e0297a1-5ed4-45fd-ad02-62d67decad58; 0001193125-26-277521.</x:v>
      </x:c>
      <x:c r="E151" s="472" t="n">
        <x:f>C91</x:f>
        <x:v>5067000000</x:v>
      </x:c>
      <x:c r="F151" s="477" t="str">
        <x:v>Term loan</x:v>
      </x:c>
    </x:row>
    <x:row r="152" ht="42" customHeight="1">
      <x:c r="A152" s="378" t="str">
        <x:v>Commercial paper notes</x:v>
      </x:c>
      <x:c r="C152" s="475" t="n">
        <x:v>1468000000</x:v>
      </x:c>
      <x:c r="D152" s="395" t="str">
        <x:v>Unavailable at August 31: no balance or maturity dates reported. Unavailable. us-gaap:DebtInstrumentCarryingAmount context C_1acf7181-6e63-4dc3-9576-4189cc4bc531; 0001193125-26-277521.</x:v>
      </x:c>
      <x:c r="F152" s="477" t="str">
        <x:v>Commercial paper</x:v>
      </x:c>
    </x:row>
    <x:row r="153" ht="18" customHeight="1">
      <x:c r="A153" s="408" t="str">
        <x:v>Source: https://www.sec.gov/Archives/edgar/data/1341439/000119312526277521/orcl-20260531.htm</x:v>
      </x:c>
    </x:row>
  </x:sheetData>
  <x:hyperlinks>
    <x:hyperlink ref="A153" r:id="rIdSource1"/>
  </x:hyperlinks>
  <x:pageMargins left="0.7" right="0.7" top="0.75" bottom="0.75" header="0.3" footer="0.3"/>
  <x:drawing r:id="rIdPrincipalLadder"/>
</x:worksheet>
</file>

<file path=xl/worksheets/sheet9.xml><?xml version="1.0" encoding="utf-8"?>
<x:worksheet xmlns:ns1="http://schemas.openxmlformats.org/officeDocument/2006/relationships" xmlns:x="http://schemas.openxmlformats.org/spreadsheetml/2006/main">
  <x:sheetViews>
    <x:sheetView showGridLines="0" workbookViewId="0">
      <x:pane ySplit="1" topLeftCell="A2" activePane="bottomLeft" state="frozen"/>
    </x:sheetView>
  </x:sheetViews>
  <x:sheetFormatPr defaultRowHeight="15"/>
  <x:cols>
    <x:col min="1" max="1" width="24" hidden="0" customWidth="1"/>
    <x:col min="2" max="2" width="19" hidden="0" customWidth="1"/>
    <x:col min="3" max="3" width="48" hidden="0" customWidth="1"/>
    <x:col min="4" max="4" width="19" hidden="0" customWidth="1"/>
    <x:col min="5" max="5" width="19" hidden="0" customWidth="1"/>
    <x:col min="6" max="6" width="19" hidden="0" customWidth="1"/>
    <x:col min="7" max="7" width="19" hidden="0" customWidth="1"/>
    <x:col min="8" max="8" width="48" hidden="0" customWidth="1"/>
    <x:col min="9" max="9" width="48" hidden="0" customWidth="1"/>
    <x:col min="10" max="10" width="48" hidden="0" customWidth="1"/>
    <x:col min="11" max="11" width="12" hidden="0" customWidth="1"/>
    <x:col min="12" max="12" width="12" hidden="0" customWidth="1"/>
    <x:col min="13" max="13" width="65" hidden="0" customWidth="1"/>
    <x:col min="14" max="14" width="65" hidden="0" customWidth="1"/>
    <x:col min="15" max="15" width="65" hidden="0" customWidth="1"/>
    <x:col min="16" max="16" width="45" hidden="0" customWidth="1"/>
    <x:col min="17" max="17" width="45" hidden="0" customWidth="1"/>
    <x:col min="18" max="18" width="80" hidden="0" customWidth="1"/>
  </x:cols>
  <x:sheetData>
    <x:row r="1" ht="45" customHeight="1">
      <x:c r="A1" s="380" t="str">
        <x:v>Key</x:v>
      </x:c>
      <x:c r="B1" s="381" t="str">
        <x:v>USD millions, except ratios (x)</x:v>
      </x:c>
      <x:c r="C1" s="381" t="str">
        <x:v>Reported input</x:v>
      </x:c>
      <x:c r="D1" s="381" t="str">
        <x:v>Period start</x:v>
      </x:c>
      <x:c r="E1" s="381" t="str">
        <x:v>Period end / as of</x:v>
      </x:c>
      <x:c r="F1" s="381" t="str">
        <x:v>Form</x:v>
      </x:c>
      <x:c r="G1" s="381" t="str">
        <x:v>Filed</x:v>
      </x:c>
      <x:c r="H1" s="381" t="str">
        <x:v>Accession</x:v>
      </x:c>
      <x:c r="I1" s="381" t="str">
        <x:v>Tag</x:v>
      </x:c>
      <x:c r="J1" s="381" t="str">
        <x:v>Context ID</x:v>
      </x:c>
      <x:c r="K1" s="381" t="str">
        <x:v>Scale</x:v>
      </x:c>
      <x:c r="L1" s="381" t="str">
        <x:v>Decimals</x:v>
      </x:c>
      <x:c r="M1" s="381" t="str">
        <x:v>Source</x:v>
      </x:c>
      <x:c r="N1" s="381" t="str">
        <x:v>Filing location</x:v>
      </x:c>
      <x:c r="O1" s="381" t="str">
        <x:v>Finding / Unavailable reason</x:v>
      </x:c>
      <x:c r="P1" s="381" t="str">
        <x:v>Dimensions</x:v>
      </x:c>
      <x:c r="Q1" s="381" t="str">
        <x:v>Reviewed source SHA256</x:v>
      </x:c>
      <x:c r="R1" s="396" t="str">
        <x:v>Unit and selection rule</x:v>
      </x:c>
    </x:row>
    <x:row r="2" ht="45" customHeight="1">
      <x:c r="A2" s="385" t="str">
        <x:v>ocf</x:v>
      </x:c>
      <x:c r="B2" s="478" t="n">
        <x:v>23103000000</x:v>
      </x:c>
      <x:c r="C2" s="387" t="str">
        <x:v>Reported operating cash flow</x:v>
      </x:c>
      <x:c r="D2" s="401" t="d">
        <x:v>2026-06-01T00:00:00.000Z</x:v>
      </x:c>
      <x:c r="E2" s="401" t="d">
        <x:v>2026-08-31T00:00:00.000Z</x:v>
      </x:c>
      <x:c r="F2" s="387" t="str">
        <x:v>10-Q</x:v>
      </x:c>
      <x:c r="G2" s="401" t="d">
        <x:v>2026-09-11T00:00:00.000Z</x:v>
      </x:c>
      <x:c r="H2" s="387" t="str">
        <x:v>0001193125-26-389274</x:v>
      </x:c>
      <x:c r="I2" s="387" t="str">
        <x:v>us-gaap:NetCashProvidedByUsedInOperatingActivities</x:v>
      </x:c>
      <x:c r="J2" s="387" t="str">
        <x:v>C_f2f9ad85-08df-4e59-8948-bfd9405570de</x:v>
      </x:c>
      <x:c r="K2" s="479" t="n">
        <x:v>6</x:v>
      </x:c>
      <x:c r="L2" s="387" t="str">
        <x:v>-6</x:v>
      </x:c>
      <x:c r="M2" s="387" t="str">
        <x:v>https://www.sec.gov/Archives/edgar/data/1341439/000119312526389274/orcl-20260831.htm</x:v>
      </x:c>
      <x:c r="N2" s="387" t="str">
        <x:v>10-Q cash flows, p. 5</x:v>
      </x:c>
      <x:c r="O2" s="480"/>
      <x:c r="P2" s="480"/>
      <x:c r="Q2" s="480"/>
      <x:c r="R2" s="481"/>
    </x:row>
    <x:row r="3" ht="45" customHeight="1">
      <x:c r="A3" s="385" t="str">
        <x:v>prepay</x:v>
      </x:c>
      <x:c r="B3" s="478" t="n">
        <x:v>11363000000</x:v>
      </x:c>
      <x:c r="C3" s="387" t="str">
        <x:v>Customer prepayments with a significant financing component</x:v>
      </x:c>
      <x:c r="D3" s="401" t="d">
        <x:v>2026-06-01T00:00:00.000Z</x:v>
      </x:c>
      <x:c r="E3" s="401" t="d">
        <x:v>2026-08-31T00:00:00.000Z</x:v>
      </x:c>
      <x:c r="F3" s="387" t="str">
        <x:v>10-Q</x:v>
      </x:c>
      <x:c r="G3" s="401" t="d">
        <x:v>2026-09-11T00:00:00.000Z</x:v>
      </x:c>
      <x:c r="H3" s="387" t="str">
        <x:v>0001193125-26-389274</x:v>
      </x:c>
      <x:c r="I3" s="387" t="str">
        <x:v>orcl:IncreaseDecreaseInDeferredRevenuesFromCustomerPrepaymentsWithSignificantFinancingComponent</x:v>
      </x:c>
      <x:c r="J3" s="387" t="str">
        <x:v>C_f2f9ad85-08df-4e59-8948-bfd9405570de</x:v>
      </x:c>
      <x:c r="K3" s="479" t="n">
        <x:v>6</x:v>
      </x:c>
      <x:c r="L3" s="387" t="str">
        <x:v>-6</x:v>
      </x:c>
      <x:c r="M3" s="387" t="str">
        <x:v>https://www.sec.gov/Archives/edgar/data/1341439/000119312526389274/orcl-20260831.htm</x:v>
      </x:c>
      <x:c r="N3" s="387" t="str">
        <x:v>10-Q cash flows, p. 5</x:v>
      </x:c>
      <x:c r="O3" s="480"/>
      <x:c r="P3" s="480"/>
      <x:c r="Q3" s="480"/>
      <x:c r="R3" s="481"/>
    </x:row>
    <x:row r="4" ht="45" customHeight="1">
      <x:c r="A4" s="385" t="str">
        <x:v>capex</x:v>
      </x:c>
      <x:c r="B4" s="478" t="n">
        <x:v>28499000000</x:v>
      </x:c>
      <x:c r="C4" s="387" t="str">
        <x:v>Cash capital expenditures</x:v>
      </x:c>
      <x:c r="D4" s="401" t="d">
        <x:v>2026-06-01T00:00:00.000Z</x:v>
      </x:c>
      <x:c r="E4" s="401" t="d">
        <x:v>2026-08-31T00:00:00.000Z</x:v>
      </x:c>
      <x:c r="F4" s="387" t="str">
        <x:v>10-Q</x:v>
      </x:c>
      <x:c r="G4" s="401" t="d">
        <x:v>2026-09-11T00:00:00.000Z</x:v>
      </x:c>
      <x:c r="H4" s="387" t="str">
        <x:v>0001193125-26-389274</x:v>
      </x:c>
      <x:c r="I4" s="387" t="str">
        <x:v>us-gaap:PaymentsToAcquirePropertyPlantAndEquipment</x:v>
      </x:c>
      <x:c r="J4" s="387" t="str">
        <x:v>C_f2f9ad85-08df-4e59-8948-bfd9405570de</x:v>
      </x:c>
      <x:c r="K4" s="479" t="n">
        <x:v>6</x:v>
      </x:c>
      <x:c r="L4" s="387" t="str">
        <x:v>-6</x:v>
      </x:c>
      <x:c r="M4" s="387" t="str">
        <x:v>https://www.sec.gov/Archives/edgar/data/1341439/000119312526389274/orcl-20260831.htm</x:v>
      </x:c>
      <x:c r="N4" s="387" t="str">
        <x:v>10-Q cash flows, p. 5</x:v>
      </x:c>
      <x:c r="O4" s="480"/>
      <x:c r="P4" s="480"/>
      <x:c r="Q4" s="480"/>
      <x:c r="R4" s="481"/>
    </x:row>
    <x:row r="5" ht="45" customHeight="1">
      <x:c r="A5" s="385" t="str">
        <x:v>investment_purchases</x:v>
      </x:c>
      <x:c r="B5" s="478" t="n">
        <x:v>306000000</x:v>
      </x:c>
      <x:c r="C5" s="387" t="str">
        <x:v>Purchases of investments</x:v>
      </x:c>
      <x:c r="D5" s="401" t="d">
        <x:v>2026-06-01T00:00:00.000Z</x:v>
      </x:c>
      <x:c r="E5" s="401" t="d">
        <x:v>2026-08-31T00:00:00.000Z</x:v>
      </x:c>
      <x:c r="F5" s="387" t="str">
        <x:v>10-Q</x:v>
      </x:c>
      <x:c r="G5" s="401" t="d">
        <x:v>2026-09-11T00:00:00.000Z</x:v>
      </x:c>
      <x:c r="H5" s="387" t="str">
        <x:v>0001193125-26-389274</x:v>
      </x:c>
      <x:c r="I5" s="387" t="str">
        <x:v>us-gaap:PaymentsToAcquireInvestments</x:v>
      </x:c>
      <x:c r="J5" s="387" t="str">
        <x:v>C_f2f9ad85-08df-4e59-8948-bfd9405570de</x:v>
      </x:c>
      <x:c r="K5" s="479" t="n">
        <x:v>6</x:v>
      </x:c>
      <x:c r="L5" s="387" t="str">
        <x:v>-6</x:v>
      </x:c>
      <x:c r="M5" s="387" t="str">
        <x:v>https://www.sec.gov/Archives/edgar/data/1341439/000119312526389274/orcl-20260831.htm</x:v>
      </x:c>
      <x:c r="N5" s="387" t="str">
        <x:v>10-Q cash flows, p. 5</x:v>
      </x:c>
      <x:c r="O5" s="480"/>
      <x:c r="P5" s="480"/>
      <x:c r="Q5" s="480"/>
      <x:c r="R5" s="481"/>
    </x:row>
    <x:row r="6" ht="45" customHeight="1">
      <x:c r="A6" s="385" t="str">
        <x:v>investment_proceeds</x:v>
      </x:c>
      <x:c r="B6" s="478" t="n">
        <x:v>225000000</x:v>
      </x:c>
      <x:c r="C6" s="387" t="str">
        <x:v>Sales and maturities of investments</x:v>
      </x:c>
      <x:c r="D6" s="401" t="d">
        <x:v>2026-06-01T00:00:00.000Z</x:v>
      </x:c>
      <x:c r="E6" s="401" t="d">
        <x:v>2026-08-31T00:00:00.000Z</x:v>
      </x:c>
      <x:c r="F6" s="387" t="str">
        <x:v>10-Q</x:v>
      </x:c>
      <x:c r="G6" s="401" t="d">
        <x:v>2026-09-11T00:00:00.000Z</x:v>
      </x:c>
      <x:c r="H6" s="387" t="str">
        <x:v>0001193125-26-389274</x:v>
      </x:c>
      <x:c r="I6" s="387" t="str">
        <x:v>us-gaap:ProceedsFromSaleAndMaturityOfAvailableForSaleSecurities</x:v>
      </x:c>
      <x:c r="J6" s="387" t="str">
        <x:v>C_f2f9ad85-08df-4e59-8948-bfd9405570de</x:v>
      </x:c>
      <x:c r="K6" s="479" t="n">
        <x:v>6</x:v>
      </x:c>
      <x:c r="L6" s="387" t="str">
        <x:v>-6</x:v>
      </x:c>
      <x:c r="M6" s="387" t="str">
        <x:v>https://www.sec.gov/Archives/edgar/data/1341439/000119312526389274/orcl-20260831.htm</x:v>
      </x:c>
      <x:c r="N6" s="387" t="str">
        <x:v>10-Q cash flows, p. 5</x:v>
      </x:c>
      <x:c r="O6" s="480"/>
      <x:c r="P6" s="480"/>
      <x:c r="Q6" s="480"/>
      <x:c r="R6" s="481"/>
    </x:row>
    <x:row r="7" ht="45" customHeight="1">
      <x:c r="A7" s="385" t="str">
        <x:v>investing</x:v>
      </x:c>
      <x:c r="B7" s="478" t="n">
        <x:v>-28580000000</x:v>
      </x:c>
      <x:c r="C7" s="387" t="str">
        <x:v>Reported net investing cash flow</x:v>
      </x:c>
      <x:c r="D7" s="401" t="d">
        <x:v>2026-06-01T00:00:00.000Z</x:v>
      </x:c>
      <x:c r="E7" s="401" t="d">
        <x:v>2026-08-31T00:00:00.000Z</x:v>
      </x:c>
      <x:c r="F7" s="387" t="str">
        <x:v>10-Q</x:v>
      </x:c>
      <x:c r="G7" s="401" t="d">
        <x:v>2026-09-11T00:00:00.000Z</x:v>
      </x:c>
      <x:c r="H7" s="387" t="str">
        <x:v>0001193125-26-389274</x:v>
      </x:c>
      <x:c r="I7" s="387" t="str">
        <x:v>us-gaap:NetCashProvidedByUsedInInvestingActivities</x:v>
      </x:c>
      <x:c r="J7" s="387" t="str">
        <x:v>C_f2f9ad85-08df-4e59-8948-bfd9405570de</x:v>
      </x:c>
      <x:c r="K7" s="479" t="n">
        <x:v>6</x:v>
      </x:c>
      <x:c r="L7" s="387" t="str">
        <x:v>-6</x:v>
      </x:c>
      <x:c r="M7" s="387" t="str">
        <x:v>https://www.sec.gov/Archives/edgar/data/1341439/000119312526389274/orcl-20260831.htm</x:v>
      </x:c>
      <x:c r="N7" s="387" t="str">
        <x:v>10-Q cash flows, p. 5</x:v>
      </x:c>
      <x:c r="O7" s="480"/>
      <x:c r="P7" s="480"/>
      <x:c r="Q7" s="480"/>
      <x:c r="R7" s="481"/>
    </x:row>
    <x:row r="8" ht="45" customHeight="1">
      <x:c r="A8" s="385" t="str">
        <x:v>equity</x:v>
      </x:c>
      <x:c r="B8" s="478" t="n">
        <x:v>19909000000</x:v>
      </x:c>
      <x:c r="C8" s="387" t="str">
        <x:v>ATM common-stock proceeds, net</x:v>
      </x:c>
      <x:c r="D8" s="401" t="d">
        <x:v>2026-06-01T00:00:00.000Z</x:v>
      </x:c>
      <x:c r="E8" s="401" t="d">
        <x:v>2026-08-31T00:00:00.000Z</x:v>
      </x:c>
      <x:c r="F8" s="387" t="str">
        <x:v>10-Q</x:v>
      </x:c>
      <x:c r="G8" s="401" t="d">
        <x:v>2026-09-11T00:00:00.000Z</x:v>
      </x:c>
      <x:c r="H8" s="387" t="str">
        <x:v>0001193125-26-389274</x:v>
      </x:c>
      <x:c r="I8" s="387" t="str">
        <x:v>us-gaap:ProceedsFromIssuanceOfCommonStock</x:v>
      </x:c>
      <x:c r="J8" s="387" t="str">
        <x:v>C_f2f9ad85-08df-4e59-8948-bfd9405570de</x:v>
      </x:c>
      <x:c r="K8" s="479" t="n">
        <x:v>6</x:v>
      </x:c>
      <x:c r="L8" s="387" t="str">
        <x:v>-6</x:v>
      </x:c>
      <x:c r="M8" s="387" t="str">
        <x:v>https://www.sec.gov/Archives/edgar/data/1341439/000119312526389274/orcl-20260831.htm</x:v>
      </x:c>
      <x:c r="N8" s="387" t="str">
        <x:v>10-Q cash flows, p. 5</x:v>
      </x:c>
      <x:c r="O8" s="480"/>
      <x:c r="P8" s="480"/>
      <x:c r="Q8" s="480"/>
      <x:c r="R8" s="481"/>
    </x:row>
    <x:row r="9" ht="45" customHeight="1">
      <x:c r="A9" s="385" t="str">
        <x:v>employee</x:v>
      </x:c>
      <x:c r="B9" s="478" t="n">
        <x:v>41000000</x:v>
      </x:c>
      <x:c r="C9" s="387" t="str">
        <x:v>Net employee stock-program proceeds</x:v>
      </x:c>
      <x:c r="D9" s="401" t="d">
        <x:v>2026-06-01T00:00:00.000Z</x:v>
      </x:c>
      <x:c r="E9" s="401" t="d">
        <x:v>2026-08-31T00:00:00.000Z</x:v>
      </x:c>
      <x:c r="F9" s="387" t="str">
        <x:v>10-Q</x:v>
      </x:c>
      <x:c r="G9" s="401" t="d">
        <x:v>2026-09-11T00:00:00.000Z</x:v>
      </x:c>
      <x:c r="H9" s="387" t="str">
        <x:v>0001193125-26-389274</x:v>
      </x:c>
      <x:c r="I9" s="387" t="str">
        <x:v>us-gaap:ProceedsFromIssuanceOfSharesUnderIncentiveAndShareBasedCompensationPlans</x:v>
      </x:c>
      <x:c r="J9" s="387" t="str">
        <x:v>C_f2f9ad85-08df-4e59-8948-bfd9405570de</x:v>
      </x:c>
      <x:c r="K9" s="479" t="n">
        <x:v>6</x:v>
      </x:c>
      <x:c r="L9" s="387" t="str">
        <x:v>-6</x:v>
      </x:c>
      <x:c r="M9" s="387" t="str">
        <x:v>https://www.sec.gov/Archives/edgar/data/1341439/000119312526389274/orcl-20260831.htm</x:v>
      </x:c>
      <x:c r="N9" s="387" t="str">
        <x:v>10-Q cash flows, p. 5</x:v>
      </x:c>
      <x:c r="O9" s="480"/>
      <x:c r="P9" s="480"/>
      <x:c r="Q9" s="480"/>
      <x:c r="R9" s="481"/>
    </x:row>
    <x:row r="10" ht="45" customHeight="1">
      <x:c r="A10" s="385" t="str">
        <x:v>dividends</x:v>
      </x:c>
      <x:c r="B10" s="478" t="n">
        <x:v>1565000000</x:v>
      </x:c>
      <x:c r="C10" s="387" t="str">
        <x:v>Cash dividends to stockholders</x:v>
      </x:c>
      <x:c r="D10" s="401" t="d">
        <x:v>2026-06-01T00:00:00.000Z</x:v>
      </x:c>
      <x:c r="E10" s="401" t="d">
        <x:v>2026-08-31T00:00:00.000Z</x:v>
      </x:c>
      <x:c r="F10" s="387" t="str">
        <x:v>10-Q</x:v>
      </x:c>
      <x:c r="G10" s="401" t="d">
        <x:v>2026-09-11T00:00:00.000Z</x:v>
      </x:c>
      <x:c r="H10" s="387" t="str">
        <x:v>0001193125-26-389274</x:v>
      </x:c>
      <x:c r="I10" s="387" t="str">
        <x:v>us-gaap:PaymentsOfDividendsCommonStock</x:v>
      </x:c>
      <x:c r="J10" s="387" t="str">
        <x:v>C_f2f9ad85-08df-4e59-8948-bfd9405570de</x:v>
      </x:c>
      <x:c r="K10" s="479" t="n">
        <x:v>6</x:v>
      </x:c>
      <x:c r="L10" s="387" t="str">
        <x:v>-6</x:v>
      </x:c>
      <x:c r="M10" s="387" t="str">
        <x:v>https://www.sec.gov/Archives/edgar/data/1341439/000119312526389274/orcl-20260831.htm</x:v>
      </x:c>
      <x:c r="N10" s="387" t="str">
        <x:v>10-Q cash flows, p. 5</x:v>
      </x:c>
      <x:c r="O10" s="480"/>
      <x:c r="P10" s="480"/>
      <x:c r="Q10" s="480"/>
      <x:c r="R10" s="481"/>
    </x:row>
    <x:row r="11" ht="45" customHeight="1">
      <x:c r="A11" s="385" t="str">
        <x:v>cp</x:v>
      </x:c>
      <x:c r="B11" s="478" t="n">
        <x:v>0</x:v>
      </x:c>
      <x:c r="C11" s="387" t="str">
        <x:v>Commercial-paper repayments, cash-flow row</x:v>
      </x:c>
      <x:c r="D11" s="401" t="d">
        <x:v>2026-06-01T00:00:00.000Z</x:v>
      </x:c>
      <x:c r="E11" s="401" t="d">
        <x:v>2026-08-31T00:00:00.000Z</x:v>
      </x:c>
      <x:c r="F11" s="387" t="str">
        <x:v>10-Q</x:v>
      </x:c>
      <x:c r="G11" s="401" t="d">
        <x:v>2026-09-11T00:00:00.000Z</x:v>
      </x:c>
      <x:c r="H11" s="387" t="str">
        <x:v>0001193125-26-389274</x:v>
      </x:c>
      <x:c r="I11" s="387" t="str">
        <x:v>us-gaap:RepaymentsOfCommercialPaper</x:v>
      </x:c>
      <x:c r="J11" s="387" t="str">
        <x:v>C_f2f9ad85-08df-4e59-8948-bfd9405570de</x:v>
      </x:c>
      <x:c r="K11" s="479" t="n">
        <x:v>6</x:v>
      </x:c>
      <x:c r="L11" s="387" t="str">
        <x:v>-6</x:v>
      </x:c>
      <x:c r="M11" s="387" t="str">
        <x:v>https://www.sec.gov/Archives/edgar/data/1341439/000119312526389274/orcl-20260831.htm</x:v>
      </x:c>
      <x:c r="N11" s="387" t="str">
        <x:v>10-Q cash flows, p. 5</x:v>
      </x:c>
      <x:c r="O11" s="480"/>
      <x:c r="P11" s="480"/>
      <x:c r="Q11" s="480"/>
      <x:c r="R11" s="481"/>
    </x:row>
    <x:row r="12" ht="45" customHeight="1">
      <x:c r="A12" s="385" t="str">
        <x:v>capex_financing</x:v>
      </x:c>
      <x:c r="B12" s="478" t="n">
        <x:v>-830000000</x:v>
      </x:c>
      <x:c r="C12" s="387" t="str">
        <x:v>Net capex-financing cash flow</x:v>
      </x:c>
      <x:c r="D12" s="401" t="d">
        <x:v>2026-06-01T00:00:00.000Z</x:v>
      </x:c>
      <x:c r="E12" s="401" t="d">
        <x:v>2026-08-31T00:00:00.000Z</x:v>
      </x:c>
      <x:c r="F12" s="387" t="str">
        <x:v>10-Q</x:v>
      </x:c>
      <x:c r="G12" s="401" t="d">
        <x:v>2026-09-11T00:00:00.000Z</x:v>
      </x:c>
      <x:c r="H12" s="387" t="str">
        <x:v>0001193125-26-389274</x:v>
      </x:c>
      <x:c r="I12" s="387" t="str">
        <x:v>orcl:ProceedsFromRepaymentsOfShort-TermFinancingRelatedToCapitalExpendituresNet</x:v>
      </x:c>
      <x:c r="J12" s="387" t="str">
        <x:v>C_f2f9ad85-08df-4e59-8948-bfd9405570de</x:v>
      </x:c>
      <x:c r="K12" s="479" t="n">
        <x:v>6</x:v>
      </x:c>
      <x:c r="L12" s="387" t="str">
        <x:v>-6</x:v>
      </x:c>
      <x:c r="M12" s="387" t="str">
        <x:v>https://www.sec.gov/Archives/edgar/data/1341439/000119312526389274/orcl-20260831.htm</x:v>
      </x:c>
      <x:c r="N12" s="387" t="str">
        <x:v>10-Q cash flows, p. 5</x:v>
      </x:c>
      <x:c r="O12" s="480"/>
      <x:c r="P12" s="480"/>
      <x:c r="Q12" s="480"/>
      <x:c r="R12" s="481"/>
    </x:row>
    <x:row r="13" ht="45" customHeight="1">
      <x:c r="A13" s="385" t="str">
        <x:v>debt_repayments</x:v>
      </x:c>
      <x:c r="B13" s="478" t="n">
        <x:v>4202000000</x:v>
      </x:c>
      <x:c r="C13" s="387" t="str">
        <x:v>Senior notes, term loans and other repayments</x:v>
      </x:c>
      <x:c r="D13" s="401" t="d">
        <x:v>2026-06-01T00:00:00.000Z</x:v>
      </x:c>
      <x:c r="E13" s="401" t="d">
        <x:v>2026-08-31T00:00:00.000Z</x:v>
      </x:c>
      <x:c r="F13" s="387" t="str">
        <x:v>10-Q</x:v>
      </x:c>
      <x:c r="G13" s="401" t="d">
        <x:v>2026-09-11T00:00:00.000Z</x:v>
      </x:c>
      <x:c r="H13" s="387" t="str">
        <x:v>0001193125-26-389274</x:v>
      </x:c>
      <x:c r="I13" s="387" t="str">
        <x:v>us-gaap:RepaymentsOfDebt</x:v>
      </x:c>
      <x:c r="J13" s="387" t="str">
        <x:v>C_f2f9ad85-08df-4e59-8948-bfd9405570de</x:v>
      </x:c>
      <x:c r="K13" s="479" t="n">
        <x:v>6</x:v>
      </x:c>
      <x:c r="L13" s="387" t="str">
        <x:v>-6</x:v>
      </x:c>
      <x:c r="M13" s="387" t="str">
        <x:v>https://www.sec.gov/Archives/edgar/data/1341439/000119312526389274/orcl-20260831.htm</x:v>
      </x:c>
      <x:c r="N13" s="387" t="str">
        <x:v>10-Q cash flows, p. 5</x:v>
      </x:c>
      <x:c r="O13" s="480"/>
      <x:c r="P13" s="480"/>
      <x:c r="Q13" s="480"/>
      <x:c r="R13" s="481"/>
    </x:row>
    <x:row r="14" ht="45" customHeight="1">
      <x:c r="A14" s="385" t="str">
        <x:v>other_financing</x:v>
      </x:c>
      <x:c r="B14" s="478" t="n">
        <x:v>-242000000</x:v>
      </x:c>
      <x:c r="C14" s="387" t="str">
        <x:v>Other financing cash flow, net</x:v>
      </x:c>
      <x:c r="D14" s="401" t="d">
        <x:v>2026-06-01T00:00:00.000Z</x:v>
      </x:c>
      <x:c r="E14" s="401" t="d">
        <x:v>2026-08-31T00:00:00.000Z</x:v>
      </x:c>
      <x:c r="F14" s="387" t="str">
        <x:v>10-Q</x:v>
      </x:c>
      <x:c r="G14" s="401" t="d">
        <x:v>2026-09-11T00:00:00.000Z</x:v>
      </x:c>
      <x:c r="H14" s="387" t="str">
        <x:v>0001193125-26-389274</x:v>
      </x:c>
      <x:c r="I14" s="387" t="str">
        <x:v>us-gaap:ProceedsFromPaymentsForOtherFinancingActivities</x:v>
      </x:c>
      <x:c r="J14" s="387" t="str">
        <x:v>C_f2f9ad85-08df-4e59-8948-bfd9405570de</x:v>
      </x:c>
      <x:c r="K14" s="479" t="n">
        <x:v>6</x:v>
      </x:c>
      <x:c r="L14" s="387" t="str">
        <x:v>-6</x:v>
      </x:c>
      <x:c r="M14" s="387" t="str">
        <x:v>https://www.sec.gov/Archives/edgar/data/1341439/000119312526389274/orcl-20260831.htm</x:v>
      </x:c>
      <x:c r="N14" s="387" t="str">
        <x:v>10-Q cash flows, p. 5</x:v>
      </x:c>
      <x:c r="O14" s="480"/>
      <x:c r="P14" s="480"/>
      <x:c r="Q14" s="480"/>
      <x:c r="R14" s="481"/>
    </x:row>
    <x:row r="15" ht="45" customHeight="1">
      <x:c r="A15" s="385" t="str">
        <x:v>financing</x:v>
      </x:c>
      <x:c r="B15" s="478" t="n">
        <x:v>13111000000</x:v>
      </x:c>
      <x:c r="C15" s="387" t="str">
        <x:v>Reported net financing cash flow</x:v>
      </x:c>
      <x:c r="D15" s="401" t="d">
        <x:v>2026-06-01T00:00:00.000Z</x:v>
      </x:c>
      <x:c r="E15" s="401" t="d">
        <x:v>2026-08-31T00:00:00.000Z</x:v>
      </x:c>
      <x:c r="F15" s="387" t="str">
        <x:v>10-Q</x:v>
      </x:c>
      <x:c r="G15" s="401" t="d">
        <x:v>2026-09-11T00:00:00.000Z</x:v>
      </x:c>
      <x:c r="H15" s="387" t="str">
        <x:v>0001193125-26-389274</x:v>
      </x:c>
      <x:c r="I15" s="387" t="str">
        <x:v>us-gaap:NetCashProvidedByUsedInFinancingActivities</x:v>
      </x:c>
      <x:c r="J15" s="387" t="str">
        <x:v>C_f2f9ad85-08df-4e59-8948-bfd9405570de</x:v>
      </x:c>
      <x:c r="K15" s="479" t="n">
        <x:v>6</x:v>
      </x:c>
      <x:c r="L15" s="387" t="str">
        <x:v>-6</x:v>
      </x:c>
      <x:c r="M15" s="387" t="str">
        <x:v>https://www.sec.gov/Archives/edgar/data/1341439/000119312526389274/orcl-20260831.htm</x:v>
      </x:c>
      <x:c r="N15" s="387" t="str">
        <x:v>10-Q cash flows, p. 5</x:v>
      </x:c>
      <x:c r="O15" s="480"/>
      <x:c r="P15" s="480"/>
      <x:c r="Q15" s="480"/>
      <x:c r="R15" s="481"/>
    </x:row>
    <x:row r="16" ht="45" customHeight="1">
      <x:c r="A16" s="385" t="str">
        <x:v>fx</x:v>
      </x:c>
      <x:c r="B16" s="478" t="n">
        <x:v>11000000</x:v>
      </x:c>
      <x:c r="C16" s="387" t="str">
        <x:v>Exchange-rate effect on cash</x:v>
      </x:c>
      <x:c r="D16" s="401" t="d">
        <x:v>2026-06-01T00:00:00.000Z</x:v>
      </x:c>
      <x:c r="E16" s="401" t="d">
        <x:v>2026-08-31T00:00:00.000Z</x:v>
      </x:c>
      <x:c r="F16" s="387" t="str">
        <x:v>10-Q</x:v>
      </x:c>
      <x:c r="G16" s="401" t="d">
        <x:v>2026-09-11T00:00:00.000Z</x:v>
      </x:c>
      <x:c r="H16" s="387" t="str">
        <x:v>0001193125-26-389274</x:v>
      </x:c>
      <x:c r="I16" s="387" t="str">
        <x:v>us-gaap:EffectOfExchangeRateOnCashCashEquivalentsRestrictedCashAndRestrictedCashEquivalentsIncludingDisposalGroupAndDiscontinuedOperations</x:v>
      </x:c>
      <x:c r="J16" s="387" t="str">
        <x:v>C_f2f9ad85-08df-4e59-8948-bfd9405570de</x:v>
      </x:c>
      <x:c r="K16" s="479" t="n">
        <x:v>6</x:v>
      </x:c>
      <x:c r="L16" s="387" t="str">
        <x:v>-6</x:v>
      </x:c>
      <x:c r="M16" s="387" t="str">
        <x:v>https://www.sec.gov/Archives/edgar/data/1341439/000119312526389274/orcl-20260831.htm</x:v>
      </x:c>
      <x:c r="N16" s="387" t="str">
        <x:v>10-Q cash flows, p. 5</x:v>
      </x:c>
      <x:c r="O16" s="480"/>
      <x:c r="P16" s="480"/>
      <x:c r="Q16" s="480"/>
      <x:c r="R16" s="481"/>
    </x:row>
    <x:row r="17" ht="45" customHeight="1">
      <x:c r="A17" s="385" t="str">
        <x:v>change</x:v>
      </x:c>
      <x:c r="B17" s="478" t="n">
        <x:v>7645000000</x:v>
      </x:c>
      <x:c r="C17" s="387" t="str">
        <x:v>Reported increase in cash including restricted cash</x:v>
      </x:c>
      <x:c r="D17" s="401" t="d">
        <x:v>2026-06-01T00:00:00.000Z</x:v>
      </x:c>
      <x:c r="E17" s="401" t="d">
        <x:v>2026-08-31T00:00:00.000Z</x:v>
      </x:c>
      <x:c r="F17" s="387" t="str">
        <x:v>10-Q</x:v>
      </x:c>
      <x:c r="G17" s="401" t="d">
        <x:v>2026-09-11T00:00:00.000Z</x:v>
      </x:c>
      <x:c r="H17" s="387" t="str">
        <x:v>0001193125-26-389274</x:v>
      </x:c>
      <x:c r="I17" s="387" t="str">
        <x:v>us-gaap:CashCashEquivalentsRestrictedCashAndRestrictedCashEquivalentsPeriodIncreaseDecreaseIncludingExchangeRateEffect</x:v>
      </x:c>
      <x:c r="J17" s="387" t="str">
        <x:v>C_f2f9ad85-08df-4e59-8948-bfd9405570de</x:v>
      </x:c>
      <x:c r="K17" s="479" t="n">
        <x:v>6</x:v>
      </x:c>
      <x:c r="L17" s="387" t="str">
        <x:v>-6</x:v>
      </x:c>
      <x:c r="M17" s="387" t="str">
        <x:v>https://www.sec.gov/Archives/edgar/data/1341439/000119312526389274/orcl-20260831.htm</x:v>
      </x:c>
      <x:c r="N17" s="387" t="str">
        <x:v>10-Q cash flows, p. 5</x:v>
      </x:c>
      <x:c r="O17" s="480"/>
      <x:c r="P17" s="480"/>
      <x:c r="Q17" s="480"/>
      <x:c r="R17" s="481"/>
    </x:row>
    <x:row r="18" ht="45" customHeight="1">
      <x:c r="A18" s="385" t="str">
        <x:v>unpaid_capex</x:v>
      </x:c>
      <x:c r="B18" s="478" t="n">
        <x:v>6247000000</x:v>
      </x:c>
      <x:c r="C18" s="387" t="str">
        <x:v>Unpaid capital expenditures, noncash disclosure</x:v>
      </x:c>
      <x:c r="D18" s="401" t="d">
        <x:v>2026-06-01T00:00:00.000Z</x:v>
      </x:c>
      <x:c r="E18" s="401" t="d">
        <x:v>2026-08-31T00:00:00.000Z</x:v>
      </x:c>
      <x:c r="F18" s="387" t="str">
        <x:v>10-Q</x:v>
      </x:c>
      <x:c r="G18" s="401" t="d">
        <x:v>2026-09-11T00:00:00.000Z</x:v>
      </x:c>
      <x:c r="H18" s="387" t="str">
        <x:v>0001193125-26-389274</x:v>
      </x:c>
      <x:c r="I18" s="387" t="str">
        <x:v>us-gaap:CapitalExpendituresIncurredButNotYetPaid</x:v>
      </x:c>
      <x:c r="J18" s="387" t="str">
        <x:v>C_f2f9ad85-08df-4e59-8948-bfd9405570de</x:v>
      </x:c>
      <x:c r="K18" s="479" t="n">
        <x:v>6</x:v>
      </x:c>
      <x:c r="L18" s="387" t="str">
        <x:v>-6</x:v>
      </x:c>
      <x:c r="M18" s="387" t="str">
        <x:v>https://www.sec.gov/Archives/edgar/data/1341439/000119312526389274/orcl-20260831.htm</x:v>
      </x:c>
      <x:c r="N18" s="387" t="str">
        <x:v>10-Q cash flows, p. 5</x:v>
      </x:c>
      <x:c r="O18" s="480"/>
      <x:c r="P18" s="480"/>
      <x:c r="Q18" s="480"/>
      <x:c r="R18" s="481"/>
    </x:row>
    <x:row r="19" ht="45" customHeight="1">
      <x:c r="A19" s="385" t="str">
        <x:v>opening_total</x:v>
      </x:c>
      <x:c r="B19" s="478" t="n">
        <x:v>31289000000</x:v>
      </x:c>
      <x:c r="C19" s="387" t="str">
        <x:v>Opening cash including restricted cash</x:v>
      </x:c>
      <x:c r="D19" s="482"/>
      <x:c r="E19" s="401" t="d">
        <x:v>2026-05-31T00:00:00.000Z</x:v>
      </x:c>
      <x:c r="F19" s="387" t="str">
        <x:v>10-Q</x:v>
      </x:c>
      <x:c r="G19" s="401" t="d">
        <x:v>2026-09-11T00:00:00.000Z</x:v>
      </x:c>
      <x:c r="H19" s="387" t="str">
        <x:v>0001193125-26-389274</x:v>
      </x:c>
      <x:c r="I19" s="387" t="str">
        <x:v>us-gaap:CashCashEquivalentsRestrictedCashAndRestrictedCashEquivalentsIncludingDisposalGroupAndDiscontinuedOperations</x:v>
      </x:c>
      <x:c r="J19" s="387" t="str">
        <x:v>C_12e5037a-2a82-46f6-80d2-b607649a6bc1</x:v>
      </x:c>
      <x:c r="K19" s="479" t="n">
        <x:v>6</x:v>
      </x:c>
      <x:c r="L19" s="387" t="str">
        <x:v>-6</x:v>
      </x:c>
      <x:c r="M19" s="387" t="str">
        <x:v>https://www.sec.gov/Archives/edgar/data/1341439/000119312526389274/orcl-20260831.htm</x:v>
      </x:c>
      <x:c r="N19" s="387" t="str">
        <x:v>10-Q balance sheet p. 1; cash reconciliation pp. 5–6</x:v>
      </x:c>
      <x:c r="O19" s="480"/>
      <x:c r="P19" s="480"/>
      <x:c r="Q19" s="480"/>
      <x:c r="R19" s="481"/>
    </x:row>
    <x:row r="20" ht="45" customHeight="1">
      <x:c r="A20" s="385" t="str">
        <x:v>closing_total</x:v>
      </x:c>
      <x:c r="B20" s="478" t="n">
        <x:v>38934000000</x:v>
      </x:c>
      <x:c r="C20" s="387" t="str">
        <x:v>Closing cash including restricted cash</x:v>
      </x:c>
      <x:c r="D20" s="482"/>
      <x:c r="E20" s="401" t="d">
        <x:v>2026-08-31T00:00:00.000Z</x:v>
      </x:c>
      <x:c r="F20" s="387" t="str">
        <x:v>10-Q</x:v>
      </x:c>
      <x:c r="G20" s="401" t="d">
        <x:v>2026-09-11T00:00:00.000Z</x:v>
      </x:c>
      <x:c r="H20" s="387" t="str">
        <x:v>0001193125-26-389274</x:v>
      </x:c>
      <x:c r="I20" s="387" t="str">
        <x:v>us-gaap:CashCashEquivalentsRestrictedCashAndRestrictedCashEquivalentsIncludingDisposalGroupAndDiscontinuedOperations</x:v>
      </x:c>
      <x:c r="J20" s="387" t="str">
        <x:v>C_6aa4717d-0551-43f7-9cf4-c8a0049a656e</x:v>
      </x:c>
      <x:c r="K20" s="479" t="n">
        <x:v>6</x:v>
      </x:c>
      <x:c r="L20" s="387" t="str">
        <x:v>-6</x:v>
      </x:c>
      <x:c r="M20" s="387" t="str">
        <x:v>https://www.sec.gov/Archives/edgar/data/1341439/000119312526389274/orcl-20260831.htm</x:v>
      </x:c>
      <x:c r="N20" s="387" t="str">
        <x:v>10-Q balance sheet p. 1; cash reconciliation pp. 5–6</x:v>
      </x:c>
      <x:c r="O20" s="480"/>
      <x:c r="P20" s="480"/>
      <x:c r="Q20" s="480"/>
      <x:c r="R20" s="481"/>
    </x:row>
    <x:row r="21" ht="45" customHeight="1">
      <x:c r="A21" s="385" t="str">
        <x:v>closing_cash</x:v>
      </x:c>
      <x:c r="B21" s="478" t="n">
        <x:v>36369000000</x:v>
      </x:c>
      <x:c r="C21" s="387" t="str">
        <x:v>Cash and equivalents excluding restricted cash</x:v>
      </x:c>
      <x:c r="D21" s="482"/>
      <x:c r="E21" s="401" t="d">
        <x:v>2026-08-31T00:00:00.000Z</x:v>
      </x:c>
      <x:c r="F21" s="387" t="str">
        <x:v>10-Q</x:v>
      </x:c>
      <x:c r="G21" s="401" t="d">
        <x:v>2026-09-11T00:00:00.000Z</x:v>
      </x:c>
      <x:c r="H21" s="387" t="str">
        <x:v>0001193125-26-389274</x:v>
      </x:c>
      <x:c r="I21" s="387" t="str">
        <x:v>us-gaap:CashAndCashEquivalentsAtCarryingValue</x:v>
      </x:c>
      <x:c r="J21" s="387" t="str">
        <x:v>C_6aa4717d-0551-43f7-9cf4-c8a0049a656e</x:v>
      </x:c>
      <x:c r="K21" s="479" t="n">
        <x:v>6</x:v>
      </x:c>
      <x:c r="L21" s="387" t="str">
        <x:v>-6</x:v>
      </x:c>
      <x:c r="M21" s="387" t="str">
        <x:v>https://www.sec.gov/Archives/edgar/data/1341439/000119312526389274/orcl-20260831.htm</x:v>
      </x:c>
      <x:c r="N21" s="387" t="str">
        <x:v>10-Q balance sheet p. 1; cash reconciliation pp. 5–6</x:v>
      </x:c>
      <x:c r="O21" s="480"/>
      <x:c r="P21" s="480"/>
      <x:c r="Q21" s="480"/>
      <x:c r="R21" s="481"/>
    </x:row>
    <x:row r="22" ht="45" customHeight="1">
      <x:c r="A22" s="385" t="str">
        <x:v>not_commenced</x:v>
      </x:c>
      <x:c r="B22" s="478" t="n">
        <x:v>288000000000</x:v>
      </x:c>
      <x:c r="C22" s="387" t="str">
        <x:v>Operating leases not yet commenced</x:v>
      </x:c>
      <x:c r="D22" s="482"/>
      <x:c r="E22" s="401" t="d">
        <x:v>2026-08-31T00:00:00.000Z</x:v>
      </x:c>
      <x:c r="F22" s="387" t="str">
        <x:v>10-Q</x:v>
      </x:c>
      <x:c r="G22" s="401" t="d">
        <x:v>2026-09-11T00:00:00.000Z</x:v>
      </x:c>
      <x:c r="H22" s="387" t="str">
        <x:v>0001193125-26-389274</x:v>
      </x:c>
      <x:c r="I22" s="387" t="str">
        <x:v>orcl:LesseeOperatingLeaseLeaseNotYetCommencedLeaseCommitments</x:v>
      </x:c>
      <x:c r="J22" s="387" t="str">
        <x:v>C_6aa4717d-0551-43f7-9cf4-c8a0049a656e</x:v>
      </x:c>
      <x:c r="K22" s="479" t="n">
        <x:v>9</x:v>
      </x:c>
      <x:c r="L22" s="387" t="str">
        <x:v>-9</x:v>
      </x:c>
      <x:c r="M22" s="387" t="str">
        <x:v>https://www.sec.gov/Archives/edgar/data/1341439/000119312526389274/orcl-20260831.htm</x:v>
      </x:c>
      <x:c r="N22" s="387" t="str">
        <x:v>10-Q Note 6, p. 13</x:v>
      </x:c>
      <x:c r="O22" s="480"/>
      <x:c r="P22" s="480"/>
      <x:c r="Q22" s="480"/>
      <x:c r="R22" s="481"/>
    </x:row>
    <x:row r="23" ht="45" customHeight="1">
      <x:c r="A23" s="385" t="str">
        <x:v>operating_0</x:v>
      </x:c>
      <x:c r="B23" s="478" t="n">
        <x:v>3219000000</x:v>
      </x:c>
      <x:c r="C23" s="387" t="str">
        <x:v>Operating payments: Remainder FY2027</x:v>
      </x:c>
      <x:c r="D23" s="482"/>
      <x:c r="E23" s="401" t="d">
        <x:v>2026-08-31T00:00:00.000Z</x:v>
      </x:c>
      <x:c r="F23" s="387" t="str">
        <x:v>10-Q</x:v>
      </x:c>
      <x:c r="G23" s="401" t="d">
        <x:v>2026-09-11T00:00:00.000Z</x:v>
      </x:c>
      <x:c r="H23" s="387" t="str">
        <x:v>0001193125-26-389274</x:v>
      </x:c>
      <x:c r="I23" s="387" t="str">
        <x:v>us-gaap:LesseeOperatingLeaseLiabilityPaymentsRemainderOfFiscalYear</x:v>
      </x:c>
      <x:c r="J23" s="387" t="str">
        <x:v>C_6aa4717d-0551-43f7-9cf4-c8a0049a656e</x:v>
      </x:c>
      <x:c r="K23" s="479" t="n">
        <x:v>6</x:v>
      </x:c>
      <x:c r="L23" s="387" t="str">
        <x:v>-6</x:v>
      </x:c>
      <x:c r="M23" s="387" t="str">
        <x:v>https://www.sec.gov/Archives/edgar/data/1341439/000119312526389274/orcl-20260831.htm</x:v>
      </x:c>
      <x:c r="N23" s="387" t="str">
        <x:v>10-Q Note 6, pp. 12–13</x:v>
      </x:c>
      <x:c r="O23" s="480"/>
      <x:c r="P23" s="480"/>
      <x:c r="Q23" s="480"/>
      <x:c r="R23" s="481"/>
    </x:row>
    <x:row r="24" ht="45" customHeight="1">
      <x:c r="A24" s="385" t="str">
        <x:v>operating_1</x:v>
      </x:c>
      <x:c r="B24" s="478" t="n">
        <x:v>4135000000</x:v>
      </x:c>
      <x:c r="C24" s="387" t="str">
        <x:v>Operating payments: FY2028</x:v>
      </x:c>
      <x:c r="D24" s="482"/>
      <x:c r="E24" s="401" t="d">
        <x:v>2026-08-31T00:00:00.000Z</x:v>
      </x:c>
      <x:c r="F24" s="387" t="str">
        <x:v>10-Q</x:v>
      </x:c>
      <x:c r="G24" s="401" t="d">
        <x:v>2026-09-11T00:00:00.000Z</x:v>
      </x:c>
      <x:c r="H24" s="387" t="str">
        <x:v>0001193125-26-389274</x:v>
      </x:c>
      <x:c r="I24" s="387" t="str">
        <x:v>us-gaap:LesseeOperatingLeaseLiabilityPaymentsDueNextTwelveMonths</x:v>
      </x:c>
      <x:c r="J24" s="387" t="str">
        <x:v>C_6aa4717d-0551-43f7-9cf4-c8a0049a656e</x:v>
      </x:c>
      <x:c r="K24" s="479" t="n">
        <x:v>6</x:v>
      </x:c>
      <x:c r="L24" s="387" t="str">
        <x:v>-6</x:v>
      </x:c>
      <x:c r="M24" s="387" t="str">
        <x:v>https://www.sec.gov/Archives/edgar/data/1341439/000119312526389274/orcl-20260831.htm</x:v>
      </x:c>
      <x:c r="N24" s="387" t="str">
        <x:v>10-Q Note 6, pp. 12–13</x:v>
      </x:c>
      <x:c r="O24" s="480"/>
      <x:c r="P24" s="480"/>
      <x:c r="Q24" s="480"/>
      <x:c r="R24" s="481"/>
    </x:row>
    <x:row r="25" ht="45" customHeight="1">
      <x:c r="A25" s="385" t="str">
        <x:v>operating_2</x:v>
      </x:c>
      <x:c r="B25" s="478" t="n">
        <x:v>4097000000</x:v>
      </x:c>
      <x:c r="C25" s="387" t="str">
        <x:v>Operating payments: FY2029</x:v>
      </x:c>
      <x:c r="D25" s="482"/>
      <x:c r="E25" s="401" t="d">
        <x:v>2026-08-31T00:00:00.000Z</x:v>
      </x:c>
      <x:c r="F25" s="387" t="str">
        <x:v>10-Q</x:v>
      </x:c>
      <x:c r="G25" s="401" t="d">
        <x:v>2026-09-11T00:00:00.000Z</x:v>
      </x:c>
      <x:c r="H25" s="387" t="str">
        <x:v>0001193125-26-389274</x:v>
      </x:c>
      <x:c r="I25" s="387" t="str">
        <x:v>us-gaap:LesseeOperatingLeaseLiabilityPaymentsDueYearTwo</x:v>
      </x:c>
      <x:c r="J25" s="387" t="str">
        <x:v>C_6aa4717d-0551-43f7-9cf4-c8a0049a656e</x:v>
      </x:c>
      <x:c r="K25" s="479" t="n">
        <x:v>6</x:v>
      </x:c>
      <x:c r="L25" s="387" t="str">
        <x:v>-6</x:v>
      </x:c>
      <x:c r="M25" s="387" t="str">
        <x:v>https://www.sec.gov/Archives/edgar/data/1341439/000119312526389274/orcl-20260831.htm</x:v>
      </x:c>
      <x:c r="N25" s="387" t="str">
        <x:v>10-Q Note 6, pp. 12–13</x:v>
      </x:c>
      <x:c r="O25" s="480"/>
      <x:c r="P25" s="480"/>
      <x:c r="Q25" s="480"/>
      <x:c r="R25" s="481"/>
    </x:row>
    <x:row r="26" ht="45" customHeight="1">
      <x:c r="A26" s="385" t="str">
        <x:v>operating_3</x:v>
      </x:c>
      <x:c r="B26" s="478" t="n">
        <x:v>4109000000</x:v>
      </x:c>
      <x:c r="C26" s="387" t="str">
        <x:v>Operating payments: FY2030</x:v>
      </x:c>
      <x:c r="D26" s="482"/>
      <x:c r="E26" s="401" t="d">
        <x:v>2026-08-31T00:00:00.000Z</x:v>
      </x:c>
      <x:c r="F26" s="387" t="str">
        <x:v>10-Q</x:v>
      </x:c>
      <x:c r="G26" s="401" t="d">
        <x:v>2026-09-11T00:00:00.000Z</x:v>
      </x:c>
      <x:c r="H26" s="387" t="str">
        <x:v>0001193125-26-389274</x:v>
      </x:c>
      <x:c r="I26" s="387" t="str">
        <x:v>us-gaap:LesseeOperatingLeaseLiabilityPaymentsDueYearThree</x:v>
      </x:c>
      <x:c r="J26" s="387" t="str">
        <x:v>C_6aa4717d-0551-43f7-9cf4-c8a0049a656e</x:v>
      </x:c>
      <x:c r="K26" s="479" t="n">
        <x:v>6</x:v>
      </x:c>
      <x:c r="L26" s="387" t="str">
        <x:v>-6</x:v>
      </x:c>
      <x:c r="M26" s="387" t="str">
        <x:v>https://www.sec.gov/Archives/edgar/data/1341439/000119312526389274/orcl-20260831.htm</x:v>
      </x:c>
      <x:c r="N26" s="387" t="str">
        <x:v>10-Q Note 6, pp. 12–13</x:v>
      </x:c>
      <x:c r="O26" s="480"/>
      <x:c r="P26" s="480"/>
      <x:c r="Q26" s="480"/>
      <x:c r="R26" s="481"/>
    </x:row>
    <x:row r="27" ht="45" customHeight="1">
      <x:c r="A27" s="385" t="str">
        <x:v>operating_4</x:v>
      </x:c>
      <x:c r="B27" s="478" t="n">
        <x:v>4089000000</x:v>
      </x:c>
      <x:c r="C27" s="387" t="str">
        <x:v>Operating payments: FY2031</x:v>
      </x:c>
      <x:c r="D27" s="482"/>
      <x:c r="E27" s="401" t="d">
        <x:v>2026-08-31T00:00:00.000Z</x:v>
      </x:c>
      <x:c r="F27" s="387" t="str">
        <x:v>10-Q</x:v>
      </x:c>
      <x:c r="G27" s="401" t="d">
        <x:v>2026-09-11T00:00:00.000Z</x:v>
      </x:c>
      <x:c r="H27" s="387" t="str">
        <x:v>0001193125-26-389274</x:v>
      </x:c>
      <x:c r="I27" s="387" t="str">
        <x:v>us-gaap:LesseeOperatingLeaseLiabilityPaymentsDueYearFour</x:v>
      </x:c>
      <x:c r="J27" s="387" t="str">
        <x:v>C_6aa4717d-0551-43f7-9cf4-c8a0049a656e</x:v>
      </x:c>
      <x:c r="K27" s="479" t="n">
        <x:v>6</x:v>
      </x:c>
      <x:c r="L27" s="387" t="str">
        <x:v>-6</x:v>
      </x:c>
      <x:c r="M27" s="387" t="str">
        <x:v>https://www.sec.gov/Archives/edgar/data/1341439/000119312526389274/orcl-20260831.htm</x:v>
      </x:c>
      <x:c r="N27" s="387" t="str">
        <x:v>10-Q Note 6, pp. 12–13</x:v>
      </x:c>
      <x:c r="O27" s="480"/>
      <x:c r="P27" s="480"/>
      <x:c r="Q27" s="480"/>
      <x:c r="R27" s="481"/>
    </x:row>
    <x:row r="28" ht="45" customHeight="1">
      <x:c r="A28" s="385" t="str">
        <x:v>operating_5</x:v>
      </x:c>
      <x:c r="B28" s="478" t="n">
        <x:v>4030000000</x:v>
      </x:c>
      <x:c r="C28" s="387" t="str">
        <x:v>Operating payments: FY2032</x:v>
      </x:c>
      <x:c r="D28" s="482"/>
      <x:c r="E28" s="401" t="d">
        <x:v>2026-08-31T00:00:00.000Z</x:v>
      </x:c>
      <x:c r="F28" s="387" t="str">
        <x:v>10-Q</x:v>
      </x:c>
      <x:c r="G28" s="401" t="d">
        <x:v>2026-09-11T00:00:00.000Z</x:v>
      </x:c>
      <x:c r="H28" s="387" t="str">
        <x:v>0001193125-26-389274</x:v>
      </x:c>
      <x:c r="I28" s="387" t="str">
        <x:v>us-gaap:LesseeOperatingLeaseLiabilityPaymentsDueYearFive</x:v>
      </x:c>
      <x:c r="J28" s="387" t="str">
        <x:v>C_6aa4717d-0551-43f7-9cf4-c8a0049a656e</x:v>
      </x:c>
      <x:c r="K28" s="479" t="n">
        <x:v>6</x:v>
      </x:c>
      <x:c r="L28" s="387" t="str">
        <x:v>-6</x:v>
      </x:c>
      <x:c r="M28" s="387" t="str">
        <x:v>https://www.sec.gov/Archives/edgar/data/1341439/000119312526389274/orcl-20260831.htm</x:v>
      </x:c>
      <x:c r="N28" s="387" t="str">
        <x:v>10-Q Note 6, pp. 12–13</x:v>
      </x:c>
      <x:c r="O28" s="480"/>
      <x:c r="P28" s="480"/>
      <x:c r="Q28" s="480"/>
      <x:c r="R28" s="481"/>
    </x:row>
    <x:row r="29" ht="45" customHeight="1">
      <x:c r="A29" s="385" t="str">
        <x:v>operating_6</x:v>
      </x:c>
      <x:c r="B29" s="478" t="n">
        <x:v>24371000000</x:v>
      </x:c>
      <x:c r="C29" s="387" t="str">
        <x:v>Operating payments: Thereafter</x:v>
      </x:c>
      <x:c r="D29" s="482"/>
      <x:c r="E29" s="401" t="d">
        <x:v>2026-08-31T00:00:00.000Z</x:v>
      </x:c>
      <x:c r="F29" s="387" t="str">
        <x:v>10-Q</x:v>
      </x:c>
      <x:c r="G29" s="401" t="d">
        <x:v>2026-09-11T00:00:00.000Z</x:v>
      </x:c>
      <x:c r="H29" s="387" t="str">
        <x:v>0001193125-26-389274</x:v>
      </x:c>
      <x:c r="I29" s="387" t="str">
        <x:v>us-gaap:LesseeOperatingLeaseLiabilityPaymentsDueAfterYearFive</x:v>
      </x:c>
      <x:c r="J29" s="387" t="str">
        <x:v>C_6aa4717d-0551-43f7-9cf4-c8a0049a656e</x:v>
      </x:c>
      <x:c r="K29" s="479" t="n">
        <x:v>6</x:v>
      </x:c>
      <x:c r="L29" s="387" t="str">
        <x:v>-6</x:v>
      </x:c>
      <x:c r="M29" s="387" t="str">
        <x:v>https://www.sec.gov/Archives/edgar/data/1341439/000119312526389274/orcl-20260831.htm</x:v>
      </x:c>
      <x:c r="N29" s="387" t="str">
        <x:v>10-Q Note 6, pp. 12–13</x:v>
      </x:c>
      <x:c r="O29" s="480"/>
      <x:c r="P29" s="480"/>
      <x:c r="Q29" s="480"/>
      <x:c r="R29" s="481"/>
    </x:row>
    <x:row r="30" ht="45" customHeight="1">
      <x:c r="A30" s="385" t="str">
        <x:v>finance_0</x:v>
      </x:c>
      <x:c r="B30" s="478" t="n">
        <x:v>620000000</x:v>
      </x:c>
      <x:c r="C30" s="387" t="str">
        <x:v>Finance payments: Remainder FY2027</x:v>
      </x:c>
      <x:c r="D30" s="482"/>
      <x:c r="E30" s="401" t="d">
        <x:v>2026-08-31T00:00:00.000Z</x:v>
      </x:c>
      <x:c r="F30" s="387" t="str">
        <x:v>10-Q</x:v>
      </x:c>
      <x:c r="G30" s="401" t="d">
        <x:v>2026-09-11T00:00:00.000Z</x:v>
      </x:c>
      <x:c r="H30" s="387" t="str">
        <x:v>0001193125-26-389274</x:v>
      </x:c>
      <x:c r="I30" s="387" t="str">
        <x:v>us-gaap:FinanceLeaseLiabilityPaymentsRemainderOfFiscalYear</x:v>
      </x:c>
      <x:c r="J30" s="387" t="str">
        <x:v>C_6aa4717d-0551-43f7-9cf4-c8a0049a656e</x:v>
      </x:c>
      <x:c r="K30" s="479" t="n">
        <x:v>6</x:v>
      </x:c>
      <x:c r="L30" s="387" t="str">
        <x:v>-6</x:v>
      </x:c>
      <x:c r="M30" s="387" t="str">
        <x:v>https://www.sec.gov/Archives/edgar/data/1341439/000119312526389274/orcl-20260831.htm</x:v>
      </x:c>
      <x:c r="N30" s="387" t="str">
        <x:v>10-Q Note 6, pp. 12–13</x:v>
      </x:c>
      <x:c r="O30" s="480"/>
      <x:c r="P30" s="480"/>
      <x:c r="Q30" s="480"/>
      <x:c r="R30" s="481"/>
    </x:row>
    <x:row r="31" ht="45" customHeight="1">
      <x:c r="A31" s="385" t="str">
        <x:v>finance_1</x:v>
      </x:c>
      <x:c r="B31" s="478" t="n">
        <x:v>852000000</x:v>
      </x:c>
      <x:c r="C31" s="387" t="str">
        <x:v>Finance payments: FY2028</x:v>
      </x:c>
      <x:c r="D31" s="482"/>
      <x:c r="E31" s="401" t="d">
        <x:v>2026-08-31T00:00:00.000Z</x:v>
      </x:c>
      <x:c r="F31" s="387" t="str">
        <x:v>10-Q</x:v>
      </x:c>
      <x:c r="G31" s="401" t="d">
        <x:v>2026-09-11T00:00:00.000Z</x:v>
      </x:c>
      <x:c r="H31" s="387" t="str">
        <x:v>0001193125-26-389274</x:v>
      </x:c>
      <x:c r="I31" s="387" t="str">
        <x:v>us-gaap:FinanceLeaseLiabilityPaymentsDueNextTwelveMonths</x:v>
      </x:c>
      <x:c r="J31" s="387" t="str">
        <x:v>C_6aa4717d-0551-43f7-9cf4-c8a0049a656e</x:v>
      </x:c>
      <x:c r="K31" s="479" t="n">
        <x:v>6</x:v>
      </x:c>
      <x:c r="L31" s="387" t="str">
        <x:v>-6</x:v>
      </x:c>
      <x:c r="M31" s="387" t="str">
        <x:v>https://www.sec.gov/Archives/edgar/data/1341439/000119312526389274/orcl-20260831.htm</x:v>
      </x:c>
      <x:c r="N31" s="387" t="str">
        <x:v>10-Q Note 6, pp. 12–13</x:v>
      </x:c>
      <x:c r="O31" s="480"/>
      <x:c r="P31" s="480"/>
      <x:c r="Q31" s="480"/>
      <x:c r="R31" s="481"/>
    </x:row>
    <x:row r="32" ht="45" customHeight="1">
      <x:c r="A32" s="385" t="str">
        <x:v>finance_2</x:v>
      </x:c>
      <x:c r="B32" s="478" t="n">
        <x:v>923000000</x:v>
      </x:c>
      <x:c r="C32" s="387" t="str">
        <x:v>Finance payments: FY2029</x:v>
      </x:c>
      <x:c r="D32" s="482"/>
      <x:c r="E32" s="401" t="d">
        <x:v>2026-08-31T00:00:00.000Z</x:v>
      </x:c>
      <x:c r="F32" s="387" t="str">
        <x:v>10-Q</x:v>
      </x:c>
      <x:c r="G32" s="401" t="d">
        <x:v>2026-09-11T00:00:00.000Z</x:v>
      </x:c>
      <x:c r="H32" s="387" t="str">
        <x:v>0001193125-26-389274</x:v>
      </x:c>
      <x:c r="I32" s="387" t="str">
        <x:v>us-gaap:FinanceLeaseLiabilityPaymentsDueYearTwo</x:v>
      </x:c>
      <x:c r="J32" s="387" t="str">
        <x:v>C_6aa4717d-0551-43f7-9cf4-c8a0049a656e</x:v>
      </x:c>
      <x:c r="K32" s="479" t="n">
        <x:v>6</x:v>
      </x:c>
      <x:c r="L32" s="387" t="str">
        <x:v>-6</x:v>
      </x:c>
      <x:c r="M32" s="387" t="str">
        <x:v>https://www.sec.gov/Archives/edgar/data/1341439/000119312526389274/orcl-20260831.htm</x:v>
      </x:c>
      <x:c r="N32" s="387" t="str">
        <x:v>10-Q Note 6, pp. 12–13</x:v>
      </x:c>
      <x:c r="O32" s="480"/>
      <x:c r="P32" s="480"/>
      <x:c r="Q32" s="480"/>
      <x:c r="R32" s="481"/>
    </x:row>
    <x:row r="33" ht="45" customHeight="1">
      <x:c r="A33" s="385" t="str">
        <x:v>finance_3</x:v>
      </x:c>
      <x:c r="B33" s="478" t="n">
        <x:v>947000000</x:v>
      </x:c>
      <x:c r="C33" s="387" t="str">
        <x:v>Finance payments: FY2030</x:v>
      </x:c>
      <x:c r="D33" s="482"/>
      <x:c r="E33" s="401" t="d">
        <x:v>2026-08-31T00:00:00.000Z</x:v>
      </x:c>
      <x:c r="F33" s="387" t="str">
        <x:v>10-Q</x:v>
      </x:c>
      <x:c r="G33" s="401" t="d">
        <x:v>2026-09-11T00:00:00.000Z</x:v>
      </x:c>
      <x:c r="H33" s="387" t="str">
        <x:v>0001193125-26-389274</x:v>
      </x:c>
      <x:c r="I33" s="387" t="str">
        <x:v>us-gaap:FinanceLeaseLiabilityPaymentsDueYearThree</x:v>
      </x:c>
      <x:c r="J33" s="387" t="str">
        <x:v>C_6aa4717d-0551-43f7-9cf4-c8a0049a656e</x:v>
      </x:c>
      <x:c r="K33" s="479" t="n">
        <x:v>6</x:v>
      </x:c>
      <x:c r="L33" s="387" t="str">
        <x:v>-6</x:v>
      </x:c>
      <x:c r="M33" s="387" t="str">
        <x:v>https://www.sec.gov/Archives/edgar/data/1341439/000119312526389274/orcl-20260831.htm</x:v>
      </x:c>
      <x:c r="N33" s="387" t="str">
        <x:v>10-Q Note 6, pp. 12–13</x:v>
      </x:c>
      <x:c r="O33" s="480"/>
      <x:c r="P33" s="480"/>
      <x:c r="Q33" s="480"/>
      <x:c r="R33" s="481"/>
    </x:row>
    <x:row r="34" ht="45" customHeight="1">
      <x:c r="A34" s="385" t="str">
        <x:v>finance_4</x:v>
      </x:c>
      <x:c r="B34" s="478" t="n">
        <x:v>971000000</x:v>
      </x:c>
      <x:c r="C34" s="387" t="str">
        <x:v>Finance payments: FY2031</x:v>
      </x:c>
      <x:c r="D34" s="482"/>
      <x:c r="E34" s="401" t="d">
        <x:v>2026-08-31T00:00:00.000Z</x:v>
      </x:c>
      <x:c r="F34" s="387" t="str">
        <x:v>10-Q</x:v>
      </x:c>
      <x:c r="G34" s="401" t="d">
        <x:v>2026-09-11T00:00:00.000Z</x:v>
      </x:c>
      <x:c r="H34" s="387" t="str">
        <x:v>0001193125-26-389274</x:v>
      </x:c>
      <x:c r="I34" s="387" t="str">
        <x:v>us-gaap:FinanceLeaseLiabilityPaymentsDueYearFour</x:v>
      </x:c>
      <x:c r="J34" s="387" t="str">
        <x:v>C_6aa4717d-0551-43f7-9cf4-c8a0049a656e</x:v>
      </x:c>
      <x:c r="K34" s="479" t="n">
        <x:v>6</x:v>
      </x:c>
      <x:c r="L34" s="387" t="str">
        <x:v>-6</x:v>
      </x:c>
      <x:c r="M34" s="387" t="str">
        <x:v>https://www.sec.gov/Archives/edgar/data/1341439/000119312526389274/orcl-20260831.htm</x:v>
      </x:c>
      <x:c r="N34" s="387" t="str">
        <x:v>10-Q Note 6, pp. 12–13</x:v>
      </x:c>
      <x:c r="O34" s="480"/>
      <x:c r="P34" s="480"/>
      <x:c r="Q34" s="480"/>
      <x:c r="R34" s="481"/>
    </x:row>
    <x:row r="35" ht="45" customHeight="1">
      <x:c r="A35" s="385" t="str">
        <x:v>finance_5</x:v>
      </x:c>
      <x:c r="B35" s="478" t="n">
        <x:v>996000000</x:v>
      </x:c>
      <x:c r="C35" s="387" t="str">
        <x:v>Finance payments: FY2032</x:v>
      </x:c>
      <x:c r="D35" s="482"/>
      <x:c r="E35" s="401" t="d">
        <x:v>2026-08-31T00:00:00.000Z</x:v>
      </x:c>
      <x:c r="F35" s="387" t="str">
        <x:v>10-Q</x:v>
      </x:c>
      <x:c r="G35" s="401" t="d">
        <x:v>2026-09-11T00:00:00.000Z</x:v>
      </x:c>
      <x:c r="H35" s="387" t="str">
        <x:v>0001193125-26-389274</x:v>
      </x:c>
      <x:c r="I35" s="387" t="str">
        <x:v>us-gaap:FinanceLeaseLiabilityPaymentsDueYearFive</x:v>
      </x:c>
      <x:c r="J35" s="387" t="str">
        <x:v>C_6aa4717d-0551-43f7-9cf4-c8a0049a656e</x:v>
      </x:c>
      <x:c r="K35" s="479" t="n">
        <x:v>6</x:v>
      </x:c>
      <x:c r="L35" s="387" t="str">
        <x:v>-6</x:v>
      </x:c>
      <x:c r="M35" s="387" t="str">
        <x:v>https://www.sec.gov/Archives/edgar/data/1341439/000119312526389274/orcl-20260831.htm</x:v>
      </x:c>
      <x:c r="N35" s="387" t="str">
        <x:v>10-Q Note 6, pp. 12–13</x:v>
      </x:c>
      <x:c r="O35" s="480"/>
      <x:c r="P35" s="480"/>
      <x:c r="Q35" s="480"/>
      <x:c r="R35" s="481"/>
    </x:row>
    <x:row r="36" ht="45" customHeight="1">
      <x:c r="A36" s="385" t="str">
        <x:v>finance_6</x:v>
      </x:c>
      <x:c r="B36" s="478" t="n">
        <x:v>9886000000</x:v>
      </x:c>
      <x:c r="C36" s="387" t="str">
        <x:v>Finance payments: Thereafter</x:v>
      </x:c>
      <x:c r="D36" s="482"/>
      <x:c r="E36" s="401" t="d">
        <x:v>2026-08-31T00:00:00.000Z</x:v>
      </x:c>
      <x:c r="F36" s="387" t="str">
        <x:v>10-Q</x:v>
      </x:c>
      <x:c r="G36" s="401" t="d">
        <x:v>2026-09-11T00:00:00.000Z</x:v>
      </x:c>
      <x:c r="H36" s="387" t="str">
        <x:v>0001193125-26-389274</x:v>
      </x:c>
      <x:c r="I36" s="387" t="str">
        <x:v>us-gaap:FinanceLeaseLiabilityPaymentsDueAfterYearFive</x:v>
      </x:c>
      <x:c r="J36" s="387" t="str">
        <x:v>C_6aa4717d-0551-43f7-9cf4-c8a0049a656e</x:v>
      </x:c>
      <x:c r="K36" s="479" t="n">
        <x:v>6</x:v>
      </x:c>
      <x:c r="L36" s="387" t="str">
        <x:v>-6</x:v>
      </x:c>
      <x:c r="M36" s="387" t="str">
        <x:v>https://www.sec.gov/Archives/edgar/data/1341439/000119312526389274/orcl-20260831.htm</x:v>
      </x:c>
      <x:c r="N36" s="387" t="str">
        <x:v>10-Q Note 6, pp. 12–13</x:v>
      </x:c>
      <x:c r="O36" s="480"/>
      <x:c r="P36" s="480"/>
      <x:c r="Q36" s="480"/>
      <x:c r="R36" s="481"/>
    </x:row>
    <x:row r="37" ht="45" customHeight="1">
      <x:c r="A37" s="385" t="str">
        <x:v>purchase_0</x:v>
      </x:c>
      <x:c r="B37" s="478" t="n">
        <x:v>5449000000</x:v>
      </x:c>
      <x:c r="C37" s="387" t="str">
        <x:v>Purchase payments: Remainder FY2027</x:v>
      </x:c>
      <x:c r="D37" s="482"/>
      <x:c r="E37" s="401" t="d">
        <x:v>2026-08-31T00:00:00.000Z</x:v>
      </x:c>
      <x:c r="F37" s="387" t="str">
        <x:v>10-Q</x:v>
      </x:c>
      <x:c r="G37" s="401" t="d">
        <x:v>2026-09-11T00:00:00.000Z</x:v>
      </x:c>
      <x:c r="H37" s="387" t="str">
        <x:v>0001193125-26-389274</x:v>
      </x:c>
      <x:c r="I37" s="387" t="str">
        <x:v>us-gaap:UnrecordedUnconditionalPurchaseObligationDueInRemainderOfFiscalYear</x:v>
      </x:c>
      <x:c r="J37" s="387" t="str">
        <x:v>C_6aa4717d-0551-43f7-9cf4-c8a0049a656e</x:v>
      </x:c>
      <x:c r="K37" s="479" t="n">
        <x:v>6</x:v>
      </x:c>
      <x:c r="L37" s="387" t="str">
        <x:v>-6</x:v>
      </x:c>
      <x:c r="M37" s="387" t="str">
        <x:v>https://www.sec.gov/Archives/edgar/data/1341439/000119312526389274/orcl-20260831.htm</x:v>
      </x:c>
      <x:c r="N37" s="387" t="str">
        <x:v>10-Q Note 6, pp. 12–13</x:v>
      </x:c>
      <x:c r="O37" s="480"/>
      <x:c r="P37" s="480"/>
      <x:c r="Q37" s="480"/>
      <x:c r="R37" s="481"/>
    </x:row>
    <x:row r="38" ht="45" customHeight="1">
      <x:c r="A38" s="385" t="str">
        <x:v>purchase_1</x:v>
      </x:c>
      <x:c r="B38" s="478" t="n">
        <x:v>6176000000</x:v>
      </x:c>
      <x:c r="C38" s="387" t="str">
        <x:v>Purchase payments: FY2028</x:v>
      </x:c>
      <x:c r="D38" s="482"/>
      <x:c r="E38" s="401" t="d">
        <x:v>2026-08-31T00:00:00.000Z</x:v>
      </x:c>
      <x:c r="F38" s="387" t="str">
        <x:v>10-Q</x:v>
      </x:c>
      <x:c r="G38" s="401" t="d">
        <x:v>2026-09-11T00:00:00.000Z</x:v>
      </x:c>
      <x:c r="H38" s="387" t="str">
        <x:v>0001193125-26-389274</x:v>
      </x:c>
      <x:c r="I38" s="387" t="str">
        <x:v>us-gaap:UnrecordedUnconditionalPurchaseObligationBalanceOnFirstAnniversary</x:v>
      </x:c>
      <x:c r="J38" s="387" t="str">
        <x:v>C_6aa4717d-0551-43f7-9cf4-c8a0049a656e</x:v>
      </x:c>
      <x:c r="K38" s="479" t="n">
        <x:v>6</x:v>
      </x:c>
      <x:c r="L38" s="387" t="str">
        <x:v>-6</x:v>
      </x:c>
      <x:c r="M38" s="387" t="str">
        <x:v>https://www.sec.gov/Archives/edgar/data/1341439/000119312526389274/orcl-20260831.htm</x:v>
      </x:c>
      <x:c r="N38" s="387" t="str">
        <x:v>10-Q Note 6, pp. 12–13</x:v>
      </x:c>
      <x:c r="O38" s="480"/>
      <x:c r="P38" s="480"/>
      <x:c r="Q38" s="480"/>
      <x:c r="R38" s="481"/>
    </x:row>
    <x:row r="39" ht="45" customHeight="1">
      <x:c r="A39" s="385" t="str">
        <x:v>purchase_2</x:v>
      </x:c>
      <x:c r="B39" s="478" t="n">
        <x:v>3863000000</x:v>
      </x:c>
      <x:c r="C39" s="387" t="str">
        <x:v>Purchase payments: FY2029</x:v>
      </x:c>
      <x:c r="D39" s="482"/>
      <x:c r="E39" s="401" t="d">
        <x:v>2026-08-31T00:00:00.000Z</x:v>
      </x:c>
      <x:c r="F39" s="387" t="str">
        <x:v>10-Q</x:v>
      </x:c>
      <x:c r="G39" s="401" t="d">
        <x:v>2026-09-11T00:00:00.000Z</x:v>
      </x:c>
      <x:c r="H39" s="387" t="str">
        <x:v>0001193125-26-389274</x:v>
      </x:c>
      <x:c r="I39" s="387" t="str">
        <x:v>us-gaap:UnrecordedUnconditionalPurchaseObligationBalanceOnSecondAnniversary</x:v>
      </x:c>
      <x:c r="J39" s="387" t="str">
        <x:v>C_6aa4717d-0551-43f7-9cf4-c8a0049a656e</x:v>
      </x:c>
      <x:c r="K39" s="479" t="n">
        <x:v>6</x:v>
      </x:c>
      <x:c r="L39" s="387" t="str">
        <x:v>-6</x:v>
      </x:c>
      <x:c r="M39" s="387" t="str">
        <x:v>https://www.sec.gov/Archives/edgar/data/1341439/000119312526389274/orcl-20260831.htm</x:v>
      </x:c>
      <x:c r="N39" s="387" t="str">
        <x:v>10-Q Note 6, pp. 12–13</x:v>
      </x:c>
      <x:c r="O39" s="480"/>
      <x:c r="P39" s="480"/>
      <x:c r="Q39" s="480"/>
      <x:c r="R39" s="481"/>
    </x:row>
    <x:row r="40" ht="45" customHeight="1">
      <x:c r="A40" s="385" t="str">
        <x:v>purchase_3</x:v>
      </x:c>
      <x:c r="B40" s="478" t="n">
        <x:v>4318000000</x:v>
      </x:c>
      <x:c r="C40" s="387" t="str">
        <x:v>Purchase payments: FY2030</x:v>
      </x:c>
      <x:c r="D40" s="482"/>
      <x:c r="E40" s="401" t="d">
        <x:v>2026-08-31T00:00:00.000Z</x:v>
      </x:c>
      <x:c r="F40" s="387" t="str">
        <x:v>10-Q</x:v>
      </x:c>
      <x:c r="G40" s="401" t="d">
        <x:v>2026-09-11T00:00:00.000Z</x:v>
      </x:c>
      <x:c r="H40" s="387" t="str">
        <x:v>0001193125-26-389274</x:v>
      </x:c>
      <x:c r="I40" s="387" t="str">
        <x:v>us-gaap:UnrecordedUnconditionalPurchaseObligationBalanceOnThirdAnniversary</x:v>
      </x:c>
      <x:c r="J40" s="387" t="str">
        <x:v>C_6aa4717d-0551-43f7-9cf4-c8a0049a656e</x:v>
      </x:c>
      <x:c r="K40" s="479" t="n">
        <x:v>6</x:v>
      </x:c>
      <x:c r="L40" s="387" t="str">
        <x:v>-6</x:v>
      </x:c>
      <x:c r="M40" s="387" t="str">
        <x:v>https://www.sec.gov/Archives/edgar/data/1341439/000119312526389274/orcl-20260831.htm</x:v>
      </x:c>
      <x:c r="N40" s="387" t="str">
        <x:v>10-Q Note 6, pp. 12–13</x:v>
      </x:c>
      <x:c r="O40" s="480"/>
      <x:c r="P40" s="480"/>
      <x:c r="Q40" s="480"/>
      <x:c r="R40" s="481"/>
    </x:row>
    <x:row r="41" ht="45" customHeight="1">
      <x:c r="A41" s="385" t="str">
        <x:v>purchase_4</x:v>
      </x:c>
      <x:c r="B41" s="478" t="n">
        <x:v>6768000000</x:v>
      </x:c>
      <x:c r="C41" s="387" t="str">
        <x:v>Purchase payments: FY2031</x:v>
      </x:c>
      <x:c r="D41" s="482"/>
      <x:c r="E41" s="401" t="d">
        <x:v>2026-08-31T00:00:00.000Z</x:v>
      </x:c>
      <x:c r="F41" s="387" t="str">
        <x:v>10-Q</x:v>
      </x:c>
      <x:c r="G41" s="401" t="d">
        <x:v>2026-09-11T00:00:00.000Z</x:v>
      </x:c>
      <x:c r="H41" s="387" t="str">
        <x:v>0001193125-26-389274</x:v>
      </x:c>
      <x:c r="I41" s="387" t="str">
        <x:v>us-gaap:UnrecordedUnconditionalPurchaseObligationBalanceOnFourthAnniversary</x:v>
      </x:c>
      <x:c r="J41" s="387" t="str">
        <x:v>C_6aa4717d-0551-43f7-9cf4-c8a0049a656e</x:v>
      </x:c>
      <x:c r="K41" s="479" t="n">
        <x:v>6</x:v>
      </x:c>
      <x:c r="L41" s="387" t="str">
        <x:v>-6</x:v>
      </x:c>
      <x:c r="M41" s="387" t="str">
        <x:v>https://www.sec.gov/Archives/edgar/data/1341439/000119312526389274/orcl-20260831.htm</x:v>
      </x:c>
      <x:c r="N41" s="387" t="str">
        <x:v>10-Q Note 6, pp. 12–13</x:v>
      </x:c>
      <x:c r="O41" s="480"/>
      <x:c r="P41" s="480"/>
      <x:c r="Q41" s="480"/>
      <x:c r="R41" s="481"/>
    </x:row>
    <x:row r="42" ht="45" customHeight="1">
      <x:c r="A42" s="385" t="str">
        <x:v>purchase_5</x:v>
      </x:c>
      <x:c r="B42" s="478" t="n">
        <x:v>954000000</x:v>
      </x:c>
      <x:c r="C42" s="387" t="str">
        <x:v>Purchase payments: FY2032</x:v>
      </x:c>
      <x:c r="D42" s="482"/>
      <x:c r="E42" s="401" t="d">
        <x:v>2026-08-31T00:00:00.000Z</x:v>
      </x:c>
      <x:c r="F42" s="387" t="str">
        <x:v>10-Q</x:v>
      </x:c>
      <x:c r="G42" s="401" t="d">
        <x:v>2026-09-11T00:00:00.000Z</x:v>
      </x:c>
      <x:c r="H42" s="387" t="str">
        <x:v>0001193125-26-389274</x:v>
      </x:c>
      <x:c r="I42" s="387" t="str">
        <x:v>us-gaap:UnrecordedUnconditionalPurchaseObligationBalanceOnFifthAnniversary</x:v>
      </x:c>
      <x:c r="J42" s="387" t="str">
        <x:v>C_6aa4717d-0551-43f7-9cf4-c8a0049a656e</x:v>
      </x:c>
      <x:c r="K42" s="479" t="n">
        <x:v>6</x:v>
      </x:c>
      <x:c r="L42" s="387" t="str">
        <x:v>-6</x:v>
      </x:c>
      <x:c r="M42" s="387" t="str">
        <x:v>https://www.sec.gov/Archives/edgar/data/1341439/000119312526389274/orcl-20260831.htm</x:v>
      </x:c>
      <x:c r="N42" s="387" t="str">
        <x:v>10-Q Note 6, pp. 12–13</x:v>
      </x:c>
      <x:c r="O42" s="480"/>
      <x:c r="P42" s="480"/>
      <x:c r="Q42" s="480"/>
      <x:c r="R42" s="481"/>
    </x:row>
    <x:row r="43" ht="45" customHeight="1">
      <x:c r="A43" s="385" t="str">
        <x:v>purchase_6</x:v>
      </x:c>
      <x:c r="B43" s="478" t="n">
        <x:v>6622000000</x:v>
      </x:c>
      <x:c r="C43" s="387" t="str">
        <x:v>Purchase payments: Thereafter</x:v>
      </x:c>
      <x:c r="D43" s="482"/>
      <x:c r="E43" s="401" t="d">
        <x:v>2026-08-31T00:00:00.000Z</x:v>
      </x:c>
      <x:c r="F43" s="387" t="str">
        <x:v>10-Q</x:v>
      </x:c>
      <x:c r="G43" s="401" t="d">
        <x:v>2026-09-11T00:00:00.000Z</x:v>
      </x:c>
      <x:c r="H43" s="387" t="str">
        <x:v>0001193125-26-389274</x:v>
      </x:c>
      <x:c r="I43" s="387" t="str">
        <x:v>us-gaap:UnrecordedUnconditionalPurchaseObligationDueAfterFiveYears</x:v>
      </x:c>
      <x:c r="J43" s="387" t="str">
        <x:v>C_6aa4717d-0551-43f7-9cf4-c8a0049a656e</x:v>
      </x:c>
      <x:c r="K43" s="479" t="n">
        <x:v>6</x:v>
      </x:c>
      <x:c r="L43" s="387" t="str">
        <x:v>-6</x:v>
      </x:c>
      <x:c r="M43" s="387" t="str">
        <x:v>https://www.sec.gov/Archives/edgar/data/1341439/000119312526389274/orcl-20260831.htm</x:v>
      </x:c>
      <x:c r="N43" s="387" t="str">
        <x:v>10-Q Note 6, pp. 12–13</x:v>
      </x:c>
      <x:c r="O43" s="480"/>
      <x:c r="P43" s="480"/>
      <x:c r="Q43" s="480"/>
      <x:c r="R43" s="481"/>
    </x:row>
    <x:row r="44" ht="45" customHeight="1">
      <x:c r="A44" s="385" t="str">
        <x:v>operating_total</x:v>
      </x:c>
      <x:c r="B44" s="478" t="n">
        <x:v>48050000000</x:v>
      </x:c>
      <x:c r="C44" s="387" t="str">
        <x:v>Operating total</x:v>
      </x:c>
      <x:c r="D44" s="482"/>
      <x:c r="E44" s="401" t="d">
        <x:v>2026-08-31T00:00:00.000Z</x:v>
      </x:c>
      <x:c r="F44" s="387" t="str">
        <x:v>10-Q</x:v>
      </x:c>
      <x:c r="G44" s="401" t="d">
        <x:v>2026-09-11T00:00:00.000Z</x:v>
      </x:c>
      <x:c r="H44" s="387" t="str">
        <x:v>0001193125-26-389274</x:v>
      </x:c>
      <x:c r="I44" s="387" t="str">
        <x:v>us-gaap:LesseeOperatingLeaseLiabilityPaymentsDue</x:v>
      </x:c>
      <x:c r="J44" s="387" t="str">
        <x:v>C_6aa4717d-0551-43f7-9cf4-c8a0049a656e</x:v>
      </x:c>
      <x:c r="K44" s="479" t="n">
        <x:v>6</x:v>
      </x:c>
      <x:c r="L44" s="387" t="str">
        <x:v>-6</x:v>
      </x:c>
      <x:c r="M44" s="387" t="str">
        <x:v>https://www.sec.gov/Archives/edgar/data/1341439/000119312526389274/orcl-20260831.htm</x:v>
      </x:c>
      <x:c r="N44" s="387" t="str">
        <x:v>10-Q Note 6, pp. 12–13</x:v>
      </x:c>
      <x:c r="O44" s="480"/>
      <x:c r="P44" s="480"/>
      <x:c r="Q44" s="480"/>
      <x:c r="R44" s="481"/>
    </x:row>
    <x:row r="45" ht="45" customHeight="1">
      <x:c r="A45" s="385" t="str">
        <x:v>operating_interest</x:v>
      </x:c>
      <x:c r="B45" s="478" t="n">
        <x:v>13429000000</x:v>
      </x:c>
      <x:c r="C45" s="387" t="str">
        <x:v>Operating interest</x:v>
      </x:c>
      <x:c r="D45" s="482"/>
      <x:c r="E45" s="401" t="d">
        <x:v>2026-08-31T00:00:00.000Z</x:v>
      </x:c>
      <x:c r="F45" s="387" t="str">
        <x:v>10-Q</x:v>
      </x:c>
      <x:c r="G45" s="401" t="d">
        <x:v>2026-09-11T00:00:00.000Z</x:v>
      </x:c>
      <x:c r="H45" s="387" t="str">
        <x:v>0001193125-26-389274</x:v>
      </x:c>
      <x:c r="I45" s="387" t="str">
        <x:v>us-gaap:LesseeOperatingLeaseLiabilityUndiscountedExcessAmount</x:v>
      </x:c>
      <x:c r="J45" s="387" t="str">
        <x:v>C_6aa4717d-0551-43f7-9cf4-c8a0049a656e</x:v>
      </x:c>
      <x:c r="K45" s="479" t="n">
        <x:v>6</x:v>
      </x:c>
      <x:c r="L45" s="387" t="str">
        <x:v>-6</x:v>
      </x:c>
      <x:c r="M45" s="387" t="str">
        <x:v>https://www.sec.gov/Archives/edgar/data/1341439/000119312526389274/orcl-20260831.htm</x:v>
      </x:c>
      <x:c r="N45" s="387" t="str">
        <x:v>10-Q Note 6, pp. 12–13</x:v>
      </x:c>
      <x:c r="O45" s="480"/>
      <x:c r="P45" s="480"/>
      <x:c r="Q45" s="480"/>
      <x:c r="R45" s="481"/>
    </x:row>
    <x:row r="46" ht="45" customHeight="1">
      <x:c r="A46" s="385" t="str">
        <x:v>operating_liability</x:v>
      </x:c>
      <x:c r="B46" s="478" t="n">
        <x:v>34621000000</x:v>
      </x:c>
      <x:c r="C46" s="387" t="str">
        <x:v>Operating liability</x:v>
      </x:c>
      <x:c r="D46" s="482"/>
      <x:c r="E46" s="401" t="d">
        <x:v>2026-08-31T00:00:00.000Z</x:v>
      </x:c>
      <x:c r="F46" s="387" t="str">
        <x:v>10-Q</x:v>
      </x:c>
      <x:c r="G46" s="401" t="d">
        <x:v>2026-09-11T00:00:00.000Z</x:v>
      </x:c>
      <x:c r="H46" s="387" t="str">
        <x:v>0001193125-26-389274</x:v>
      </x:c>
      <x:c r="I46" s="387" t="str">
        <x:v>us-gaap:OperatingLeaseLiability</x:v>
      </x:c>
      <x:c r="J46" s="387" t="str">
        <x:v>C_6aa4717d-0551-43f7-9cf4-c8a0049a656e</x:v>
      </x:c>
      <x:c r="K46" s="479" t="n">
        <x:v>6</x:v>
      </x:c>
      <x:c r="L46" s="387" t="str">
        <x:v>-6</x:v>
      </x:c>
      <x:c r="M46" s="387" t="str">
        <x:v>https://www.sec.gov/Archives/edgar/data/1341439/000119312526389274/orcl-20260831.htm</x:v>
      </x:c>
      <x:c r="N46" s="387" t="str">
        <x:v>10-Q Note 6, pp. 12–13</x:v>
      </x:c>
      <x:c r="O46" s="480"/>
      <x:c r="P46" s="480"/>
      <x:c r="Q46" s="480"/>
      <x:c r="R46" s="481"/>
    </x:row>
    <x:row r="47" ht="45" customHeight="1">
      <x:c r="A47" s="385" t="str">
        <x:v>finance_total</x:v>
      </x:c>
      <x:c r="B47" s="478" t="n">
        <x:v>15195000000</x:v>
      </x:c>
      <x:c r="C47" s="387" t="str">
        <x:v>Finance total</x:v>
      </x:c>
      <x:c r="D47" s="482"/>
      <x:c r="E47" s="401" t="d">
        <x:v>2026-08-31T00:00:00.000Z</x:v>
      </x:c>
      <x:c r="F47" s="387" t="str">
        <x:v>10-Q</x:v>
      </x:c>
      <x:c r="G47" s="401" t="d">
        <x:v>2026-09-11T00:00:00.000Z</x:v>
      </x:c>
      <x:c r="H47" s="387" t="str">
        <x:v>0001193125-26-389274</x:v>
      </x:c>
      <x:c r="I47" s="387" t="str">
        <x:v>us-gaap:FinanceLeaseLiabilityPaymentsDue</x:v>
      </x:c>
      <x:c r="J47" s="387" t="str">
        <x:v>C_6aa4717d-0551-43f7-9cf4-c8a0049a656e</x:v>
      </x:c>
      <x:c r="K47" s="479" t="n">
        <x:v>6</x:v>
      </x:c>
      <x:c r="L47" s="387" t="str">
        <x:v>-6</x:v>
      </x:c>
      <x:c r="M47" s="387" t="str">
        <x:v>https://www.sec.gov/Archives/edgar/data/1341439/000119312526389274/orcl-20260831.htm</x:v>
      </x:c>
      <x:c r="N47" s="387" t="str">
        <x:v>10-Q Note 6, pp. 12–13</x:v>
      </x:c>
      <x:c r="O47" s="480"/>
      <x:c r="P47" s="480"/>
      <x:c r="Q47" s="480"/>
      <x:c r="R47" s="481"/>
    </x:row>
    <x:row r="48" ht="45" customHeight="1">
      <x:c r="A48" s="385" t="str">
        <x:v>finance_interest</x:v>
      </x:c>
      <x:c r="B48" s="478" t="n">
        <x:v>6010000000</x:v>
      </x:c>
      <x:c r="C48" s="387" t="str">
        <x:v>Finance interest</x:v>
      </x:c>
      <x:c r="D48" s="482"/>
      <x:c r="E48" s="401" t="d">
        <x:v>2026-08-31T00:00:00.000Z</x:v>
      </x:c>
      <x:c r="F48" s="387" t="str">
        <x:v>10-Q</x:v>
      </x:c>
      <x:c r="G48" s="401" t="d">
        <x:v>2026-09-11T00:00:00.000Z</x:v>
      </x:c>
      <x:c r="H48" s="387" t="str">
        <x:v>0001193125-26-389274</x:v>
      </x:c>
      <x:c r="I48" s="387" t="str">
        <x:v>us-gaap:FinanceLeaseLiabilityUndiscountedExcessAmount</x:v>
      </x:c>
      <x:c r="J48" s="387" t="str">
        <x:v>C_6aa4717d-0551-43f7-9cf4-c8a0049a656e</x:v>
      </x:c>
      <x:c r="K48" s="479" t="n">
        <x:v>6</x:v>
      </x:c>
      <x:c r="L48" s="387" t="str">
        <x:v>-6</x:v>
      </x:c>
      <x:c r="M48" s="387" t="str">
        <x:v>https://www.sec.gov/Archives/edgar/data/1341439/000119312526389274/orcl-20260831.htm</x:v>
      </x:c>
      <x:c r="N48" s="387" t="str">
        <x:v>10-Q Note 6, pp. 12–13</x:v>
      </x:c>
      <x:c r="O48" s="480"/>
      <x:c r="P48" s="480"/>
      <x:c r="Q48" s="480"/>
      <x:c r="R48" s="481"/>
    </x:row>
    <x:row r="49" ht="45" customHeight="1">
      <x:c r="A49" s="385" t="str">
        <x:v>finance_liability</x:v>
      </x:c>
      <x:c r="B49" s="478" t="n">
        <x:v>9185000000</x:v>
      </x:c>
      <x:c r="C49" s="387" t="str">
        <x:v>Finance liability</x:v>
      </x:c>
      <x:c r="D49" s="482"/>
      <x:c r="E49" s="401" t="d">
        <x:v>2026-08-31T00:00:00.000Z</x:v>
      </x:c>
      <x:c r="F49" s="387" t="str">
        <x:v>10-Q</x:v>
      </x:c>
      <x:c r="G49" s="401" t="d">
        <x:v>2026-09-11T00:00:00.000Z</x:v>
      </x:c>
      <x:c r="H49" s="387" t="str">
        <x:v>0001193125-26-389274</x:v>
      </x:c>
      <x:c r="I49" s="387" t="str">
        <x:v>us-gaap:FinanceLeaseLiability</x:v>
      </x:c>
      <x:c r="J49" s="387" t="str">
        <x:v>C_6aa4717d-0551-43f7-9cf4-c8a0049a656e</x:v>
      </x:c>
      <x:c r="K49" s="479" t="n">
        <x:v>6</x:v>
      </x:c>
      <x:c r="L49" s="387" t="str">
        <x:v>-6</x:v>
      </x:c>
      <x:c r="M49" s="387" t="str">
        <x:v>https://www.sec.gov/Archives/edgar/data/1341439/000119312526389274/orcl-20260831.htm</x:v>
      </x:c>
      <x:c r="N49" s="387" t="str">
        <x:v>10-Q Note 6, pp. 12–13</x:v>
      </x:c>
      <x:c r="O49" s="480"/>
      <x:c r="P49" s="480"/>
      <x:c r="Q49" s="480"/>
      <x:c r="R49" s="481"/>
    </x:row>
    <x:row r="50" ht="45" customHeight="1">
      <x:c r="A50" s="385" t="str">
        <x:v>purchase_total</x:v>
      </x:c>
      <x:c r="B50" s="478" t="n">
        <x:v>34150000000</x:v>
      </x:c>
      <x:c r="C50" s="387" t="str">
        <x:v>Purchase total</x:v>
      </x:c>
      <x:c r="D50" s="482"/>
      <x:c r="E50" s="401" t="d">
        <x:v>2026-08-31T00:00:00.000Z</x:v>
      </x:c>
      <x:c r="F50" s="387" t="str">
        <x:v>10-Q</x:v>
      </x:c>
      <x:c r="G50" s="401" t="d">
        <x:v>2026-09-11T00:00:00.000Z</x:v>
      </x:c>
      <x:c r="H50" s="387" t="str">
        <x:v>0001193125-26-389274</x:v>
      </x:c>
      <x:c r="I50" s="387" t="str">
        <x:v>us-gaap:UnrecordedUnconditionalPurchaseObligationBalanceSheetAmount</x:v>
      </x:c>
      <x:c r="J50" s="387" t="str">
        <x:v>C_6aa4717d-0551-43f7-9cf4-c8a0049a656e</x:v>
      </x:c>
      <x:c r="K50" s="479" t="n">
        <x:v>6</x:v>
      </x:c>
      <x:c r="L50" s="387" t="str">
        <x:v>-6</x:v>
      </x:c>
      <x:c r="M50" s="387" t="str">
        <x:v>https://www.sec.gov/Archives/edgar/data/1341439/000119312526389274/orcl-20260831.htm</x:v>
      </x:c>
      <x:c r="N50" s="387" t="str">
        <x:v>10-Q Note 6, pp. 12–13</x:v>
      </x:c>
      <x:c r="O50" s="480"/>
      <x:c r="P50" s="480"/>
      <x:c r="Q50" s="480"/>
      <x:c r="R50" s="481"/>
    </x:row>
    <x:row r="51" ht="45" customHeight="1">
      <x:c r="A51" s="385" t="str">
        <x:v>annual_0</x:v>
      </x:c>
      <x:c r="B51" s="478" t="n">
        <x:v>7210000000</x:v>
      </x:c>
      <x:c r="C51" s="387" t="str">
        <x:v>Historical May principal: Fiscal 2027</x:v>
      </x:c>
      <x:c r="D51" s="482"/>
      <x:c r="E51" s="401" t="d">
        <x:v>2026-05-31T00:00:00.000Z</x:v>
      </x:c>
      <x:c r="F51" s="387" t="str">
        <x:v>10-K</x:v>
      </x:c>
      <x:c r="G51" s="401" t="d">
        <x:v>2026-06-22T00:00:00.000Z</x:v>
      </x:c>
      <x:c r="H51" s="387" t="str">
        <x:v>0001193125-26-277521</x:v>
      </x:c>
      <x:c r="I51" s="387" t="str">
        <x:v>us-gaap:LongTermDebtMaturitiesRepaymentsOfPrincipalInNextTwelveMonths</x:v>
      </x:c>
      <x:c r="J51" s="387" t="str">
        <x:v>C_f62bade6-47e1-4441-9bb3-1e534300c2f2</x:v>
      </x:c>
      <x:c r="K51" s="479" t="n">
        <x:v>6</x:v>
      </x:c>
      <x:c r="L51" s="387" t="str">
        <x:v>-6</x:v>
      </x:c>
      <x:c r="M51" s="387" t="str">
        <x:v>https://www.sec.gov/Archives/edgar/data/1341439/000119312526277521/orcl-20260531.htm</x:v>
      </x:c>
      <x:c r="N51" s="387" t="str">
        <x:v>10-K Note 6, pp. 83–85</x:v>
      </x:c>
      <x:c r="O51" s="387" t="str">
        <x:v>Historical principal. Not rolled forward to August; excludes interest and leases.</x:v>
      </x:c>
      <x:c r="P51" s="480"/>
      <x:c r="Q51" s="480"/>
      <x:c r="R51" s="481"/>
    </x:row>
    <x:row r="52" ht="45" customHeight="1">
      <x:c r="A52" s="385" t="str">
        <x:v>annual_1</x:v>
      </x:c>
      <x:c r="B52" s="478" t="n">
        <x:v>10145000000</x:v>
      </x:c>
      <x:c r="C52" s="387" t="str">
        <x:v>Historical May principal: Fiscal 2028</x:v>
      </x:c>
      <x:c r="D52" s="482"/>
      <x:c r="E52" s="401" t="d">
        <x:v>2026-05-31T00:00:00.000Z</x:v>
      </x:c>
      <x:c r="F52" s="387" t="str">
        <x:v>10-K</x:v>
      </x:c>
      <x:c r="G52" s="401" t="d">
        <x:v>2026-06-22T00:00:00.000Z</x:v>
      </x:c>
      <x:c r="H52" s="387" t="str">
        <x:v>0001193125-26-277521</x:v>
      </x:c>
      <x:c r="I52" s="387" t="str">
        <x:v>us-gaap:LongTermDebtMaturitiesRepaymentsOfPrincipalInYearTwo</x:v>
      </x:c>
      <x:c r="J52" s="387" t="str">
        <x:v>C_f62bade6-47e1-4441-9bb3-1e534300c2f2</x:v>
      </x:c>
      <x:c r="K52" s="479" t="n">
        <x:v>6</x:v>
      </x:c>
      <x:c r="L52" s="387" t="str">
        <x:v>-6</x:v>
      </x:c>
      <x:c r="M52" s="387" t="str">
        <x:v>https://www.sec.gov/Archives/edgar/data/1341439/000119312526277521/orcl-20260531.htm</x:v>
      </x:c>
      <x:c r="N52" s="387" t="str">
        <x:v>10-K Note 6, pp. 83–85</x:v>
      </x:c>
      <x:c r="O52" s="387" t="str">
        <x:v>Historical principal. Not rolled forward to August; excludes interest and leases.</x:v>
      </x:c>
      <x:c r="P52" s="480"/>
      <x:c r="Q52" s="480"/>
      <x:c r="R52" s="481"/>
    </x:row>
    <x:row r="53" ht="45" customHeight="1">
      <x:c r="A53" s="385" t="str">
        <x:v>annual_2</x:v>
      </x:c>
      <x:c r="B53" s="478" t="n">
        <x:v>5500000000</x:v>
      </x:c>
      <x:c r="C53" s="387" t="str">
        <x:v>Historical May principal: Fiscal 2029</x:v>
      </x:c>
      <x:c r="D53" s="482"/>
      <x:c r="E53" s="401" t="d">
        <x:v>2026-05-31T00:00:00.000Z</x:v>
      </x:c>
      <x:c r="F53" s="387" t="str">
        <x:v>10-K</x:v>
      </x:c>
      <x:c r="G53" s="401" t="d">
        <x:v>2026-06-22T00:00:00.000Z</x:v>
      </x:c>
      <x:c r="H53" s="387" t="str">
        <x:v>0001193125-26-277521</x:v>
      </x:c>
      <x:c r="I53" s="387" t="str">
        <x:v>us-gaap:LongTermDebtMaturitiesRepaymentsOfPrincipalInYearThree</x:v>
      </x:c>
      <x:c r="J53" s="387" t="str">
        <x:v>C_f62bade6-47e1-4441-9bb3-1e534300c2f2</x:v>
      </x:c>
      <x:c r="K53" s="479" t="n">
        <x:v>6</x:v>
      </x:c>
      <x:c r="L53" s="387" t="str">
        <x:v>-6</x:v>
      </x:c>
      <x:c r="M53" s="387" t="str">
        <x:v>https://www.sec.gov/Archives/edgar/data/1341439/000119312526277521/orcl-20260531.htm</x:v>
      </x:c>
      <x:c r="N53" s="387" t="str">
        <x:v>10-K Note 6, pp. 83–85</x:v>
      </x:c>
      <x:c r="O53" s="387" t="str">
        <x:v>Historical principal. Not rolled forward to August; excludes interest and leases.</x:v>
      </x:c>
      <x:c r="P53" s="480"/>
      <x:c r="Q53" s="480"/>
      <x:c r="R53" s="481"/>
    </x:row>
    <x:row r="54" ht="45" customHeight="1">
      <x:c r="A54" s="385" t="str">
        <x:v>annual_3</x:v>
      </x:c>
      <x:c r="B54" s="478" t="n">
        <x:v>7250000000</x:v>
      </x:c>
      <x:c r="C54" s="387" t="str">
        <x:v>Historical May principal: Fiscal 2030</x:v>
      </x:c>
      <x:c r="D54" s="482"/>
      <x:c r="E54" s="401" t="d">
        <x:v>2026-05-31T00:00:00.000Z</x:v>
      </x:c>
      <x:c r="F54" s="387" t="str">
        <x:v>10-K</x:v>
      </x:c>
      <x:c r="G54" s="401" t="d">
        <x:v>2026-06-22T00:00:00.000Z</x:v>
      </x:c>
      <x:c r="H54" s="387" t="str">
        <x:v>0001193125-26-277521</x:v>
      </x:c>
      <x:c r="I54" s="387" t="str">
        <x:v>us-gaap:LongTermDebtMaturitiesRepaymentsOfPrincipalInYearFour</x:v>
      </x:c>
      <x:c r="J54" s="387" t="str">
        <x:v>C_f62bade6-47e1-4441-9bb3-1e534300c2f2</x:v>
      </x:c>
      <x:c r="K54" s="479" t="n">
        <x:v>6</x:v>
      </x:c>
      <x:c r="L54" s="387" t="str">
        <x:v>-6</x:v>
      </x:c>
      <x:c r="M54" s="387" t="str">
        <x:v>https://www.sec.gov/Archives/edgar/data/1341439/000119312526277521/orcl-20260531.htm</x:v>
      </x:c>
      <x:c r="N54" s="387" t="str">
        <x:v>10-K Note 6, pp. 83–85</x:v>
      </x:c>
      <x:c r="O54" s="387" t="str">
        <x:v>Historical principal. Not rolled forward to August; excludes interest and leases.</x:v>
      </x:c>
      <x:c r="P54" s="480"/>
      <x:c r="Q54" s="480"/>
      <x:c r="R54" s="481"/>
    </x:row>
    <x:row r="55" ht="45" customHeight="1">
      <x:c r="A55" s="385" t="str">
        <x:v>annual_4</x:v>
      </x:c>
      <x:c r="B55" s="478" t="n">
        <x:v>9750000000</x:v>
      </x:c>
      <x:c r="C55" s="387" t="str">
        <x:v>Historical May principal: Fiscal 2031</x:v>
      </x:c>
      <x:c r="D55" s="482"/>
      <x:c r="E55" s="401" t="d">
        <x:v>2026-05-31T00:00:00.000Z</x:v>
      </x:c>
      <x:c r="F55" s="387" t="str">
        <x:v>10-K</x:v>
      </x:c>
      <x:c r="G55" s="401" t="d">
        <x:v>2026-06-22T00:00:00.000Z</x:v>
      </x:c>
      <x:c r="H55" s="387" t="str">
        <x:v>0001193125-26-277521</x:v>
      </x:c>
      <x:c r="I55" s="387" t="str">
        <x:v>us-gaap:LongTermDebtMaturitiesRepaymentsOfPrincipalInYearFive</x:v>
      </x:c>
      <x:c r="J55" s="387" t="str">
        <x:v>C_f62bade6-47e1-4441-9bb3-1e534300c2f2</x:v>
      </x:c>
      <x:c r="K55" s="479" t="n">
        <x:v>6</x:v>
      </x:c>
      <x:c r="L55" s="387" t="str">
        <x:v>-6</x:v>
      </x:c>
      <x:c r="M55" s="387" t="str">
        <x:v>https://www.sec.gov/Archives/edgar/data/1341439/000119312526277521/orcl-20260531.htm</x:v>
      </x:c>
      <x:c r="N55" s="387" t="str">
        <x:v>10-K Note 6, pp. 83–85</x:v>
      </x:c>
      <x:c r="O55" s="387" t="str">
        <x:v>Historical principal. Not rolled forward to August; excludes interest and leases.</x:v>
      </x:c>
      <x:c r="P55" s="480"/>
      <x:c r="Q55" s="480"/>
      <x:c r="R55" s="481"/>
    </x:row>
    <x:row r="56" ht="45" customHeight="1">
      <x:c r="A56" s="385" t="str">
        <x:v>annual_5</x:v>
      </x:c>
      <x:c r="B56" s="478" t="n">
        <x:v>90250000000</x:v>
      </x:c>
      <x:c r="C56" s="387" t="str">
        <x:v>Historical May principal: Thereafter</x:v>
      </x:c>
      <x:c r="D56" s="482"/>
      <x:c r="E56" s="401" t="d">
        <x:v>2026-05-31T00:00:00.000Z</x:v>
      </x:c>
      <x:c r="F56" s="387" t="str">
        <x:v>10-K</x:v>
      </x:c>
      <x:c r="G56" s="401" t="d">
        <x:v>2026-06-22T00:00:00.000Z</x:v>
      </x:c>
      <x:c r="H56" s="387" t="str">
        <x:v>0001193125-26-277521</x:v>
      </x:c>
      <x:c r="I56" s="387" t="str">
        <x:v>us-gaap:LongTermDebtMaturitiesRepaymentsOfPrincipalAfterYearFive</x:v>
      </x:c>
      <x:c r="J56" s="387" t="str">
        <x:v>C_f62bade6-47e1-4441-9bb3-1e534300c2f2</x:v>
      </x:c>
      <x:c r="K56" s="479" t="n">
        <x:v>6</x:v>
      </x:c>
      <x:c r="L56" s="387" t="str">
        <x:v>-6</x:v>
      </x:c>
      <x:c r="M56" s="387" t="str">
        <x:v>https://www.sec.gov/Archives/edgar/data/1341439/000119312526277521/orcl-20260531.htm</x:v>
      </x:c>
      <x:c r="N56" s="387" t="str">
        <x:v>10-K Note 6, pp. 83–85</x:v>
      </x:c>
      <x:c r="O56" s="387" t="str">
        <x:v>Historical principal. Not rolled forward to August; excludes interest and leases.</x:v>
      </x:c>
      <x:c r="P56" s="480"/>
      <x:c r="Q56" s="480"/>
      <x:c r="R56" s="481"/>
    </x:row>
    <x:row r="57" ht="45" customHeight="1">
      <x:c r="A57" s="385" t="str">
        <x:v>facility_commitment</x:v>
      </x:c>
      <x:c r="B57" s="478" t="n">
        <x:v>10000000000</x:v>
      </x:c>
      <x:c r="C57" s="387" t="str">
        <x:v>Original revolver commitment</x:v>
      </x:c>
      <x:c r="D57" s="482"/>
      <x:c r="E57" s="401" t="d">
        <x:v>2026-03-06T00:00:00.000Z</x:v>
      </x:c>
      <x:c r="F57" s="387" t="str">
        <x:v>10-Q Ex. 10.17</x:v>
      </x:c>
      <x:c r="G57" s="401" t="d">
        <x:v>2026-03-11T00:00:00.000Z</x:v>
      </x:c>
      <x:c r="H57" s="387" t="str">
        <x:v>0001193125-26-101045</x:v>
      </x:c>
      <x:c r="I57" s="480"/>
      <x:c r="J57" s="480"/>
      <x:c r="K57" s="480"/>
      <x:c r="L57" s="480"/>
      <x:c r="M57" s="387" t="str">
        <x:v>https://www.sec.gov/Archives/edgar/data/1341439/000119312526101045/orcl-ex10_17.htm</x:v>
      </x:c>
      <x:c r="N57" s="387" t="str">
        <x:v>Sections 1.01, 2.01, 2.06, 4.02 and 6.02(c)</x:v>
      </x:c>
      <x:c r="O57" s="480"/>
      <x:c r="P57" s="480"/>
      <x:c r="Q57" s="480"/>
      <x:c r="R57" s="481"/>
    </x:row>
    <x:row r="58" ht="45" customHeight="1">
      <x:c r="A58" s="385" t="str">
        <x:v>facility_drawn</x:v>
      </x:c>
      <x:c r="B58" s="478" t="n">
        <x:v>0</x:v>
      </x:c>
      <x:c r="C58" s="387" t="str">
        <x:v>Revolver drawn, May 31 only</x:v>
      </x:c>
      <x:c r="D58" s="482"/>
      <x:c r="E58" s="401" t="d">
        <x:v>2026-05-31T00:00:00.000Z</x:v>
      </x:c>
      <x:c r="F58" s="387" t="str">
        <x:v>10-K</x:v>
      </x:c>
      <x:c r="G58" s="401" t="d">
        <x:v>2026-06-22T00:00:00.000Z</x:v>
      </x:c>
      <x:c r="H58" s="387" t="str">
        <x:v>0001193125-26-277521</x:v>
      </x:c>
      <x:c r="I58" s="480"/>
      <x:c r="J58" s="480"/>
      <x:c r="K58" s="480"/>
      <x:c r="L58" s="480"/>
      <x:c r="M58" s="387" t="str">
        <x:v>https://www.sec.gov/Archives/edgar/data/1341439/000119312526277521/orcl-20260531.htm</x:v>
      </x:c>
      <x:c r="N58" s="387" t="str">
        <x:v>10-K Note 6, p. 85, filed June 22, 2026</x:v>
      </x:c>
      <x:c r="O58" s="480"/>
      <x:c r="P58" s="480"/>
      <x:c r="Q58" s="480"/>
      <x:c r="R58" s="481"/>
    </x:row>
    <x:row r="59" ht="45" customHeight="1">
      <x:c r="A59" s="385" t="str">
        <x:v>covenant_minimum</x:v>
      </x:c>
      <x:c r="B59" s="483" t="n">
        <x:v>3</x:v>
      </x:c>
      <x:c r="C59" s="387" t="str">
        <x:v>Contract-defined minimum interest coverage (x)</x:v>
      </x:c>
      <x:c r="D59" s="482"/>
      <x:c r="E59" s="401" t="d">
        <x:v>2026-03-06T00:00:00.000Z</x:v>
      </x:c>
      <x:c r="F59" s="387" t="str">
        <x:v>10-Q Ex. 10.17</x:v>
      </x:c>
      <x:c r="G59" s="401" t="d">
        <x:v>2026-03-11T00:00:00.000Z</x:v>
      </x:c>
      <x:c r="H59" s="387" t="str">
        <x:v>0001193125-26-101045</x:v>
      </x:c>
      <x:c r="I59" s="480"/>
      <x:c r="J59" s="480"/>
      <x:c r="K59" s="480"/>
      <x:c r="L59" s="480"/>
      <x:c r="M59" s="387" t="str">
        <x:v>https://www.sec.gov/Archives/edgar/data/1341439/000119312526101045/orcl-ex10_17.htm</x:v>
      </x:c>
      <x:c r="N59" s="387" t="str">
        <x:v>Sections 1.01, 2.01, 2.06, 4.02 and 6.02(c)</x:v>
      </x:c>
      <x:c r="O59" s="480"/>
      <x:c r="P59" s="480"/>
      <x:c r="Q59" s="480"/>
      <x:c r="R59" s="481"/>
    </x:row>
    <x:row r="60" ht="45" customHeight="1">
      <x:c r="A60" s="385" t="str">
        <x:v>facility_may_commitment</x:v>
      </x:c>
      <x:c r="B60" s="478" t="n">
        <x:v>10000000000</x:v>
      </x:c>
      <x:c r="C60" s="387" t="str">
        <x:v>Revolver commitment confirmed at May 31</x:v>
      </x:c>
      <x:c r="D60" s="482"/>
      <x:c r="E60" s="401" t="d">
        <x:v>2026-05-31T00:00:00.000Z</x:v>
      </x:c>
      <x:c r="F60" s="387" t="str">
        <x:v>10-K</x:v>
      </x:c>
      <x:c r="G60" s="401" t="d">
        <x:v>2026-06-22T00:00:00.000Z</x:v>
      </x:c>
      <x:c r="H60" s="387" t="str">
        <x:v>0001193125-26-277521</x:v>
      </x:c>
      <x:c r="I60" s="480"/>
      <x:c r="J60" s="480"/>
      <x:c r="K60" s="480"/>
      <x:c r="L60" s="480"/>
      <x:c r="M60" s="387" t="str">
        <x:v>https://www.sec.gov/Archives/edgar/data/1341439/000119312526277521/orcl-20260531.htm</x:v>
      </x:c>
      <x:c r="N60" s="387" t="str">
        <x:v>10-K Note 6, pp. 84–85</x:v>
      </x:c>
      <x:c r="O60" s="387" t="str">
        <x:v>Reported commitment. Not a drawable amount.</x:v>
      </x:c>
      <x:c r="P60" s="480"/>
      <x:c r="Q60" s="480"/>
      <x:c r="R60" s="481"/>
    </x:row>
    <x:row r="61" ht="45" customHeight="1">
      <x:c r="A61" s="385" t="str">
        <x:v>facility_increase_ceiling</x:v>
      </x:c>
      <x:c r="B61" s="478" t="n">
        <x:v>12000000000</x:v>
      </x:c>
      <x:c r="C61" s="387" t="str">
        <x:v>Conditional aggregate commitment ceiling</x:v>
      </x:c>
      <x:c r="D61" s="482"/>
      <x:c r="E61" s="401" t="d">
        <x:v>2026-03-06T00:00:00.000Z</x:v>
      </x:c>
      <x:c r="F61" s="387" t="str">
        <x:v>10-Q Ex. 10.17</x:v>
      </x:c>
      <x:c r="G61" s="401" t="d">
        <x:v>2026-03-11T00:00:00.000Z</x:v>
      </x:c>
      <x:c r="H61" s="387" t="str">
        <x:v>0001193125-26-101045</x:v>
      </x:c>
      <x:c r="I61" s="480"/>
      <x:c r="J61" s="480"/>
      <x:c r="K61" s="480"/>
      <x:c r="L61" s="480"/>
      <x:c r="M61" s="387" t="str">
        <x:v>https://www.sec.gov/Archives/edgar/data/1341439/000119312526101045/orcl-ex10_17.htm</x:v>
      </x:c>
      <x:c r="N61" s="387" t="str">
        <x:v>§2.05(d)</x:v>
      </x:c>
      <x:c r="O61" s="387" t="str">
        <x:v>Lender agreement and conditions required; no exercised increase established. Not committed capacity.</x:v>
      </x:c>
      <x:c r="P61" s="480"/>
      <x:c r="Q61" s="480"/>
      <x:c r="R61" s="481"/>
    </x:row>
    <x:row r="62" ht="60" customHeight="1">
      <x:c r="A62" s="385" t="str">
        <x:v>revolver_term_0</x:v>
      </x:c>
      <x:c r="B62" s="484"/>
      <x:c r="C62" s="387" t="str">
        <x:v>Replacement of the old facility</x:v>
      </x:c>
      <x:c r="D62" s="482"/>
      <x:c r="E62" s="401" t="d">
        <x:v>2026-05-31T00:00:00.000Z</x:v>
      </x:c>
      <x:c r="F62" s="387" t="str">
        <x:v>10-K</x:v>
      </x:c>
      <x:c r="G62" s="401" t="d">
        <x:v>2026-06-22T00:00:00.000Z</x:v>
      </x:c>
      <x:c r="H62" s="387" t="str">
        <x:v>0001193125-26-277521</x:v>
      </x:c>
      <x:c r="I62" s="480"/>
      <x:c r="J62" s="480"/>
      <x:c r="K62" s="480"/>
      <x:c r="L62" s="480"/>
      <x:c r="M62" s="387" t="str">
        <x:v>https://www.sec.gov/Archives/edgar/data/1341439/000119312526277521/orcl-20260531.htm</x:v>
      </x:c>
      <x:c r="N62" s="387" t="str">
        <x:v>10-K Note 6, p. 85</x:v>
      </x:c>
      <x:c r="O62" s="387" t="str">
        <x:v>The old $6B revolver was terminated on March 6, 2026 when the new $10B facility was entered. They are not two concurrent commitments.</x:v>
      </x:c>
      <x:c r="P62" s="480"/>
      <x:c r="Q62" s="480"/>
      <x:c r="R62" s="481"/>
    </x:row>
    <x:row r="63" ht="66" customHeight="1">
      <x:c r="A63" s="385" t="str">
        <x:v>revolver_term_1</x:v>
      </x:c>
      <x:c r="B63" s="484"/>
      <x:c r="C63" s="387" t="str">
        <x:v>Exposure and letters of credit</x:v>
      </x:c>
      <x:c r="D63" s="482"/>
      <x:c r="E63" s="401" t="d">
        <x:v>2026-03-06T00:00:00.000Z</x:v>
      </x:c>
      <x:c r="F63" s="387" t="str">
        <x:v>10-Q Ex. 10.17</x:v>
      </x:c>
      <x:c r="G63" s="401" t="d">
        <x:v>2026-03-11T00:00:00.000Z</x:v>
      </x:c>
      <x:c r="H63" s="387" t="str">
        <x:v>0001193125-26-101045</x:v>
      </x:c>
      <x:c r="I63" s="480"/>
      <x:c r="J63" s="480"/>
      <x:c r="K63" s="480"/>
      <x:c r="L63" s="480"/>
      <x:c r="M63" s="387" t="str">
        <x:v>https://www.sec.gov/Archives/edgar/data/1341439/000119312526101045/orcl-ex10_17.htm</x:v>
      </x:c>
      <x:c r="N63" s="387" t="str">
        <x:v>§1.01 Revolving Credit Exposure; §2.01</x:v>
      </x:c>
      <x:c r="O63" s="387" t="str">
        <x:v>Exposure is defined as outstanding advances. No letter-of-credit issuance subfacility or LC deduction is specified in these operative provisions. Generic Debt and interest definitions mention LCs; they do not create a facility LC sublimit. Company-wide LC usage is Unavailable, not assumed zero.</x:v>
      </x:c>
      <x:c r="P63" s="480"/>
      <x:c r="Q63" s="480"/>
      <x:c r="R63" s="481"/>
    </x:row>
    <x:row r="64" ht="78" customHeight="1">
      <x:c r="A64" s="385" t="str">
        <x:v>revolver_term_2</x:v>
      </x:c>
      <x:c r="B64" s="484"/>
      <x:c r="C64" s="387" t="str">
        <x:v>Reductions and termination</x:v>
      </x:c>
      <x:c r="D64" s="482"/>
      <x:c r="E64" s="401" t="d">
        <x:v>2026-03-06T00:00:00.000Z</x:v>
      </x:c>
      <x:c r="F64" s="387" t="str">
        <x:v>10-Q Ex. 10.17</x:v>
      </x:c>
      <x:c r="G64" s="401" t="d">
        <x:v>2026-03-11T00:00:00.000Z</x:v>
      </x:c>
      <x:c r="H64" s="387" t="str">
        <x:v>0001193125-26-101045</x:v>
      </x:c>
      <x:c r="I64" s="480"/>
      <x:c r="J64" s="480"/>
      <x:c r="K64" s="480"/>
      <x:c r="L64" s="480"/>
      <x:c r="M64" s="387" t="str">
        <x:v>https://www.sec.gov/Archives/edgar/data/1341439/000119312526101045/orcl-ex10_17.htm</x:v>
      </x:c>
      <x:c r="N64" s="387" t="str">
        <x:v>§§2.04, 7.01</x:v>
      </x:c>
      <x:c r="O64" s="387" t="str">
        <x:v>Oracle may reduce unused commitments on at least three business days' notice. Partial reductions are at least $10M, then $1M increments, and cannot leave commitments below outstanding exposure. Terminated commitments cannot be reinstated. Default provisions can accelerate advances and terminate commitments. No later reduction amount is established by the saved filings.</x:v>
      </x:c>
      <x:c r="P64" s="480"/>
      <x:c r="Q64" s="480"/>
      <x:c r="R64" s="481"/>
    </x:row>
    <x:row r="65" ht="66" customHeight="1">
      <x:c r="A65" s="385" t="str">
        <x:v>revolver_term_3</x:v>
      </x:c>
      <x:c r="B65" s="484"/>
      <x:c r="C65" s="387" t="str">
        <x:v>Conditional increase ceiling</x:v>
      </x:c>
      <x:c r="D65" s="482"/>
      <x:c r="E65" s="401" t="d">
        <x:v>2026-03-06T00:00:00.000Z</x:v>
      </x:c>
      <x:c r="F65" s="387" t="str">
        <x:v>10-Q Ex. 10.17</x:v>
      </x:c>
      <x:c r="G65" s="401" t="d">
        <x:v>2026-03-11T00:00:00.000Z</x:v>
      </x:c>
      <x:c r="H65" s="387" t="str">
        <x:v>0001193125-26-101045</x:v>
      </x:c>
      <x:c r="I65" s="480"/>
      <x:c r="J65" s="480"/>
      <x:c r="K65" s="480"/>
      <x:c r="L65" s="480"/>
      <x:c r="M65" s="387" t="str">
        <x:v>https://www.sec.gov/Archives/edgar/data/1341439/000119312526101045/orcl-ex10_17.htm</x:v>
      </x:c>
      <x:c r="N65" s="387" t="str">
        <x:v>§2.05, especially (d)</x:v>
      </x:c>
      <x:c r="O65" s="387" t="str">
        <x:v>The agreement permits aggregate commitments up to $12B, subject to conditions and willing existing or additional lenders. This is an option ceiling, not a $12B commitment or $2B of available funding. No exercised increase is established by the saved filings.</x:v>
      </x:c>
      <x:c r="P65" s="480"/>
      <x:c r="Q65" s="480"/>
      <x:c r="R65" s="481"/>
    </x:row>
    <x:row r="66" ht="78" customHeight="1">
      <x:c r="A66" s="385" t="str">
        <x:v>revolver_term_4</x:v>
      </x:c>
      <x:c r="B66" s="484"/>
      <x:c r="C66" s="387" t="str">
        <x:v>Borrowing procedure and conditions</x:v>
      </x:c>
      <x:c r="D66" s="482"/>
      <x:c r="E66" s="401" t="d">
        <x:v>2026-03-06T00:00:00.000Z</x:v>
      </x:c>
      <x:c r="F66" s="387" t="str">
        <x:v>10-Q Ex. 10.17</x:v>
      </x:c>
      <x:c r="G66" s="401" t="d">
        <x:v>2026-03-11T00:00:00.000Z</x:v>
      </x:c>
      <x:c r="H66" s="387" t="str">
        <x:v>0001193125-26-101045</x:v>
      </x:c>
      <x:c r="I66" s="480"/>
      <x:c r="J66" s="480"/>
      <x:c r="K66" s="480"/>
      <x:c r="L66" s="480"/>
      <x:c r="M66" s="387" t="str">
        <x:v>https://www.sec.gov/Archives/edgar/data/1341439/000119312526101045/orcl-ex10_17.htm</x:v>
      </x:c>
      <x:c r="N66" s="387" t="str">
        <x:v>§§2.02, 4.02</x:v>
      </x:c>
      <x:c r="O66" s="387" t="str">
        <x:v>Notice is due by 11 a.m. New York time three business days before a Term SOFR borrowing, or on the borrowing day for Base Rate. Specified representations must hold, subject to the agreement's exceptions and materiality terms, before and after the borrowing and use of proceeds. No Default or Event of Default may be continuing or result. Public filings do not supply a borrowing-specific confirmation.</x:v>
      </x:c>
      <x:c r="P66" s="480"/>
      <x:c r="Q66" s="480"/>
      <x:c r="R66" s="481"/>
    </x:row>
    <x:row r="67" ht="102" customHeight="1">
      <x:c r="A67" s="385" t="str">
        <x:v>revolver_term_5</x:v>
      </x:c>
      <x:c r="B67" s="484"/>
      <x:c r="C67" s="387" t="str">
        <x:v>Covenant and evidence needed</x:v>
      </x:c>
      <x:c r="D67" s="482"/>
      <x:c r="E67" s="401" t="d">
        <x:v>2026-03-06T00:00:00.000Z</x:v>
      </x:c>
      <x:c r="F67" s="387" t="str">
        <x:v>10-Q Ex. 10.17</x:v>
      </x:c>
      <x:c r="G67" s="401" t="d">
        <x:v>2026-03-11T00:00:00.000Z</x:v>
      </x:c>
      <x:c r="H67" s="387" t="str">
        <x:v>0001193125-26-101045</x:v>
      </x:c>
      <x:c r="I67" s="480"/>
      <x:c r="J67" s="480"/>
      <x:c r="K67" s="480"/>
      <x:c r="L67" s="480"/>
      <x:c r="M67" s="387" t="str">
        <x:v>https://www.sec.gov/Archives/edgar/data/1341439/000119312526101045/orcl-ex10_17.htm</x:v>
      </x:c>
      <x:c r="N67" s="387" t="str">
        <x:v>§§1.01, 6.01(f)(iii), 6.02(c)</x:v>
      </x:c>
      <x:c r="O67" s="387" t="str">
        <x:v>The contract ratio must be at least 3.0x at fiscal quarter-end. It uses four-quarter contract EBITDA and net cash interest, with specified adjustments and acquisition rules. EBITDA includes specified cash and noncash addbacks. Cash interest includes finance-lease interest and net swap costs, excludes LC fees, and is reduced by cash interest income. The agreement requires a no-default certificate with financial reports; no such separate certificate is in the saved set. Generic operating-income coverage cannot establish covenant headroom.</x:v>
      </x:c>
      <x:c r="P67" s="480"/>
      <x:c r="Q67" s="480"/>
      <x:c r="R67" s="481"/>
    </x:row>
    <x:row r="68" ht="60" customHeight="1">
      <x:c r="A68" s="385" t="str">
        <x:v>revolver_term_6</x:v>
      </x:c>
      <x:c r="B68" s="484"/>
      <x:c r="C68" s="387" t="str">
        <x:v>Permitted uses</x:v>
      </x:c>
      <x:c r="D68" s="482"/>
      <x:c r="E68" s="401" t="d">
        <x:v>2026-03-06T00:00:00.000Z</x:v>
      </x:c>
      <x:c r="F68" s="387" t="str">
        <x:v>10-Q Ex. 10.17</x:v>
      </x:c>
      <x:c r="G68" s="401" t="d">
        <x:v>2026-03-11T00:00:00.000Z</x:v>
      </x:c>
      <x:c r="H68" s="387" t="str">
        <x:v>0001193125-26-101045</x:v>
      </x:c>
      <x:c r="I68" s="480"/>
      <x:c r="J68" s="480"/>
      <x:c r="K68" s="480"/>
      <x:c r="L68" s="480"/>
      <x:c r="M68" s="387" t="str">
        <x:v>https://www.sec.gov/Archives/edgar/data/1341439/000119312526101045/orcl-ex10_17.htm</x:v>
      </x:c>
      <x:c r="N68" s="387" t="str">
        <x:v>§§2.21, 6.01(g)</x:v>
      </x:c>
      <x:c r="O68" s="387" t="str">
        <x:v>Working capital and other general corporate purposes, subject to Regulation U/X and sanctions, anti-corruption, anti-bribery and anti-money-laundering restrictions. No allocation to a particular repayment is established.</x:v>
      </x:c>
      <x:c r="P68" s="480"/>
      <x:c r="Q68" s="480"/>
      <x:c r="R68" s="481"/>
    </x:row>
    <x:row r="69" ht="78" customHeight="1">
      <x:c r="A69" s="385" t="str">
        <x:v>revolver_term_7</x:v>
      </x:c>
      <x:c r="B69" s="484"/>
      <x:c r="C69" s="387" t="str">
        <x:v>Expiration and extensions</x:v>
      </x:c>
      <x:c r="D69" s="482"/>
      <x:c r="E69" s="401" t="d">
        <x:v>2026-03-06T00:00:00.000Z</x:v>
      </x:c>
      <x:c r="F69" s="387" t="str">
        <x:v>10-Q Ex. 10.17</x:v>
      </x:c>
      <x:c r="G69" s="401" t="d">
        <x:v>2026-03-11T00:00:00.000Z</x:v>
      </x:c>
      <x:c r="H69" s="387" t="str">
        <x:v>0001193125-26-101045</x:v>
      </x:c>
      <x:c r="I69" s="480"/>
      <x:c r="J69" s="480"/>
      <x:c r="K69" s="480"/>
      <x:c r="L69" s="480"/>
      <x:c r="M69" s="387" t="str">
        <x:v>https://www.sec.gov/Archives/edgar/data/1341439/000119312526101045/orcl-ex10_17.htm</x:v>
      </x:c>
      <x:c r="N69" s="387" t="str">
        <x:v>§§1.01, 2.06, 2.07</x:v>
      </x:c>
      <x:c r="O69" s="387" t="str">
        <x:v>Original maturity is March 6, 2031, subject to earlier termination. Up to two 365-day extensions may be requested. Each lender elects independently; extending and replacement commitments must exceed 50% of the prior total, and extension conditions apply. Non-extending lenders keep their dates. No exercised extension is established by the saved filings.</x:v>
      </x:c>
      <x:c r="P69" s="480"/>
      <x:c r="Q69" s="480"/>
      <x:c r="R69" s="481"/>
    </x:row>
    <x:row r="70" ht="45" customHeight="1">
      <x:c r="A70" s="385" t="str">
        <x:v>revolver_source_annual</x:v>
      </x:c>
      <x:c r="B70" s="484"/>
      <x:c r="C70" s="387" t="str">
        <x:v>Saved document reviewed: orcl-20260531.htm</x:v>
      </x:c>
      <x:c r="D70" s="482"/>
      <x:c r="E70" s="401" t="d">
        <x:v>2026-05-31T00:00:00.000Z</x:v>
      </x:c>
      <x:c r="F70" s="387" t="str">
        <x:v>10-K</x:v>
      </x:c>
      <x:c r="G70" s="401" t="d">
        <x:v>2026-06-22T00:00:00.000Z</x:v>
      </x:c>
      <x:c r="H70" s="387" t="str">
        <x:v>0001193125-26-277521</x:v>
      </x:c>
      <x:c r="I70" s="480"/>
      <x:c r="J70" s="480"/>
      <x:c r="K70" s="480"/>
      <x:c r="L70" s="480"/>
      <x:c r="M70" s="387" t="str">
        <x:v>https://www.sec.gov/Archives/edgar/data/1341439/000119312526277521/orcl-20260531.htm</x:v>
      </x:c>
      <x:c r="N70" s="387" t="str">
        <x:v>Revolver audit source set</x:v>
      </x:c>
      <x:c r="O70" s="387" t="str">
        <x:v>Exact reviewed saved bytes, SHA256 61a353e222f961e516bb3e8eed024a5245cfadbf30e3cc16a4a520129f1bdf63. Part of the seven filing/contract documents; the separate SEC index check is through October 15, 2026.</x:v>
      </x:c>
      <x:c r="P70" s="480"/>
      <x:c r="Q70" s="480"/>
      <x:c r="R70" s="481"/>
    </x:row>
    <x:row r="71" ht="45" customHeight="1">
      <x:c r="A71" s="385" t="str">
        <x:v>revolver_source_quarter</x:v>
      </x:c>
      <x:c r="B71" s="484"/>
      <x:c r="C71" s="387" t="str">
        <x:v>Saved document reviewed: orcl-20260831.htm</x:v>
      </x:c>
      <x:c r="D71" s="482"/>
      <x:c r="E71" s="401" t="d">
        <x:v>2026-08-31T00:00:00.000Z</x:v>
      </x:c>
      <x:c r="F71" s="387" t="str">
        <x:v>10-Q</x:v>
      </x:c>
      <x:c r="G71" s="401" t="d">
        <x:v>2026-09-11T00:00:00.000Z</x:v>
      </x:c>
      <x:c r="H71" s="387" t="str">
        <x:v>0001193125-26-389274</x:v>
      </x:c>
      <x:c r="I71" s="480"/>
      <x:c r="J71" s="480"/>
      <x:c r="K71" s="480"/>
      <x:c r="L71" s="480"/>
      <x:c r="M71" s="387" t="str">
        <x:v>https://www.sec.gov/Archives/edgar/data/1341439/000119312526389274/orcl-20260831.htm</x:v>
      </x:c>
      <x:c r="N71" s="387" t="str">
        <x:v>Revolver audit source set</x:v>
      </x:c>
      <x:c r="O71" s="387" t="str">
        <x:v>Exact reviewed saved bytes, SHA256 051dd4893fa497f36d99c8a355cbc90107f56e1a628c78e38c76e7dca0d4a6fd. Part of the seven filing/contract documents; the separate SEC index check is through October 15, 2026.</x:v>
      </x:c>
      <x:c r="P71" s="480"/>
      <x:c r="Q71" s="480"/>
      <x:c r="R71" s="481"/>
    </x:row>
    <x:row r="72" ht="45" customHeight="1">
      <x:c r="A72" s="385" t="str">
        <x:v>revolver_source_agreement</x:v>
      </x:c>
      <x:c r="B72" s="484"/>
      <x:c r="C72" s="387" t="str">
        <x:v>Saved document reviewed: orcl-ex10_17.htm</x:v>
      </x:c>
      <x:c r="D72" s="482"/>
      <x:c r="E72" s="401" t="d">
        <x:v>2026-03-06T00:00:00.000Z</x:v>
      </x:c>
      <x:c r="F72" s="387" t="str">
        <x:v>10-Q Ex. 10.17</x:v>
      </x:c>
      <x:c r="G72" s="401" t="d">
        <x:v>2026-03-11T00:00:00.000Z</x:v>
      </x:c>
      <x:c r="H72" s="387" t="str">
        <x:v>0001193125-26-101045</x:v>
      </x:c>
      <x:c r="I72" s="480"/>
      <x:c r="J72" s="480"/>
      <x:c r="K72" s="480"/>
      <x:c r="L72" s="480"/>
      <x:c r="M72" s="387" t="str">
        <x:v>https://www.sec.gov/Archives/edgar/data/1341439/000119312526101045/orcl-ex10_17.htm</x:v>
      </x:c>
      <x:c r="N72" s="387" t="str">
        <x:v>Revolver audit source set</x:v>
      </x:c>
      <x:c r="O72" s="387" t="str">
        <x:v>Exact reviewed saved bytes, SHA256 df6152c36ea03e85eeef7153f4a9778cf170bfefd2ffd682c80aa401711478a0. Part of the seven filing/contract documents; the separate SEC index check is through October 15, 2026.</x:v>
      </x:c>
      <x:c r="P72" s="480"/>
      <x:c r="Q72" s="480"/>
      <x:c r="R72" s="481"/>
    </x:row>
    <x:row r="73" ht="45" customHeight="1">
      <x:c r="A73" s="385" t="str">
        <x:v>revolver_source_earnings</x:v>
      </x:c>
      <x:c r="B73" s="484"/>
      <x:c r="C73" s="387" t="str">
        <x:v>Saved document reviewed: orcl-20260910.htm</x:v>
      </x:c>
      <x:c r="D73" s="482"/>
      <x:c r="E73" s="401" t="d">
        <x:v>2026-09-10T00:00:00.000Z</x:v>
      </x:c>
      <x:c r="F73" s="387" t="str">
        <x:v>8-K</x:v>
      </x:c>
      <x:c r="G73" s="401" t="d">
        <x:v>2026-09-10T00:00:00.000Z</x:v>
      </x:c>
      <x:c r="H73" s="387" t="str">
        <x:v>0001193125-26-387905</x:v>
      </x:c>
      <x:c r="I73" s="480"/>
      <x:c r="J73" s="480"/>
      <x:c r="K73" s="480"/>
      <x:c r="L73" s="480"/>
      <x:c r="M73" s="387" t="str">
        <x:v>https://www.sec.gov/Archives/edgar/data/1341439/000119312526387905/orcl-20260910.htm</x:v>
      </x:c>
      <x:c r="N73" s="387" t="str">
        <x:v>Revolver audit source set</x:v>
      </x:c>
      <x:c r="O73" s="387" t="str">
        <x:v>Exact reviewed saved bytes, SHA256 159c0926d92ff240406168337f5361dd67b314a0c465306dcae903aa67107d5c. Part of the seven filing/contract documents; the separate SEC index check is through October 15, 2026.</x:v>
      </x:c>
      <x:c r="P73" s="480"/>
      <x:c r="Q73" s="480"/>
      <x:c r="R73" s="481"/>
    </x:row>
    <x:row r="74" ht="45" customHeight="1">
      <x:c r="A74" s="385" t="str">
        <x:v>revolver_source_earnings_exhibit</x:v>
      </x:c>
      <x:c r="B74" s="484"/>
      <x:c r="C74" s="387" t="str">
        <x:v>Saved document reviewed: orcl-ex99_1.htm</x:v>
      </x:c>
      <x:c r="D74" s="482"/>
      <x:c r="E74" s="401" t="d">
        <x:v>2026-09-10T00:00:00.000Z</x:v>
      </x:c>
      <x:c r="F74" s="387" t="str">
        <x:v>8-K Ex. 99.1</x:v>
      </x:c>
      <x:c r="G74" s="401" t="d">
        <x:v>2026-09-10T00:00:00.000Z</x:v>
      </x:c>
      <x:c r="H74" s="387" t="str">
        <x:v>0001193125-26-387905</x:v>
      </x:c>
      <x:c r="I74" s="480"/>
      <x:c r="J74" s="480"/>
      <x:c r="K74" s="480"/>
      <x:c r="L74" s="480"/>
      <x:c r="M74" s="387" t="str">
        <x:v>https://www.sec.gov/Archives/edgar/data/1341439/000119312526387905/orcl-ex99_1.htm</x:v>
      </x:c>
      <x:c r="N74" s="387" t="str">
        <x:v>Revolver audit source set</x:v>
      </x:c>
      <x:c r="O74" s="387" t="str">
        <x:v>Exact reviewed saved bytes, SHA256 805d1f0650b1498f845c40fd18d7ed2da0db5035165fe6086b35eb856c177eed. Part of the seven filing/contract documents; the separate SEC index check is through October 15, 2026.</x:v>
      </x:c>
      <x:c r="P74" s="480"/>
      <x:c r="Q74" s="480"/>
      <x:c r="R74" s="481"/>
    </x:row>
    <x:row r="75" ht="45" customHeight="1">
      <x:c r="A75" s="385" t="str">
        <x:v>revolver_source_plan</x:v>
      </x:c>
      <x:c r="B75" s="484"/>
      <x:c r="C75" s="387" t="str">
        <x:v>Saved document reviewed: d20034d8k.htm</x:v>
      </x:c>
      <x:c r="D75" s="482"/>
      <x:c r="E75" s="401" t="d">
        <x:v>2026-09-12T00:00:00.000Z</x:v>
      </x:c>
      <x:c r="F75" s="387" t="str">
        <x:v>8-K</x:v>
      </x:c>
      <x:c r="G75" s="401" t="d">
        <x:v>2026-09-14T00:00:00.000Z</x:v>
      </x:c>
      <x:c r="H75" s="387" t="str">
        <x:v>0001193125-26-389753</x:v>
      </x:c>
      <x:c r="I75" s="480"/>
      <x:c r="J75" s="480"/>
      <x:c r="K75" s="480"/>
      <x:c r="L75" s="480"/>
      <x:c r="M75" s="387" t="str">
        <x:v>https://www.sec.gov/Archives/edgar/data/1341439/000119312526389753/d20034d8k.htm</x:v>
      </x:c>
      <x:c r="N75" s="387" t="str">
        <x:v>Revolver audit source set</x:v>
      </x:c>
      <x:c r="O75" s="387" t="str">
        <x:v>Exact reviewed saved bytes, SHA256 d3c88d191e5e9ad5a1e62298e67e10d5f1e3b419dda8e4647a8bca0cd8afefb1. Part of the seven filing/contract documents; the separate SEC index check is through October 15, 2026.</x:v>
      </x:c>
      <x:c r="P75" s="480"/>
      <x:c r="Q75" s="480"/>
      <x:c r="R75" s="481"/>
    </x:row>
    <x:row r="76" ht="45" customHeight="1">
      <x:c r="A76" s="385" t="str">
        <x:v>revolver_source_plan_exhibit</x:v>
      </x:c>
      <x:c r="B76" s="484"/>
      <x:c r="C76" s="387" t="str">
        <x:v>Saved document reviewed: d20034dex991.htm</x:v>
      </x:c>
      <x:c r="D76" s="482"/>
      <x:c r="E76" s="401" t="d">
        <x:v>2026-09-12T00:00:00.000Z</x:v>
      </x:c>
      <x:c r="F76" s="387" t="str">
        <x:v>8-K Ex. 99.1</x:v>
      </x:c>
      <x:c r="G76" s="401" t="d">
        <x:v>2026-09-14T00:00:00.000Z</x:v>
      </x:c>
      <x:c r="H76" s="387" t="str">
        <x:v>0001193125-26-389753</x:v>
      </x:c>
      <x:c r="I76" s="480"/>
      <x:c r="J76" s="480"/>
      <x:c r="K76" s="480"/>
      <x:c r="L76" s="480"/>
      <x:c r="M76" s="387" t="str">
        <x:v>https://www.sec.gov/Archives/edgar/data/1341439/000119312526389753/d20034dex991.htm</x:v>
      </x:c>
      <x:c r="N76" s="387" t="str">
        <x:v>Revolver audit source set</x:v>
      </x:c>
      <x:c r="O76" s="387" t="str">
        <x:v>Exact reviewed saved bytes, SHA256 d934b837abf4c1f17b79c765e48365d76a89f73ee66b6023c14de722b3f8d0b3. Part of the seven filing/contract documents; the separate SEC index check is through October 15, 2026.</x:v>
      </x:c>
      <x:c r="P76" s="480"/>
      <x:c r="Q76" s="480"/>
      <x:c r="R76" s="481"/>
    </x:row>
    <x:row r="77" ht="45" customHeight="1">
      <x:c r="A77" s="385" t="str">
        <x:v>coverage_fy_operating_income</x:v>
      </x:c>
      <x:c r="B77" s="478" t="n">
        <x:v>20606000000</x:v>
      </x:c>
      <x:c r="C77" s="387" t="str">
        <x:v>fy operating_income</x:v>
      </x:c>
      <x:c r="D77" s="401" t="d">
        <x:v>2025-06-01T00:00:00.000Z</x:v>
      </x:c>
      <x:c r="E77" s="401" t="d">
        <x:v>2026-05-31T00:00:00.000Z</x:v>
      </x:c>
      <x:c r="F77" s="387" t="str">
        <x:v>10-K</x:v>
      </x:c>
      <x:c r="G77" s="401" t="d">
        <x:v>2026-06-22T00:00:00.000Z</x:v>
      </x:c>
      <x:c r="H77" s="387" t="str">
        <x:v>0001193125-26-277521</x:v>
      </x:c>
      <x:c r="I77" s="387" t="str">
        <x:v>us-gaap:OperatingIncomeLoss</x:v>
      </x:c>
      <x:c r="J77" s="387" t="str">
        <x:v>C_24317829-d237-4c29-bae3-2e46dd1ae625</x:v>
      </x:c>
      <x:c r="K77" s="479" t="n">
        <x:v>6</x:v>
      </x:c>
      <x:c r="L77" s="387" t="str">
        <x:v>-6</x:v>
      </x:c>
      <x:c r="M77" s="387" t="str">
        <x:v>https://www.sec.gov/Archives/edgar/data/1341439/000119312526277521/orcl-20260531.htm</x:v>
      </x:c>
      <x:c r="N77" s="387" t="str">
        <x:v>Operations p. 65; MD&amp;A p. 50</x:v>
      </x:c>
      <x:c r="O77" s="480" t="str"/>
      <x:c r="P77" s="387" t="str">
        <x:v>None (consolidated total)</x:v>
      </x:c>
      <x:c r="Q77" s="387" t="str">
        <x:v>61a353e222f961e516bb3e8eed024a5245cfadbf30e3cc16a4a520129f1bdf63</x:v>
      </x:c>
      <x:c r="R77" s="398" t="str">
        <x:v>iso4217:USD; Exact tag, duration, USD, Oracle CIK and no dimensions; agreeing duplicates only</x:v>
      </x:c>
    </x:row>
    <x:row r="78" ht="45" customHeight="1">
      <x:c r="A78" s="385" t="str">
        <x:v>coverage_fy_interest</x:v>
      </x:c>
      <x:c r="B78" s="478" t="n">
        <x:v>4599000000</x:v>
      </x:c>
      <x:c r="C78" s="387" t="str">
        <x:v>fy interest</x:v>
      </x:c>
      <x:c r="D78" s="401" t="d">
        <x:v>2025-06-01T00:00:00.000Z</x:v>
      </x:c>
      <x:c r="E78" s="401" t="d">
        <x:v>2026-05-31T00:00:00.000Z</x:v>
      </x:c>
      <x:c r="F78" s="387" t="str">
        <x:v>10-K</x:v>
      </x:c>
      <x:c r="G78" s="401" t="d">
        <x:v>2026-06-22T00:00:00.000Z</x:v>
      </x:c>
      <x:c r="H78" s="387" t="str">
        <x:v>0001193125-26-277521</x:v>
      </x:c>
      <x:c r="I78" s="387" t="str">
        <x:v>us-gaap:InterestExpense</x:v>
      </x:c>
      <x:c r="J78" s="387" t="str">
        <x:v>C_24317829-d237-4c29-bae3-2e46dd1ae625</x:v>
      </x:c>
      <x:c r="K78" s="479" t="n">
        <x:v>6</x:v>
      </x:c>
      <x:c r="L78" s="387" t="str">
        <x:v>-6</x:v>
      </x:c>
      <x:c r="M78" s="387" t="str">
        <x:v>https://www.sec.gov/Archives/edgar/data/1341439/000119312526277521/orcl-20260531.htm</x:v>
      </x:c>
      <x:c r="N78" s="387" t="str">
        <x:v>Operations p. 65; MD&amp;A p. 50</x:v>
      </x:c>
      <x:c r="O78" s="480" t="str"/>
      <x:c r="P78" s="387" t="str">
        <x:v>None (consolidated total)</x:v>
      </x:c>
      <x:c r="Q78" s="387" t="str">
        <x:v>61a353e222f961e516bb3e8eed024a5245cfadbf30e3cc16a4a520129f1bdf63</x:v>
      </x:c>
      <x:c r="R78" s="398" t="str">
        <x:v>iso4217:USD; Exact tag, duration, USD, Oracle CIK and no dimensions; agreeing duplicates only</x:v>
      </x:c>
    </x:row>
    <x:row r="79" ht="45" customHeight="1">
      <x:c r="A79" s="385" t="str">
        <x:v>coverage_fy_lease_interest</x:v>
      </x:c>
      <x:c r="B79" s="478" t="n">
        <x:v>279000000</x:v>
      </x:c>
      <x:c r="C79" s="387" t="str">
        <x:v>fy lease_interest</x:v>
      </x:c>
      <x:c r="D79" s="401" t="d">
        <x:v>2025-06-01T00:00:00.000Z</x:v>
      </x:c>
      <x:c r="E79" s="401" t="d">
        <x:v>2026-05-31T00:00:00.000Z</x:v>
      </x:c>
      <x:c r="F79" s="387" t="str">
        <x:v>10-K</x:v>
      </x:c>
      <x:c r="G79" s="401" t="d">
        <x:v>2026-06-22T00:00:00.000Z</x:v>
      </x:c>
      <x:c r="H79" s="387" t="str">
        <x:v>0001193125-26-277521</x:v>
      </x:c>
      <x:c r="I79" s="387" t="str">
        <x:v>us-gaap:FinanceLeaseInterestExpense</x:v>
      </x:c>
      <x:c r="J79" s="387" t="str">
        <x:v>C_24317829-d237-4c29-bae3-2e46dd1ae625</x:v>
      </x:c>
      <x:c r="K79" s="479" t="n">
        <x:v>6</x:v>
      </x:c>
      <x:c r="L79" s="387" t="str">
        <x:v>-6</x:v>
      </x:c>
      <x:c r="M79" s="387" t="str">
        <x:v>https://www.sec.gov/Archives/edgar/data/1341439/000119312526277521/orcl-20260531.htm</x:v>
      </x:c>
      <x:c r="N79" s="387" t="str">
        <x:v>Leases Note 9 p. 88</x:v>
      </x:c>
      <x:c r="O79" s="480" t="str"/>
      <x:c r="P79" s="387" t="str">
        <x:v>None (consolidated total)</x:v>
      </x:c>
      <x:c r="Q79" s="387" t="str">
        <x:v>61a353e222f961e516bb3e8eed024a5245cfadbf30e3cc16a4a520129f1bdf63</x:v>
      </x:c>
      <x:c r="R79" s="398" t="str">
        <x:v>iso4217:USD; Exact tag, duration, USD, Oracle CIK and no dimensions; agreeing duplicates only</x:v>
      </x:c>
    </x:row>
    <x:row r="80" ht="45" customHeight="1">
      <x:c r="A80" s="385" t="str">
        <x:v>coverage_current_operating_income</x:v>
      </x:c>
      <x:c r="B80" s="478" t="n">
        <x:v>6728000000</x:v>
      </x:c>
      <x:c r="C80" s="387" t="str">
        <x:v>current operating_income</x:v>
      </x:c>
      <x:c r="D80" s="401" t="d">
        <x:v>2026-06-01T00:00:00.000Z</x:v>
      </x:c>
      <x:c r="E80" s="401" t="d">
        <x:v>2026-08-31T00:00:00.000Z</x:v>
      </x:c>
      <x:c r="F80" s="387" t="str">
        <x:v>10-Q</x:v>
      </x:c>
      <x:c r="G80" s="401" t="d">
        <x:v>2026-09-11T00:00:00.000Z</x:v>
      </x:c>
      <x:c r="H80" s="387" t="str">
        <x:v>0001193125-26-389274</x:v>
      </x:c>
      <x:c r="I80" s="387" t="str">
        <x:v>us-gaap:OperatingIncomeLoss</x:v>
      </x:c>
      <x:c r="J80" s="387" t="str">
        <x:v>C_f2f9ad85-08df-4e59-8948-bfd9405570de</x:v>
      </x:c>
      <x:c r="K80" s="479" t="n">
        <x:v>6</x:v>
      </x:c>
      <x:c r="L80" s="387" t="str">
        <x:v>-6</x:v>
      </x:c>
      <x:c r="M80" s="387" t="str">
        <x:v>https://www.sec.gov/Archives/edgar/data/1341439/000119312526389274/orcl-20260831.htm</x:v>
      </x:c>
      <x:c r="N80" s="387" t="str">
        <x:v>Operations p. 2; MD&amp;A p. 32</x:v>
      </x:c>
      <x:c r="O80" s="480" t="str"/>
      <x:c r="P80" s="387" t="str">
        <x:v>None (consolidated total)</x:v>
      </x:c>
      <x:c r="Q80" s="387" t="str">
        <x:v>051dd4893fa497f36d99c8a355cbc90107f56e1a628c78e38c76e7dca0d4a6fd</x:v>
      </x:c>
      <x:c r="R80" s="398" t="str">
        <x:v>iso4217:USD; Exact tag, duration, USD, Oracle CIK and no dimensions; agreeing duplicates only</x:v>
      </x:c>
    </x:row>
    <x:row r="81" ht="45" customHeight="1">
      <x:c r="A81" s="385" t="str">
        <x:v>coverage_current_interest</x:v>
      </x:c>
      <x:c r="B81" s="478" t="n">
        <x:v>1428000000</x:v>
      </x:c>
      <x:c r="C81" s="387" t="str">
        <x:v>current interest</x:v>
      </x:c>
      <x:c r="D81" s="401" t="d">
        <x:v>2026-06-01T00:00:00.000Z</x:v>
      </x:c>
      <x:c r="E81" s="401" t="d">
        <x:v>2026-08-31T00:00:00.000Z</x:v>
      </x:c>
      <x:c r="F81" s="387" t="str">
        <x:v>10-Q</x:v>
      </x:c>
      <x:c r="G81" s="401" t="d">
        <x:v>2026-09-11T00:00:00.000Z</x:v>
      </x:c>
      <x:c r="H81" s="387" t="str">
        <x:v>0001193125-26-389274</x:v>
      </x:c>
      <x:c r="I81" s="387" t="str">
        <x:v>us-gaap:InterestExpense</x:v>
      </x:c>
      <x:c r="J81" s="387" t="str">
        <x:v>C_f2f9ad85-08df-4e59-8948-bfd9405570de</x:v>
      </x:c>
      <x:c r="K81" s="479" t="n">
        <x:v>6</x:v>
      </x:c>
      <x:c r="L81" s="387" t="str">
        <x:v>-6</x:v>
      </x:c>
      <x:c r="M81" s="387" t="str">
        <x:v>https://www.sec.gov/Archives/edgar/data/1341439/000119312526389274/orcl-20260831.htm</x:v>
      </x:c>
      <x:c r="N81" s="387" t="str">
        <x:v>Operations p. 2; MD&amp;A p. 32</x:v>
      </x:c>
      <x:c r="O81" s="480" t="str"/>
      <x:c r="P81" s="387" t="str">
        <x:v>None (consolidated total)</x:v>
      </x:c>
      <x:c r="Q81" s="387" t="str">
        <x:v>051dd4893fa497f36d99c8a355cbc90107f56e1a628c78e38c76e7dca0d4a6fd</x:v>
      </x:c>
      <x:c r="R81" s="398" t="str">
        <x:v>iso4217:USD; Exact tag, duration, USD, Oracle CIK and no dimensions; agreeing duplicates only</x:v>
      </x:c>
    </x:row>
    <x:row r="82" ht="45" customHeight="1">
      <x:c r="A82" s="385" t="str">
        <x:v>coverage_current_lease_interest</x:v>
      </x:c>
      <x:c r="B82" s="478" t="n">
        <x:v>126000000</x:v>
      </x:c>
      <x:c r="C82" s="387" t="str">
        <x:v>current lease_interest</x:v>
      </x:c>
      <x:c r="D82" s="401" t="d">
        <x:v>2026-06-01T00:00:00.000Z</x:v>
      </x:c>
      <x:c r="E82" s="401" t="d">
        <x:v>2026-08-31T00:00:00.000Z</x:v>
      </x:c>
      <x:c r="F82" s="387" t="str">
        <x:v>10-Q</x:v>
      </x:c>
      <x:c r="G82" s="401" t="d">
        <x:v>2026-09-11T00:00:00.000Z</x:v>
      </x:c>
      <x:c r="H82" s="387" t="str">
        <x:v>0001193125-26-389274</x:v>
      </x:c>
      <x:c r="I82" s="387" t="str">
        <x:v>us-gaap:FinanceLeaseInterestExpense</x:v>
      </x:c>
      <x:c r="J82" s="387" t="str">
        <x:v>C_f2f9ad85-08df-4e59-8948-bfd9405570de</x:v>
      </x:c>
      <x:c r="K82" s="479" t="n">
        <x:v>6</x:v>
      </x:c>
      <x:c r="L82" s="387" t="str">
        <x:v>-6</x:v>
      </x:c>
      <x:c r="M82" s="387" t="str">
        <x:v>https://www.sec.gov/Archives/edgar/data/1341439/000119312526389274/orcl-20260831.htm</x:v>
      </x:c>
      <x:c r="N82" s="387" t="str">
        <x:v>Leases Note 6 p. 12</x:v>
      </x:c>
      <x:c r="O82" s="480" t="str"/>
      <x:c r="P82" s="387" t="str">
        <x:v>None (consolidated total)</x:v>
      </x:c>
      <x:c r="Q82" s="387" t="str">
        <x:v>051dd4893fa497f36d99c8a355cbc90107f56e1a628c78e38c76e7dca0d4a6fd</x:v>
      </x:c>
      <x:c r="R82" s="398" t="str">
        <x:v>iso4217:USD; Exact tag, duration, USD, Oracle CIK and no dimensions; agreeing duplicates only</x:v>
      </x:c>
    </x:row>
    <x:row r="83" ht="45" customHeight="1">
      <x:c r="A83" s="385" t="str">
        <x:v>coverage_prior_operating_income</x:v>
      </x:c>
      <x:c r="B83" s="478" t="n">
        <x:v>4277000000</x:v>
      </x:c>
      <x:c r="C83" s="387" t="str">
        <x:v>prior operating_income</x:v>
      </x:c>
      <x:c r="D83" s="401" t="d">
        <x:v>2025-06-01T00:00:00.000Z</x:v>
      </x:c>
      <x:c r="E83" s="401" t="d">
        <x:v>2025-08-31T00:00:00.000Z</x:v>
      </x:c>
      <x:c r="F83" s="387" t="str">
        <x:v>10-Q</x:v>
      </x:c>
      <x:c r="G83" s="401" t="d">
        <x:v>2026-09-11T00:00:00.000Z</x:v>
      </x:c>
      <x:c r="H83" s="387" t="str">
        <x:v>0001193125-26-389274</x:v>
      </x:c>
      <x:c r="I83" s="387" t="str">
        <x:v>us-gaap:OperatingIncomeLoss</x:v>
      </x:c>
      <x:c r="J83" s="387" t="str">
        <x:v>C_a0bdcecc-b2bf-40f4-8106-f50197737571</x:v>
      </x:c>
      <x:c r="K83" s="479" t="n">
        <x:v>6</x:v>
      </x:c>
      <x:c r="L83" s="387" t="str">
        <x:v>-6</x:v>
      </x:c>
      <x:c r="M83" s="387" t="str">
        <x:v>https://www.sec.gov/Archives/edgar/data/1341439/000119312526389274/orcl-20260831.htm</x:v>
      </x:c>
      <x:c r="N83" s="387" t="str">
        <x:v>Operations p. 2; MD&amp;A p. 32</x:v>
      </x:c>
      <x:c r="O83" s="480" t="str"/>
      <x:c r="P83" s="387" t="str">
        <x:v>None (consolidated total)</x:v>
      </x:c>
      <x:c r="Q83" s="387" t="str">
        <x:v>051dd4893fa497f36d99c8a355cbc90107f56e1a628c78e38c76e7dca0d4a6fd</x:v>
      </x:c>
      <x:c r="R83" s="398" t="str">
        <x:v>iso4217:USD; Exact tag, duration, USD, Oracle CIK and no dimensions; agreeing duplicates only</x:v>
      </x:c>
    </x:row>
    <x:row r="84" ht="45" customHeight="1">
      <x:c r="A84" s="385" t="str">
        <x:v>coverage_prior_interest</x:v>
      </x:c>
      <x:c r="B84" s="478" t="n">
        <x:v>923000000</x:v>
      </x:c>
      <x:c r="C84" s="387" t="str">
        <x:v>prior interest</x:v>
      </x:c>
      <x:c r="D84" s="401" t="d">
        <x:v>2025-06-01T00:00:00.000Z</x:v>
      </x:c>
      <x:c r="E84" s="401" t="d">
        <x:v>2025-08-31T00:00:00.000Z</x:v>
      </x:c>
      <x:c r="F84" s="387" t="str">
        <x:v>10-Q</x:v>
      </x:c>
      <x:c r="G84" s="401" t="d">
        <x:v>2026-09-11T00:00:00.000Z</x:v>
      </x:c>
      <x:c r="H84" s="387" t="str">
        <x:v>0001193125-26-389274</x:v>
      </x:c>
      <x:c r="I84" s="387" t="str">
        <x:v>us-gaap:InterestExpense</x:v>
      </x:c>
      <x:c r="J84" s="387" t="str">
        <x:v>C_a0bdcecc-b2bf-40f4-8106-f50197737571</x:v>
      </x:c>
      <x:c r="K84" s="479" t="n">
        <x:v>6</x:v>
      </x:c>
      <x:c r="L84" s="387" t="str">
        <x:v>-6</x:v>
      </x:c>
      <x:c r="M84" s="387" t="str">
        <x:v>https://www.sec.gov/Archives/edgar/data/1341439/000119312526389274/orcl-20260831.htm</x:v>
      </x:c>
      <x:c r="N84" s="387" t="str">
        <x:v>Operations p. 2; MD&amp;A p. 32</x:v>
      </x:c>
      <x:c r="O84" s="480" t="str"/>
      <x:c r="P84" s="387" t="str">
        <x:v>None (consolidated total)</x:v>
      </x:c>
      <x:c r="Q84" s="387" t="str">
        <x:v>051dd4893fa497f36d99c8a355cbc90107f56e1a628c78e38c76e7dca0d4a6fd</x:v>
      </x:c>
      <x:c r="R84" s="398" t="str">
        <x:v>iso4217:USD; Exact tag, duration, USD, Oracle CIK and no dimensions; agreeing duplicates only</x:v>
      </x:c>
    </x:row>
    <x:row r="85" ht="45" customHeight="1">
      <x:c r="A85" s="385" t="str">
        <x:v>coverage_prior_lease_interest</x:v>
      </x:c>
      <x:c r="B85" s="478" t="n">
        <x:v>48000000</x:v>
      </x:c>
      <x:c r="C85" s="387" t="str">
        <x:v>prior lease_interest</x:v>
      </x:c>
      <x:c r="D85" s="401" t="d">
        <x:v>2025-06-01T00:00:00.000Z</x:v>
      </x:c>
      <x:c r="E85" s="401" t="d">
        <x:v>2025-08-31T00:00:00.000Z</x:v>
      </x:c>
      <x:c r="F85" s="387" t="str">
        <x:v>10-Q</x:v>
      </x:c>
      <x:c r="G85" s="401" t="d">
        <x:v>2026-09-11T00:00:00.000Z</x:v>
      </x:c>
      <x:c r="H85" s="387" t="str">
        <x:v>0001193125-26-389274</x:v>
      </x:c>
      <x:c r="I85" s="387" t="str">
        <x:v>us-gaap:FinanceLeaseInterestExpense</x:v>
      </x:c>
      <x:c r="J85" s="387" t="str">
        <x:v>C_a0bdcecc-b2bf-40f4-8106-f50197737571</x:v>
      </x:c>
      <x:c r="K85" s="479" t="n">
        <x:v>6</x:v>
      </x:c>
      <x:c r="L85" s="387" t="str">
        <x:v>-6</x:v>
      </x:c>
      <x:c r="M85" s="387" t="str">
        <x:v>https://www.sec.gov/Archives/edgar/data/1341439/000119312526389274/orcl-20260831.htm</x:v>
      </x:c>
      <x:c r="N85" s="387" t="str">
        <x:v>Leases Note 6 p. 12</x:v>
      </x:c>
      <x:c r="O85" s="480" t="str"/>
      <x:c r="P85" s="387" t="str">
        <x:v>None (consolidated total)</x:v>
      </x:c>
      <x:c r="Q85" s="387" t="str">
        <x:v>051dd4893fa497f36d99c8a355cbc90107f56e1a628c78e38c76e7dca0d4a6fd</x:v>
      </x:c>
      <x:c r="R85" s="398" t="str">
        <x:v>iso4217:USD; Exact tag, duration, USD, Oracle CIK and no dimensions; agreeing duplicates only</x:v>
      </x:c>
    </x:row>
    <x:row r="86" ht="45" customHeight="1">
      <x:c r="A86" s="389" t="str">
        <x:v>financing_index</x:v>
      </x:c>
      <x:c r="B86" s="485"/>
      <x:c r="C86" s="391" t="str">
        <x:v>SEC financing-candidate index</x:v>
      </x:c>
      <x:c r="D86" s="402" t="d">
        <x:v>2026-08-31T00:00:00.000Z</x:v>
      </x:c>
      <x:c r="E86" s="402" t="d">
        <x:v>2026-10-15T00:00:00.000Z</x:v>
      </x:c>
      <x:c r="F86" s="391" t="str">
        <x:v>SEC submissions index</x:v>
      </x:c>
      <x:c r="G86" s="403"/>
      <x:c r="H86" s="486"/>
      <x:c r="I86" s="486"/>
      <x:c r="J86" s="486"/>
      <x:c r="K86" s="486"/>
      <x:c r="L86" s="486"/>
      <x:c r="M86" s="391" t="str">
        <x:v>https://data.sec.gov/submissions/CIK0001341439.json</x:v>
      </x:c>
      <x:c r="N86" s="391" t="str">
        <x:v>Two later 8-K candidates, matched to reviewed documents</x:v>
      </x:c>
      <x:c r="O86" s="391" t="str">
        <x:v>Retrieved index SHA256 bed0ec89b0d273799517d3e332b3a4ba3612168f0e4e9b963759b507f857adec; checked 2026-10-16</x:v>
      </x:c>
      <x:c r="P86" s="486"/>
      <x:c r="Q86" s="391" t="str">
        <x:v>bed0ec89b0d273799517d3e332b3a4ba3612168f0e4e9b963759b507f857adec</x:v>
      </x:c>
      <x:c r="R86" s="487"/>
    </x:row>
    <x:row r="89" ht="72" customHeight="1">
      <x:c r="A89" s="316" t="str">
        <x:v>Funding conclusion evidence</x:v>
      </x:c>
      <x:c r="B89" s="332" t="str">
        <x:v>Filing / filed date</x:v>
      </x:c>
      <x:c r="C89" s="332" t="str">
        <x:v>Accession</x:v>
      </x:c>
      <x:c r="D89" s="371" t="str">
        <x:v>Location</x:v>
      </x:c>
      <x:c r="M89" s="488" t="str">
        <x:v>SEC source</x:v>
      </x:c>
    </x:row>
    <x:row r="90" ht="72" customHeight="1">
      <x:c r="A90" s="324" t="str">
        <x:v>Near-term obligations</x:v>
      </x:c>
      <x:c r="B90" s="335" t="str">
        <x:v>10-Q filed Sep 11, 2026</x:v>
      </x:c>
      <x:c r="C90" s="335" t="str">
        <x:v>0001193125-26-389274</x:v>
      </x:c>
      <x:c r="D90" s="489" t="str">
        <x:v>pp. 1–2, 5–7, 12–14, 32–35</x:v>
      </x:c>
      <x:c r="M90" s="490" t="str">
        <x:v>https://www.sec.gov/Archives/edgar/data/1341439/000119312526389274/orcl-20260831.htm</x:v>
      </x:c>
    </x:row>
    <x:row r="91" ht="72" customHeight="1">
      <x:c r="A91" s="324" t="str">
        <x:v>Near-term obligations</x:v>
      </x:c>
      <x:c r="B91" s="335" t="str">
        <x:v>10-K filed Jun 22, 2026</x:v>
      </x:c>
      <x:c r="C91" s="335" t="str">
        <x:v>0001193125-26-277521</x:v>
      </x:c>
      <x:c r="D91" s="489" t="str">
        <x:v>Note 6 debt table and term-loan terms, pp. 83–86</x:v>
      </x:c>
      <x:c r="M91" s="490" t="str">
        <x:v>https://www.sec.gov/Archives/edgar/data/1341439/000119312526277521/orcl-20260531.htm</x:v>
      </x:c>
    </x:row>
    <x:row r="92" ht="72" customHeight="1">
      <x:c r="A92" s="324" t="str">
        <x:v>Resources and access</x:v>
      </x:c>
      <x:c r="B92" s="335" t="str">
        <x:v>10-Q filed Sep 11, 2026</x:v>
      </x:c>
      <x:c r="C92" s="335" t="str">
        <x:v>0001193125-26-389274</x:v>
      </x:c>
      <x:c r="D92" s="489" t="str">
        <x:v>pp. 1–2, 5–7, 12–14, 32–35</x:v>
      </x:c>
      <x:c r="M92" s="490" t="str">
        <x:v>https://www.sec.gov/Archives/edgar/data/1341439/000119312526389274/orcl-20260831.htm</x:v>
      </x:c>
    </x:row>
    <x:row r="93" ht="72" customHeight="1">
      <x:c r="A93" s="324" t="str">
        <x:v>Resources and access</x:v>
      </x:c>
      <x:c r="B93" s="335" t="str">
        <x:v>10-K filed Jun 22, 2026</x:v>
      </x:c>
      <x:c r="C93" s="335" t="str">
        <x:v>0001193125-26-277521</x:v>
      </x:c>
      <x:c r="D93" s="489" t="str">
        <x:v>pp. 50, 65, 83–85, 88</x:v>
      </x:c>
      <x:c r="M93" s="490" t="str">
        <x:v>https://www.sec.gov/Archives/edgar/data/1341439/000119312526277521/orcl-20260531.htm</x:v>
      </x:c>
    </x:row>
    <x:row r="94" ht="72" customHeight="1">
      <x:c r="A94" s="324" t="str">
        <x:v>Resources and access</x:v>
      </x:c>
      <x:c r="B94" s="335" t="str">
        <x:v>Credit agreement filed Mar 11, 2026</x:v>
      </x:c>
      <x:c r="C94" s="335" t="str">
        <x:v>0001193125-26-101045</x:v>
      </x:c>
      <x:c r="D94" s="489" t="str">
        <x:v>§§2.01, 2.21, 4.02, 6.02(c)</x:v>
      </x:c>
      <x:c r="M94" s="490" t="str">
        <x:v>https://www.sec.gov/Archives/edgar/data/1341439/000119312526101045/orcl-ex10_17.htm</x:v>
      </x:c>
    </x:row>
    <x:row r="95" ht="72" customHeight="1">
      <x:c r="A95" s="324" t="str">
        <x:v>Competing cash uses</x:v>
      </x:c>
      <x:c r="B95" s="335" t="str">
        <x:v>10-Q filed Sep 11, 2026</x:v>
      </x:c>
      <x:c r="C95" s="335" t="str">
        <x:v>0001193125-26-389274</x:v>
      </x:c>
      <x:c r="D95" s="489" t="str">
        <x:v>pp. 1–2, 5–7, 12–14, 32–35</x:v>
      </x:c>
      <x:c r="M95" s="490" t="str">
        <x:v>https://www.sec.gov/Archives/edgar/data/1341439/000119312526389274/orcl-20260831.htm</x:v>
      </x:c>
    </x:row>
    <x:row r="96" ht="72" customHeight="1">
      <x:c r="A96" s="324" t="str">
        <x:v>Decisive unknowns</x:v>
      </x:c>
      <x:c r="B96" s="335" t="str">
        <x:v>10-Q filed Sep 11, 2026</x:v>
      </x:c>
      <x:c r="C96" s="335" t="str">
        <x:v>0001193125-26-389274</x:v>
      </x:c>
      <x:c r="D96" s="489" t="str">
        <x:v>pp. 1–2, 5–7, 12–14, 32–35</x:v>
      </x:c>
      <x:c r="M96" s="490" t="str">
        <x:v>https://www.sec.gov/Archives/edgar/data/1341439/000119312526389274/orcl-20260831.htm</x:v>
      </x:c>
    </x:row>
    <x:row r="97" ht="72" customHeight="1">
      <x:c r="A97" s="324" t="str">
        <x:v>Decisive unknowns</x:v>
      </x:c>
      <x:c r="B97" s="335" t="str">
        <x:v>10-K filed Jun 22, 2026</x:v>
      </x:c>
      <x:c r="C97" s="335" t="str">
        <x:v>0001193125-26-277521</x:v>
      </x:c>
      <x:c r="D97" s="489" t="str">
        <x:v>pp. 50, 65, 83–85, 88</x:v>
      </x:c>
      <x:c r="M97" s="490" t="str">
        <x:v>https://www.sec.gov/Archives/edgar/data/1341439/000119312526277521/orcl-20260531.htm</x:v>
      </x:c>
    </x:row>
    <x:row r="98" ht="72" customHeight="1">
      <x:c r="A98" s="324" t="str">
        <x:v>Decisive unknowns</x:v>
      </x:c>
      <x:c r="B98" s="335" t="str">
        <x:v>Credit agreement filed Mar 11, 2026</x:v>
      </x:c>
      <x:c r="C98" s="335" t="str">
        <x:v>0001193125-26-101045</x:v>
      </x:c>
      <x:c r="D98" s="489" t="str">
        <x:v>§§2.01, 2.21, 4.02, 6.02(c)</x:v>
      </x:c>
      <x:c r="M98" s="490" t="str">
        <x:v>https://www.sec.gov/Archives/edgar/data/1341439/000119312526101045/orcl-ex10_17.htm</x:v>
      </x:c>
    </x:row>
    <x:row r="99" ht="72" customHeight="1">
      <x:c r="A99" s="324" t="str">
        <x:v>Historical coverage</x:v>
      </x:c>
      <x:c r="B99" s="335" t="str">
        <x:v>10-Q filed Sep 11, 2026</x:v>
      </x:c>
      <x:c r="C99" s="335" t="str">
        <x:v>0001193125-26-389274</x:v>
      </x:c>
      <x:c r="D99" s="489" t="str">
        <x:v>Operations p. 2; lease Note 6 p. 12; MD&amp;A p. 32</x:v>
      </x:c>
      <x:c r="M99" s="490" t="str">
        <x:v>https://www.sec.gov/Archives/edgar/data/1341439/000119312526389274/orcl-20260831.htm</x:v>
      </x:c>
    </x:row>
    <x:row r="100" ht="72" customHeight="1">
      <x:c r="A100" s="325" t="str">
        <x:v>Historical coverage</x:v>
      </x:c>
      <x:c r="B100" s="491" t="str">
        <x:v>10-K filed Jun 22, 2026</x:v>
      </x:c>
      <x:c r="C100" s="491" t="str">
        <x:v>0001193125-26-277521</x:v>
      </x:c>
      <x:c r="D100" s="492" t="str">
        <x:v>Operations p. 65; MD&amp;A p. 50; lease Note 9 p. 88</x:v>
      </x:c>
      <x:c r="M100" s="493" t="str">
        <x:v>https://www.sec.gov/Archives/edgar/data/1341439/000119312526277521/orcl-20260531.htm</x:v>
      </x:c>
    </x:row>
    <x:row r="102" ht="78" customHeight="1">
      <x:c r="A102" s="316" t="str">
        <x:v>Key</x:v>
      </x:c>
      <x:c r="B102" s="332" t="str">
        <x:v>USD millions, except ratios (x)</x:v>
      </x:c>
      <x:c r="C102" s="332" t="str">
        <x:v>Reported input</x:v>
      </x:c>
      <x:c r="D102" s="332" t="str">
        <x:v>Period start</x:v>
      </x:c>
      <x:c r="E102" s="332" t="str">
        <x:v>Period end / as of</x:v>
      </x:c>
      <x:c r="F102" s="332" t="str">
        <x:v>Form</x:v>
      </x:c>
      <x:c r="G102" s="332" t="str">
        <x:v>Filed</x:v>
      </x:c>
      <x:c r="H102" s="332" t="str">
        <x:v>Accession</x:v>
      </x:c>
      <x:c r="I102" s="332" t="str">
        <x:v>Tag</x:v>
      </x:c>
      <x:c r="J102" s="332" t="str">
        <x:v>Context ID</x:v>
      </x:c>
      <x:c r="K102" s="332" t="str">
        <x:v>Scale</x:v>
      </x:c>
      <x:c r="L102" s="332" t="str">
        <x:v>Decimals</x:v>
      </x:c>
      <x:c r="M102" s="332" t="str">
        <x:v>Source</x:v>
      </x:c>
      <x:c r="N102" s="332" t="str">
        <x:v>Filing location</x:v>
      </x:c>
      <x:c r="O102" s="332" t="str">
        <x:v>Finding / Unavailable reason</x:v>
      </x:c>
      <x:c r="P102" s="332" t="str">
        <x:v>Dimensions</x:v>
      </x:c>
      <x:c r="Q102" s="332" t="str">
        <x:v>Reviewed source SHA256</x:v>
      </x:c>
      <x:c r="R102" s="317" t="str">
        <x:v>Unit and selection rule</x:v>
      </x:c>
    </x:row>
    <x:row r="103" ht="78" customHeight="1">
      <x:c r="A103" s="324" t="str">
        <x:v>Current borrowing</x:v>
      </x:c>
      <x:c r="B103" s="494" t="n">
        <x:v>7625000000</x:v>
      </x:c>
      <x:c r="C103" s="335" t="str">
        <x:v>Current borrowing</x:v>
      </x:c>
      <x:c r="D103" s="366"/>
      <x:c r="E103" s="334" t="d">
        <x:v>2026-08-31T00:00:00.000Z</x:v>
      </x:c>
      <x:c r="F103" s="335" t="str">
        <x:v>10-Q</x:v>
      </x:c>
      <x:c r="G103" s="334" t="d">
        <x:v>2026-09-11T00:00:00.000Z</x:v>
      </x:c>
      <x:c r="H103" s="335" t="str">
        <x:v>0001193125-26-389274</x:v>
      </x:c>
      <x:c r="I103" s="335" t="str">
        <x:v>us-gaap:NotesPayableCurrent</x:v>
      </x:c>
      <x:c r="J103" s="366"/>
      <x:c r="K103" s="366"/>
      <x:c r="L103" s="366"/>
      <x:c r="M103" s="335" t="str">
        <x:v>https://www.sec.gov/Archives/edgar/data/1341439/000119312526389274/orcl-20260831.htm</x:v>
      </x:c>
      <x:c r="N103" s="335" t="str">
        <x:v>10-Q balance sheet, p. 1</x:v>
      </x:c>
      <x:c r="O103" s="366" t="str"/>
      <x:c r="P103" s="335" t="str">
        <x:v>None (consolidated total)</x:v>
      </x:c>
      <x:c r="Q103" s="366" t="str"/>
      <x:c r="R103" s="319" t="str">
        <x:v>USD; USD instant at the balance-sheet date, from the latest original 10-K or 10-Q itself</x:v>
      </x:c>
    </x:row>
    <x:row r="104" ht="78" customHeight="1">
      <x:c r="A104" s="324" t="str">
        <x:v>Noncurrent borrowing</x:v>
      </x:c>
      <x:c r="B104" s="494" t="n">
        <x:v>117712000000</x:v>
      </x:c>
      <x:c r="C104" s="335" t="str">
        <x:v>Noncurrent borrowing</x:v>
      </x:c>
      <x:c r="D104" s="366"/>
      <x:c r="E104" s="334" t="d">
        <x:v>2026-08-31T00:00:00.000Z</x:v>
      </x:c>
      <x:c r="F104" s="335" t="str">
        <x:v>10-Q</x:v>
      </x:c>
      <x:c r="G104" s="334" t="d">
        <x:v>2026-09-11T00:00:00.000Z</x:v>
      </x:c>
      <x:c r="H104" s="335" t="str">
        <x:v>0001193125-26-389274</x:v>
      </x:c>
      <x:c r="I104" s="335" t="str">
        <x:v>us-gaap:LongTermNotesAndLoans</x:v>
      </x:c>
      <x:c r="J104" s="366"/>
      <x:c r="K104" s="366"/>
      <x:c r="L104" s="366"/>
      <x:c r="M104" s="335" t="str">
        <x:v>https://www.sec.gov/Archives/edgar/data/1341439/000119312526389274/orcl-20260831.htm</x:v>
      </x:c>
      <x:c r="N104" s="335" t="str">
        <x:v>10-Q balance sheet, p. 1</x:v>
      </x:c>
      <x:c r="O104" s="366" t="str"/>
      <x:c r="P104" s="335" t="str">
        <x:v>None (consolidated total)</x:v>
      </x:c>
      <x:c r="Q104" s="366" t="str"/>
      <x:c r="R104" s="319" t="str">
        <x:v>USD; USD instant at the balance-sheet date, from the latest original 10-K or 10-Q itself</x:v>
      </x:c>
    </x:row>
    <x:row r="105" ht="78" customHeight="1">
      <x:c r="A105" s="324" t="str">
        <x:v>Operating lease liabilities — current</x:v>
      </x:c>
      <x:c r="B105" s="494" t="n">
        <x:v>4027000000</x:v>
      </x:c>
      <x:c r="C105" s="335" t="str">
        <x:v>Operating lease liabilities — current</x:v>
      </x:c>
      <x:c r="D105" s="366"/>
      <x:c r="E105" s="334" t="d">
        <x:v>2026-08-31T00:00:00.000Z</x:v>
      </x:c>
      <x:c r="F105" s="335" t="str">
        <x:v>10-Q</x:v>
      </x:c>
      <x:c r="G105" s="334" t="d">
        <x:v>2026-09-11T00:00:00.000Z</x:v>
      </x:c>
      <x:c r="H105" s="335" t="str">
        <x:v>0001193125-26-389274</x:v>
      </x:c>
      <x:c r="I105" s="335" t="str">
        <x:v>us-gaap:OperatingLeaseLiabilityCurrent</x:v>
      </x:c>
      <x:c r="J105" s="335" t="str">
        <x:v>C_6aa4717d-0551-43f7-9cf4-c8a0049a656e</x:v>
      </x:c>
      <x:c r="K105" s="495" t="n">
        <x:v>6</x:v>
      </x:c>
      <x:c r="L105" s="335" t="str">
        <x:v>-6</x:v>
      </x:c>
      <x:c r="M105" s="335" t="str">
        <x:v>https://www.sec.gov/Archives/edgar/data/1341439/000119312526389274/orcl-20260831.htm</x:v>
      </x:c>
      <x:c r="N105" s="335" t="str">
        <x:v>10-Q Note 6, pp. 12–13</x:v>
      </x:c>
      <x:c r="O105" s="366" t="str"/>
      <x:c r="P105" s="335" t="str">
        <x:v>None (consolidated total)</x:v>
      </x:c>
      <x:c r="Q105" s="335" t="str">
        <x:v>051dd4893fa497f36d99c8a355cbc90107f56e1a628c78e38c76e7dca0d4a6fd</x:v>
      </x:c>
      <x:c r="R105" s="319" t="str">
        <x:v>USD; Exact prefixed tag; exact stated instant; USD; no dimensions; agreeing duplicates.</x:v>
      </x:c>
    </x:row>
    <x:row r="106" ht="78" customHeight="1">
      <x:c r="A106" s="324" t="str">
        <x:v>Operating lease liabilities — noncurrent</x:v>
      </x:c>
      <x:c r="B106" s="494" t="n">
        <x:v>30594000000</x:v>
      </x:c>
      <x:c r="C106" s="335" t="str">
        <x:v>Operating lease liabilities — noncurrent</x:v>
      </x:c>
      <x:c r="D106" s="366"/>
      <x:c r="E106" s="334" t="d">
        <x:v>2026-08-31T00:00:00.000Z</x:v>
      </x:c>
      <x:c r="F106" s="335" t="str">
        <x:v>10-Q</x:v>
      </x:c>
      <x:c r="G106" s="334" t="d">
        <x:v>2026-09-11T00:00:00.000Z</x:v>
      </x:c>
      <x:c r="H106" s="335" t="str">
        <x:v>0001193125-26-389274</x:v>
      </x:c>
      <x:c r="I106" s="335" t="str">
        <x:v>us-gaap:OperatingLeaseLiabilityNoncurrent</x:v>
      </x:c>
      <x:c r="J106" s="335" t="str">
        <x:v>C_6aa4717d-0551-43f7-9cf4-c8a0049a656e</x:v>
      </x:c>
      <x:c r="K106" s="495" t="n">
        <x:v>6</x:v>
      </x:c>
      <x:c r="L106" s="335" t="str">
        <x:v>-6</x:v>
      </x:c>
      <x:c r="M106" s="335" t="str">
        <x:v>https://www.sec.gov/Archives/edgar/data/1341439/000119312526389274/orcl-20260831.htm</x:v>
      </x:c>
      <x:c r="N106" s="335" t="str">
        <x:v>10-Q Note 6, pp. 12–13</x:v>
      </x:c>
      <x:c r="O106" s="366" t="str"/>
      <x:c r="P106" s="335" t="str">
        <x:v>None (consolidated total)</x:v>
      </x:c>
      <x:c r="Q106" s="335" t="str">
        <x:v>051dd4893fa497f36d99c8a355cbc90107f56e1a628c78e38c76e7dca0d4a6fd</x:v>
      </x:c>
      <x:c r="R106" s="319" t="str">
        <x:v>USD; Exact prefixed tag; exact stated instant; USD; no dimensions; agreeing duplicates.</x:v>
      </x:c>
    </x:row>
    <x:row r="107" ht="78" customHeight="1">
      <x:c r="A107" s="324" t="str">
        <x:v>Operating lease liabilities — reported total control</x:v>
      </x:c>
      <x:c r="B107" s="494" t="n">
        <x:v>34621000000</x:v>
      </x:c>
      <x:c r="C107" s="335" t="str">
        <x:v>Operating lease liabilities — reported total control</x:v>
      </x:c>
      <x:c r="D107" s="366"/>
      <x:c r="E107" s="334" t="d">
        <x:v>2026-08-31T00:00:00.000Z</x:v>
      </x:c>
      <x:c r="F107" s="335" t="str">
        <x:v>10-Q</x:v>
      </x:c>
      <x:c r="G107" s="334" t="d">
        <x:v>2026-09-11T00:00:00.000Z</x:v>
      </x:c>
      <x:c r="H107" s="335" t="str">
        <x:v>0001193125-26-389274</x:v>
      </x:c>
      <x:c r="I107" s="335" t="str">
        <x:v>us-gaap:OperatingLeaseLiability</x:v>
      </x:c>
      <x:c r="J107" s="335" t="str">
        <x:v>C_6aa4717d-0551-43f7-9cf4-c8a0049a656e</x:v>
      </x:c>
      <x:c r="K107" s="495" t="n">
        <x:v>6</x:v>
      </x:c>
      <x:c r="L107" s="335" t="str">
        <x:v>-6</x:v>
      </x:c>
      <x:c r="M107" s="335" t="str">
        <x:v>https://www.sec.gov/Archives/edgar/data/1341439/000119312526389274/orcl-20260831.htm</x:v>
      </x:c>
      <x:c r="N107" s="335" t="str">
        <x:v>10-Q Note 6, pp. 12–13</x:v>
      </x:c>
      <x:c r="O107" s="366" t="str"/>
      <x:c r="P107" s="335" t="str">
        <x:v>None (consolidated total)</x:v>
      </x:c>
      <x:c r="Q107" s="335" t="str">
        <x:v>051dd4893fa497f36d99c8a355cbc90107f56e1a628c78e38c76e7dca0d4a6fd</x:v>
      </x:c>
      <x:c r="R107" s="319" t="str">
        <x:v>USD; Exact prefixed tag; exact stated instant; USD; no dimensions; agreeing duplicates.</x:v>
      </x:c>
    </x:row>
    <x:row r="108" ht="78" customHeight="1">
      <x:c r="A108" s="324" t="str">
        <x:v>Finance lease liabilities — current</x:v>
      </x:c>
      <x:c r="B108" s="494" t="n">
        <x:v>749000000</x:v>
      </x:c>
      <x:c r="C108" s="335" t="str">
        <x:v>Finance lease liabilities — current</x:v>
      </x:c>
      <x:c r="D108" s="366"/>
      <x:c r="E108" s="334" t="d">
        <x:v>2026-08-31T00:00:00.000Z</x:v>
      </x:c>
      <x:c r="F108" s="335" t="str">
        <x:v>10-Q</x:v>
      </x:c>
      <x:c r="G108" s="334" t="d">
        <x:v>2026-09-11T00:00:00.000Z</x:v>
      </x:c>
      <x:c r="H108" s="335" t="str">
        <x:v>0001193125-26-389274</x:v>
      </x:c>
      <x:c r="I108" s="335" t="str">
        <x:v>us-gaap:FinanceLeaseLiabilityCurrent</x:v>
      </x:c>
      <x:c r="J108" s="335" t="str">
        <x:v>C_6aa4717d-0551-43f7-9cf4-c8a0049a656e</x:v>
      </x:c>
      <x:c r="K108" s="495" t="n">
        <x:v>6</x:v>
      </x:c>
      <x:c r="L108" s="335" t="str">
        <x:v>-6</x:v>
      </x:c>
      <x:c r="M108" s="335" t="str">
        <x:v>https://www.sec.gov/Archives/edgar/data/1341439/000119312526389274/orcl-20260831.htm</x:v>
      </x:c>
      <x:c r="N108" s="335" t="str">
        <x:v>10-Q Note 6, pp. 12–13</x:v>
      </x:c>
      <x:c r="O108" s="366" t="str"/>
      <x:c r="P108" s="335" t="str">
        <x:v>None (consolidated total)</x:v>
      </x:c>
      <x:c r="Q108" s="335" t="str">
        <x:v>051dd4893fa497f36d99c8a355cbc90107f56e1a628c78e38c76e7dca0d4a6fd</x:v>
      </x:c>
      <x:c r="R108" s="319" t="str">
        <x:v>USD; Exact prefixed tag; exact stated instant; USD; no dimensions; agreeing duplicates.</x:v>
      </x:c>
    </x:row>
    <x:row r="109" ht="78" customHeight="1">
      <x:c r="A109" s="324" t="str">
        <x:v>Finance lease liabilities — noncurrent</x:v>
      </x:c>
      <x:c r="B109" s="494" t="n">
        <x:v>8436000000</x:v>
      </x:c>
      <x:c r="C109" s="335" t="str">
        <x:v>Finance lease liabilities — noncurrent</x:v>
      </x:c>
      <x:c r="D109" s="366"/>
      <x:c r="E109" s="334" t="d">
        <x:v>2026-08-31T00:00:00.000Z</x:v>
      </x:c>
      <x:c r="F109" s="335" t="str">
        <x:v>10-Q</x:v>
      </x:c>
      <x:c r="G109" s="334" t="d">
        <x:v>2026-09-11T00:00:00.000Z</x:v>
      </x:c>
      <x:c r="H109" s="335" t="str">
        <x:v>0001193125-26-389274</x:v>
      </x:c>
      <x:c r="I109" s="335" t="str">
        <x:v>us-gaap:FinanceLeaseLiabilityNoncurrent</x:v>
      </x:c>
      <x:c r="J109" s="335" t="str">
        <x:v>C_6aa4717d-0551-43f7-9cf4-c8a0049a656e</x:v>
      </x:c>
      <x:c r="K109" s="495" t="n">
        <x:v>6</x:v>
      </x:c>
      <x:c r="L109" s="335" t="str">
        <x:v>-6</x:v>
      </x:c>
      <x:c r="M109" s="335" t="str">
        <x:v>https://www.sec.gov/Archives/edgar/data/1341439/000119312526389274/orcl-20260831.htm</x:v>
      </x:c>
      <x:c r="N109" s="335" t="str">
        <x:v>10-Q Note 6, pp. 12–13</x:v>
      </x:c>
      <x:c r="O109" s="366" t="str"/>
      <x:c r="P109" s="335" t="str">
        <x:v>None (consolidated total)</x:v>
      </x:c>
      <x:c r="Q109" s="335" t="str">
        <x:v>051dd4893fa497f36d99c8a355cbc90107f56e1a628c78e38c76e7dca0d4a6fd</x:v>
      </x:c>
      <x:c r="R109" s="319" t="str">
        <x:v>USD; Exact prefixed tag; exact stated instant; USD; no dimensions; agreeing duplicates.</x:v>
      </x:c>
    </x:row>
    <x:row r="110" ht="78" customHeight="1">
      <x:c r="A110" s="324" t="str">
        <x:v>Finance lease liabilities — reported total control</x:v>
      </x:c>
      <x:c r="B110" s="494" t="n">
        <x:v>9185000000</x:v>
      </x:c>
      <x:c r="C110" s="335" t="str">
        <x:v>Finance lease liabilities — reported total control</x:v>
      </x:c>
      <x:c r="D110" s="366"/>
      <x:c r="E110" s="334" t="d">
        <x:v>2026-08-31T00:00:00.000Z</x:v>
      </x:c>
      <x:c r="F110" s="335" t="str">
        <x:v>10-Q</x:v>
      </x:c>
      <x:c r="G110" s="334" t="d">
        <x:v>2026-09-11T00:00:00.000Z</x:v>
      </x:c>
      <x:c r="H110" s="335" t="str">
        <x:v>0001193125-26-389274</x:v>
      </x:c>
      <x:c r="I110" s="335" t="str">
        <x:v>us-gaap:FinanceLeaseLiability</x:v>
      </x:c>
      <x:c r="J110" s="335" t="str">
        <x:v>C_6aa4717d-0551-43f7-9cf4-c8a0049a656e</x:v>
      </x:c>
      <x:c r="K110" s="495" t="n">
        <x:v>6</x:v>
      </x:c>
      <x:c r="L110" s="335" t="str">
        <x:v>-6</x:v>
      </x:c>
      <x:c r="M110" s="335" t="str">
        <x:v>https://www.sec.gov/Archives/edgar/data/1341439/000119312526389274/orcl-20260831.htm</x:v>
      </x:c>
      <x:c r="N110" s="335" t="str">
        <x:v>10-Q Note 6, pp. 12–13</x:v>
      </x:c>
      <x:c r="O110" s="366" t="str"/>
      <x:c r="P110" s="335" t="str">
        <x:v>None (consolidated total)</x:v>
      </x:c>
      <x:c r="Q110" s="335" t="str">
        <x:v>051dd4893fa497f36d99c8a355cbc90107f56e1a628c78e38c76e7dca0d4a6fd</x:v>
      </x:c>
      <x:c r="R110" s="319" t="str">
        <x:v>USD; Exact prefixed tag; exact stated instant; USD; no dimensions; agreeing duplicates.</x:v>
      </x:c>
    </x:row>
    <x:row r="111" ht="78" customHeight="1">
      <x:c r="A111" s="325" t="str">
        <x:v>Leases not yet commenced</x:v>
      </x:c>
      <x:c r="B111" s="496" t="n">
        <x:v>288000000000</x:v>
      </x:c>
      <x:c r="C111" s="491" t="str">
        <x:v>Leases not yet commenced</x:v>
      </x:c>
      <x:c r="D111" s="367"/>
      <x:c r="E111" s="363" t="d">
        <x:v>2026-08-31T00:00:00.000Z</x:v>
      </x:c>
      <x:c r="F111" s="491" t="str">
        <x:v>10-Q</x:v>
      </x:c>
      <x:c r="G111" s="363" t="d">
        <x:v>2026-09-11T00:00:00.000Z</x:v>
      </x:c>
      <x:c r="H111" s="491" t="str">
        <x:v>0001193125-26-389274</x:v>
      </x:c>
      <x:c r="I111" s="491" t="str">
        <x:v>orcl:LesseeOperatingLeaseLeaseNotYetCommencedLeaseCommitments</x:v>
      </x:c>
      <x:c r="J111" s="491" t="str">
        <x:v>C_6aa4717d-0551-43f7-9cf4-c8a0049a656e</x:v>
      </x:c>
      <x:c r="K111" s="497" t="n">
        <x:v>9</x:v>
      </x:c>
      <x:c r="L111" s="491" t="str">
        <x:v>-9</x:v>
      </x:c>
      <x:c r="M111" s="491" t="str">
        <x:v>https://www.sec.gov/Archives/edgar/data/1341439/000119312526389274/orcl-20260831.htm</x:v>
      </x:c>
      <x:c r="N111" s="491" t="str">
        <x:v>10-Q Note 6, p. 13</x:v>
      </x:c>
      <x:c r="O111" s="491" t="str">
        <x:v>Amount reported in rounded billions. Future commitment, not a recognized lease liability. Expected to commence Q2 fiscal 2027–fiscal 2029, with 15–19 year terms. Annual payment timing is Unavailable.</x:v>
      </x:c>
      <x:c r="P111" s="491" t="str">
        <x:v>None (consolidated total)</x:v>
      </x:c>
      <x:c r="Q111" s="491" t="str">
        <x:v>051dd4893fa497f36d99c8a355cbc90107f56e1a628c78e38c76e7dca0d4a6fd</x:v>
      </x:c>
      <x:c r="R111" s="321" t="str">
        <x:v>USD; Exact prefixed tag; exact stated instant; USD; no dimensions; agreeing duplicates.</x:v>
      </x:c>
    </x:row>
    <x:row r="114" ht="86" customHeight="1">
      <x:c r="A114" s="316" t="str">
        <x:v>Key</x:v>
      </x:c>
      <x:c r="B114" s="332" t="str">
        <x:v>USD millions, except ratios (x)</x:v>
      </x:c>
      <x:c r="C114" s="332" t="str">
        <x:v>Reported input</x:v>
      </x:c>
      <x:c r="D114" s="332" t="str">
        <x:v>Period start</x:v>
      </x:c>
      <x:c r="E114" s="332" t="str">
        <x:v>Period end / as of</x:v>
      </x:c>
      <x:c r="F114" s="332" t="str">
        <x:v>Form</x:v>
      </x:c>
      <x:c r="G114" s="332" t="str">
        <x:v>Filed</x:v>
      </x:c>
      <x:c r="H114" s="332" t="str">
        <x:v>Accession</x:v>
      </x:c>
      <x:c r="I114" s="332" t="str">
        <x:v>Tag</x:v>
      </x:c>
      <x:c r="J114" s="332" t="str">
        <x:v>Context ID</x:v>
      </x:c>
      <x:c r="K114" s="332" t="str">
        <x:v>Scale</x:v>
      </x:c>
      <x:c r="L114" s="332" t="str">
        <x:v>Decimals</x:v>
      </x:c>
      <x:c r="M114" s="332" t="str">
        <x:v>Source</x:v>
      </x:c>
      <x:c r="N114" s="332" t="str">
        <x:v>Filing location</x:v>
      </x:c>
      <x:c r="O114" s="332" t="str">
        <x:v>Finding / Unavailable reason</x:v>
      </x:c>
      <x:c r="P114" s="332" t="str">
        <x:v>Dimensions</x:v>
      </x:c>
      <x:c r="Q114" s="332" t="str">
        <x:v>Reviewed source SHA256</x:v>
      </x:c>
      <x:c r="R114" s="317" t="str">
        <x:v>Unit and selection rule</x:v>
      </x:c>
    </x:row>
    <x:row r="115" ht="86" customHeight="1">
      <x:c r="A115" s="324" t="str">
        <x:v>Ratio input: Cash and cash equivalents</x:v>
      </x:c>
      <x:c r="B115" s="494" t="n">
        <x:v>36369000000</x:v>
      </x:c>
      <x:c r="C115" s="335" t="str">
        <x:v>Cash and cash equivalents</x:v>
      </x:c>
      <x:c r="D115" s="498"/>
      <x:c r="E115" s="334" t="d">
        <x:v>2026-08-31T00:00:00.000Z</x:v>
      </x:c>
      <x:c r="F115" s="335" t="str">
        <x:v>10-Q</x:v>
      </x:c>
      <x:c r="G115" s="334" t="d">
        <x:v>2026-09-11T00:00:00.000Z</x:v>
      </x:c>
      <x:c r="H115" s="335" t="str">
        <x:v>0001193125-26-389274</x:v>
      </x:c>
      <x:c r="I115" s="335" t="str">
        <x:v>us-gaap:CashAndCashEquivalentsAtCarryingValue</x:v>
      </x:c>
      <x:c r="J115" s="366"/>
      <x:c r="K115" s="366"/>
      <x:c r="L115" s="366"/>
      <x:c r="M115" s="335" t="str">
        <x:v>https://www.sec.gov/Archives/edgar/data/1341439/000119312526389274/orcl-20260831.htm</x:v>
      </x:c>
      <x:c r="N115" s="335" t="str">
        <x:v>Checked balance sheet / cash-flow statement</x:v>
      </x:c>
      <x:c r="O115" s="335" t="str">
        <x:v>USD instant at the balance-sheet date, from the latest original 10-K or 10-Q itself</x:v>
      </x:c>
      <x:c r="P115" s="335" t="str">
        <x:v>None (consolidated total)</x:v>
      </x:c>
      <x:c r="Q115" s="366"/>
      <x:c r="R115" s="319" t="str">
        <x:v>USD</x:v>
      </x:c>
    </x:row>
    <x:row r="116" ht="86" customHeight="1">
      <x:c r="A116" s="324" t="str">
        <x:v>Ratio input: Notes payable and other borrowings, current</x:v>
      </x:c>
      <x:c r="B116" s="494" t="n">
        <x:v>7625000000</x:v>
      </x:c>
      <x:c r="C116" s="335" t="str">
        <x:v>Notes payable and other borrowings, current</x:v>
      </x:c>
      <x:c r="D116" s="498"/>
      <x:c r="E116" s="334" t="d">
        <x:v>2026-08-31T00:00:00.000Z</x:v>
      </x:c>
      <x:c r="F116" s="335" t="str">
        <x:v>10-Q</x:v>
      </x:c>
      <x:c r="G116" s="334" t="d">
        <x:v>2026-09-11T00:00:00.000Z</x:v>
      </x:c>
      <x:c r="H116" s="335" t="str">
        <x:v>0001193125-26-389274</x:v>
      </x:c>
      <x:c r="I116" s="335" t="str">
        <x:v>us-gaap:NotesPayableCurrent</x:v>
      </x:c>
      <x:c r="J116" s="366"/>
      <x:c r="K116" s="366"/>
      <x:c r="L116" s="366"/>
      <x:c r="M116" s="335" t="str">
        <x:v>https://www.sec.gov/Archives/edgar/data/1341439/000119312526389274/orcl-20260831.htm</x:v>
      </x:c>
      <x:c r="N116" s="335" t="str">
        <x:v>Checked balance sheet / cash-flow statement</x:v>
      </x:c>
      <x:c r="O116" s="335" t="str">
        <x:v>USD instant at the balance-sheet date, from the latest original 10-K or 10-Q itself</x:v>
      </x:c>
      <x:c r="P116" s="335" t="str">
        <x:v>None (consolidated total)</x:v>
      </x:c>
      <x:c r="Q116" s="366"/>
      <x:c r="R116" s="319" t="str">
        <x:v>USD</x:v>
      </x:c>
    </x:row>
    <x:row r="117" ht="86" customHeight="1">
      <x:c r="A117" s="324" t="str">
        <x:v>Ratio input: Notes payable and other borrowings, non-current</x:v>
      </x:c>
      <x:c r="B117" s="494" t="n">
        <x:v>117712000000</x:v>
      </x:c>
      <x:c r="C117" s="335" t="str">
        <x:v>Notes payable and other borrowings, non-current</x:v>
      </x:c>
      <x:c r="D117" s="498"/>
      <x:c r="E117" s="334" t="d">
        <x:v>2026-08-31T00:00:00.000Z</x:v>
      </x:c>
      <x:c r="F117" s="335" t="str">
        <x:v>10-Q</x:v>
      </x:c>
      <x:c r="G117" s="334" t="d">
        <x:v>2026-09-11T00:00:00.000Z</x:v>
      </x:c>
      <x:c r="H117" s="335" t="str">
        <x:v>0001193125-26-389274</x:v>
      </x:c>
      <x:c r="I117" s="335" t="str">
        <x:v>us-gaap:LongTermNotesAndLoans</x:v>
      </x:c>
      <x:c r="J117" s="366"/>
      <x:c r="K117" s="366"/>
      <x:c r="L117" s="366"/>
      <x:c r="M117" s="335" t="str">
        <x:v>https://www.sec.gov/Archives/edgar/data/1341439/000119312526389274/orcl-20260831.htm</x:v>
      </x:c>
      <x:c r="N117" s="335" t="str">
        <x:v>Checked balance sheet / cash-flow statement</x:v>
      </x:c>
      <x:c r="O117" s="335" t="str">
        <x:v>USD instant at the balance-sheet date, from the latest original 10-K or 10-Q itself</x:v>
      </x:c>
      <x:c r="P117" s="335" t="str">
        <x:v>None (consolidated total)</x:v>
      </x:c>
      <x:c r="Q117" s="366"/>
      <x:c r="R117" s="319" t="str">
        <x:v>USD</x:v>
      </x:c>
    </x:row>
    <x:row r="118" ht="86" customHeight="1">
      <x:c r="A118" s="324" t="str">
        <x:v>Ratio input: Current liabilities</x:v>
      </x:c>
      <x:c r="B118" s="494" t="n">
        <x:v>47514000000</x:v>
      </x:c>
      <x:c r="C118" s="335" t="str">
        <x:v>Current liabilities</x:v>
      </x:c>
      <x:c r="D118" s="498"/>
      <x:c r="E118" s="334" t="d">
        <x:v>2026-08-31T00:00:00.000Z</x:v>
      </x:c>
      <x:c r="F118" s="335" t="str">
        <x:v>10-Q</x:v>
      </x:c>
      <x:c r="G118" s="334" t="d">
        <x:v>2026-09-11T00:00:00.000Z</x:v>
      </x:c>
      <x:c r="H118" s="335" t="str">
        <x:v>0001193125-26-389274</x:v>
      </x:c>
      <x:c r="I118" s="335" t="str">
        <x:v>us-gaap:LiabilitiesCurrent</x:v>
      </x:c>
      <x:c r="J118" s="366"/>
      <x:c r="K118" s="366"/>
      <x:c r="L118" s="366"/>
      <x:c r="M118" s="335" t="str">
        <x:v>https://www.sec.gov/Archives/edgar/data/1341439/000119312526389274/orcl-20260831.htm</x:v>
      </x:c>
      <x:c r="N118" s="335" t="str">
        <x:v>Checked balance sheet / cash-flow statement</x:v>
      </x:c>
      <x:c r="O118" s="335" t="str">
        <x:v>USD instant at the balance-sheet date, from the latest original 10-K or 10-Q itself</x:v>
      </x:c>
      <x:c r="P118" s="335" t="str">
        <x:v>None (consolidated total)</x:v>
      </x:c>
      <x:c r="Q118" s="366"/>
      <x:c r="R118" s="319" t="str">
        <x:v>USD</x:v>
      </x:c>
    </x:row>
    <x:row r="119" ht="86" customHeight="1">
      <x:c r="A119" s="324" t="str">
        <x:v>Ratio input: Current assets</x:v>
      </x:c>
      <x:c r="B119" s="494" t="n">
        <x:v>55630000000</x:v>
      </x:c>
      <x:c r="C119" s="335" t="str">
        <x:v>Current assets</x:v>
      </x:c>
      <x:c r="D119" s="498"/>
      <x:c r="E119" s="334" t="d">
        <x:v>2026-08-31T00:00:00.000Z</x:v>
      </x:c>
      <x:c r="F119" s="335" t="str">
        <x:v>10-Q</x:v>
      </x:c>
      <x:c r="G119" s="334" t="d">
        <x:v>2026-09-11T00:00:00.000Z</x:v>
      </x:c>
      <x:c r="H119" s="335" t="str">
        <x:v>0001193125-26-389274</x:v>
      </x:c>
      <x:c r="I119" s="335" t="str">
        <x:v>us-gaap:AssetsCurrent</x:v>
      </x:c>
      <x:c r="J119" s="366"/>
      <x:c r="K119" s="366"/>
      <x:c r="L119" s="366"/>
      <x:c r="M119" s="335" t="str">
        <x:v>https://www.sec.gov/Archives/edgar/data/1341439/000119312526389274/orcl-20260831.htm</x:v>
      </x:c>
      <x:c r="N119" s="335" t="str">
        <x:v>Checked balance sheet / cash-flow statement</x:v>
      </x:c>
      <x:c r="O119" s="335" t="str">
        <x:v>USD instant at the balance-sheet date, from the latest original 10-K or 10-Q itself</x:v>
      </x:c>
      <x:c r="P119" s="335" t="str">
        <x:v>None (consolidated total)</x:v>
      </x:c>
      <x:c r="Q119" s="366"/>
      <x:c r="R119" s="319" t="str">
        <x:v>USD</x:v>
      </x:c>
    </x:row>
    <x:row r="120" ht="86" customHeight="1">
      <x:c r="A120" s="324" t="str">
        <x:v>Ratio input: Operating cash flow · fiscal year</x:v>
      </x:c>
      <x:c r="B120" s="494" t="n">
        <x:v>31977000000</x:v>
      </x:c>
      <x:c r="C120" s="335" t="str">
        <x:v>Operating cash flow · fiscal year</x:v>
      </x:c>
      <x:c r="D120" s="334" t="d">
        <x:v>2025-06-01T00:00:00.000Z</x:v>
      </x:c>
      <x:c r="E120" s="334" t="d">
        <x:v>2026-05-31T00:00:00.000Z</x:v>
      </x:c>
      <x:c r="F120" s="335" t="str">
        <x:v>10-K</x:v>
      </x:c>
      <x:c r="G120" s="334" t="d">
        <x:v>2026-06-22T00:00:00.000Z</x:v>
      </x:c>
      <x:c r="H120" s="335" t="str">
        <x:v>0001193125-26-277521</x:v>
      </x:c>
      <x:c r="I120" s="335" t="str">
        <x:v>us-gaap:NetCashProvidedByUsedInOperatingActivities</x:v>
      </x:c>
      <x:c r="J120" s="335" t="str">
        <x:v>C_24317829-d237-4c29-bae3-2e46dd1ae625</x:v>
      </x:c>
      <x:c r="K120" s="495" t="n">
        <x:v>6</x:v>
      </x:c>
      <x:c r="L120" s="335" t="str">
        <x:v>-6</x:v>
      </x:c>
      <x:c r="M120" s="335" t="str">
        <x:v>https://www.sec.gov/Archives/edgar/data/1341439/000119312526277521/orcl-20260531.htm</x:v>
      </x:c>
      <x:c r="N120" s="335" t="str">
        <x:v>Checked balance sheet / cash-flow statement</x:v>
      </x:c>
      <x:c r="O120" s="335" t="str">
        <x:v>Exact tag, USD duration, exact start and end dates, no dimensions</x:v>
      </x:c>
      <x:c r="P120" s="335" t="str">
        <x:v>None (consolidated total)</x:v>
      </x:c>
      <x:c r="Q120" s="366"/>
      <x:c r="R120" s="319" t="str">
        <x:v>USD</x:v>
      </x:c>
    </x:row>
    <x:row r="121" ht="86" customHeight="1">
      <x:c r="A121" s="324" t="str">
        <x:v>Ratio input: Operating cash flow · current year to date</x:v>
      </x:c>
      <x:c r="B121" s="494" t="n">
        <x:v>23103000000</x:v>
      </x:c>
      <x:c r="C121" s="335" t="str">
        <x:v>Operating cash flow · current year to date</x:v>
      </x:c>
      <x:c r="D121" s="334" t="d">
        <x:v>2026-06-01T00:00:00.000Z</x:v>
      </x:c>
      <x:c r="E121" s="334" t="d">
        <x:v>2026-08-31T00:00:00.000Z</x:v>
      </x:c>
      <x:c r="F121" s="335" t="str">
        <x:v>10-Q</x:v>
      </x:c>
      <x:c r="G121" s="334" t="d">
        <x:v>2026-09-11T00:00:00.000Z</x:v>
      </x:c>
      <x:c r="H121" s="335" t="str">
        <x:v>0001193125-26-389274</x:v>
      </x:c>
      <x:c r="I121" s="335" t="str">
        <x:v>us-gaap:NetCashProvidedByUsedInOperatingActivities</x:v>
      </x:c>
      <x:c r="J121" s="335" t="str">
        <x:v>C_f2f9ad85-08df-4e59-8948-bfd9405570de</x:v>
      </x:c>
      <x:c r="K121" s="495" t="n">
        <x:v>6</x:v>
      </x:c>
      <x:c r="L121" s="335" t="str">
        <x:v>-6</x:v>
      </x:c>
      <x:c r="M121" s="335" t="str">
        <x:v>https://www.sec.gov/Archives/edgar/data/1341439/000119312526389274/orcl-20260831.htm</x:v>
      </x:c>
      <x:c r="N121" s="335" t="str">
        <x:v>Checked balance sheet / cash-flow statement</x:v>
      </x:c>
      <x:c r="O121" s="335" t="str">
        <x:v>Exact tag, USD duration, exact start and end dates, no dimensions</x:v>
      </x:c>
      <x:c r="P121" s="335" t="str">
        <x:v>None (consolidated total)</x:v>
      </x:c>
      <x:c r="Q121" s="366"/>
      <x:c r="R121" s="319" t="str">
        <x:v>USD</x:v>
      </x:c>
    </x:row>
    <x:row r="122" ht="86" customHeight="1">
      <x:c r="A122" s="324" t="str">
        <x:v>Ratio input: Operating cash flow · prior year to date</x:v>
      </x:c>
      <x:c r="B122" s="494" t="n">
        <x:v>8140000000</x:v>
      </x:c>
      <x:c r="C122" s="335" t="str">
        <x:v>Operating cash flow · prior year to date</x:v>
      </x:c>
      <x:c r="D122" s="334" t="d">
        <x:v>2025-06-01T00:00:00.000Z</x:v>
      </x:c>
      <x:c r="E122" s="334" t="d">
        <x:v>2025-08-31T00:00:00.000Z</x:v>
      </x:c>
      <x:c r="F122" s="335" t="str">
        <x:v>10-Q</x:v>
      </x:c>
      <x:c r="G122" s="334" t="d">
        <x:v>2026-09-11T00:00:00.000Z</x:v>
      </x:c>
      <x:c r="H122" s="335" t="str">
        <x:v>0001193125-26-389274</x:v>
      </x:c>
      <x:c r="I122" s="335" t="str">
        <x:v>us-gaap:NetCashProvidedByUsedInOperatingActivities</x:v>
      </x:c>
      <x:c r="J122" s="335" t="str">
        <x:v>C_a0bdcecc-b2bf-40f4-8106-f50197737571</x:v>
      </x:c>
      <x:c r="K122" s="495" t="n">
        <x:v>6</x:v>
      </x:c>
      <x:c r="L122" s="335" t="str">
        <x:v>-6</x:v>
      </x:c>
      <x:c r="M122" s="335" t="str">
        <x:v>https://www.sec.gov/Archives/edgar/data/1341439/000119312526389274/orcl-20260831.htm</x:v>
      </x:c>
      <x:c r="N122" s="335" t="str">
        <x:v>Checked balance sheet / cash-flow statement</x:v>
      </x:c>
      <x:c r="O122" s="335" t="str">
        <x:v>Exact tag, USD duration, exact start and end dates, no dimensions</x:v>
      </x:c>
      <x:c r="P122" s="335" t="str">
        <x:v>None (consolidated total)</x:v>
      </x:c>
      <x:c r="Q122" s="366"/>
      <x:c r="R122" s="319" t="str">
        <x:v>USD</x:v>
      </x:c>
    </x:row>
    <x:row r="123" ht="86" customHeight="1">
      <x:c r="A123" s="324" t="str">
        <x:v>Ratio input: Capital expenditures · fiscal year</x:v>
      </x:c>
      <x:c r="B123" s="494" t="n">
        <x:v>55663000000</x:v>
      </x:c>
      <x:c r="C123" s="335" t="str">
        <x:v>Capital expenditures · fiscal year</x:v>
      </x:c>
      <x:c r="D123" s="334" t="d">
        <x:v>2025-06-01T00:00:00.000Z</x:v>
      </x:c>
      <x:c r="E123" s="334" t="d">
        <x:v>2026-05-31T00:00:00.000Z</x:v>
      </x:c>
      <x:c r="F123" s="335" t="str">
        <x:v>10-K</x:v>
      </x:c>
      <x:c r="G123" s="334" t="d">
        <x:v>2026-06-22T00:00:00.000Z</x:v>
      </x:c>
      <x:c r="H123" s="335" t="str">
        <x:v>0001193125-26-277521</x:v>
      </x:c>
      <x:c r="I123" s="335" t="str">
        <x:v>us-gaap:PaymentsToAcquirePropertyPlantAndEquipment</x:v>
      </x:c>
      <x:c r="J123" s="335" t="str">
        <x:v>C_24317829-d237-4c29-bae3-2e46dd1ae625</x:v>
      </x:c>
      <x:c r="K123" s="495" t="n">
        <x:v>6</x:v>
      </x:c>
      <x:c r="L123" s="335" t="str">
        <x:v>-6</x:v>
      </x:c>
      <x:c r="M123" s="335" t="str">
        <x:v>https://www.sec.gov/Archives/edgar/data/1341439/000119312526277521/orcl-20260531.htm</x:v>
      </x:c>
      <x:c r="N123" s="335" t="str">
        <x:v>Checked balance sheet / cash-flow statement</x:v>
      </x:c>
      <x:c r="O123" s="335" t="str">
        <x:v>Exact tag, USD duration, exact start and end dates, no dimensions</x:v>
      </x:c>
      <x:c r="P123" s="335" t="str">
        <x:v>None (consolidated total)</x:v>
      </x:c>
      <x:c r="Q123" s="366"/>
      <x:c r="R123" s="319" t="str">
        <x:v>USD</x:v>
      </x:c>
    </x:row>
    <x:row r="124" ht="86" customHeight="1">
      <x:c r="A124" s="324" t="str">
        <x:v>Ratio input: Capital expenditures · current year to date</x:v>
      </x:c>
      <x:c r="B124" s="494" t="n">
        <x:v>28499000000</x:v>
      </x:c>
      <x:c r="C124" s="335" t="str">
        <x:v>Capital expenditures · current year to date</x:v>
      </x:c>
      <x:c r="D124" s="334" t="d">
        <x:v>2026-06-01T00:00:00.000Z</x:v>
      </x:c>
      <x:c r="E124" s="334" t="d">
        <x:v>2026-08-31T00:00:00.000Z</x:v>
      </x:c>
      <x:c r="F124" s="335" t="str">
        <x:v>10-Q</x:v>
      </x:c>
      <x:c r="G124" s="334" t="d">
        <x:v>2026-09-11T00:00:00.000Z</x:v>
      </x:c>
      <x:c r="H124" s="335" t="str">
        <x:v>0001193125-26-389274</x:v>
      </x:c>
      <x:c r="I124" s="335" t="str">
        <x:v>us-gaap:PaymentsToAcquirePropertyPlantAndEquipment</x:v>
      </x:c>
      <x:c r="J124" s="335" t="str">
        <x:v>C_f2f9ad85-08df-4e59-8948-bfd9405570de</x:v>
      </x:c>
      <x:c r="K124" s="495" t="n">
        <x:v>6</x:v>
      </x:c>
      <x:c r="L124" s="335" t="str">
        <x:v>-6</x:v>
      </x:c>
      <x:c r="M124" s="335" t="str">
        <x:v>https://www.sec.gov/Archives/edgar/data/1341439/000119312526389274/orcl-20260831.htm</x:v>
      </x:c>
      <x:c r="N124" s="335" t="str">
        <x:v>Checked balance sheet / cash-flow statement</x:v>
      </x:c>
      <x:c r="O124" s="335" t="str">
        <x:v>Exact tag, USD duration, exact start and end dates, no dimensions</x:v>
      </x:c>
      <x:c r="P124" s="335" t="str">
        <x:v>None (consolidated total)</x:v>
      </x:c>
      <x:c r="Q124" s="366"/>
      <x:c r="R124" s="319" t="str">
        <x:v>USD</x:v>
      </x:c>
    </x:row>
    <x:row r="125" ht="86" customHeight="1">
      <x:c r="A125" s="325" t="str">
        <x:v>Ratio input: Capital expenditures · prior year to date</x:v>
      </x:c>
      <x:c r="B125" s="496" t="n">
        <x:v>8502000000</x:v>
      </x:c>
      <x:c r="C125" s="491" t="str">
        <x:v>Capital expenditures · prior year to date</x:v>
      </x:c>
      <x:c r="D125" s="363" t="d">
        <x:v>2025-06-01T00:00:00.000Z</x:v>
      </x:c>
      <x:c r="E125" s="363" t="d">
        <x:v>2025-08-31T00:00:00.000Z</x:v>
      </x:c>
      <x:c r="F125" s="491" t="str">
        <x:v>10-Q</x:v>
      </x:c>
      <x:c r="G125" s="363" t="d">
        <x:v>2026-09-11T00:00:00.000Z</x:v>
      </x:c>
      <x:c r="H125" s="491" t="str">
        <x:v>0001193125-26-389274</x:v>
      </x:c>
      <x:c r="I125" s="491" t="str">
        <x:v>us-gaap:PaymentsToAcquirePropertyPlantAndEquipment</x:v>
      </x:c>
      <x:c r="J125" s="491" t="str">
        <x:v>C_a0bdcecc-b2bf-40f4-8106-f50197737571</x:v>
      </x:c>
      <x:c r="K125" s="497" t="n">
        <x:v>6</x:v>
      </x:c>
      <x:c r="L125" s="491" t="str">
        <x:v>-6</x:v>
      </x:c>
      <x:c r="M125" s="491" t="str">
        <x:v>https://www.sec.gov/Archives/edgar/data/1341439/000119312526389274/orcl-20260831.htm</x:v>
      </x:c>
      <x:c r="N125" s="491" t="str">
        <x:v>Checked balance sheet / cash-flow statement</x:v>
      </x:c>
      <x:c r="O125" s="491" t="str">
        <x:v>Exact tag, USD duration, exact start and end dates, no dimensions</x:v>
      </x:c>
      <x:c r="P125" s="491" t="str">
        <x:v>None (consolidated total)</x:v>
      </x:c>
      <x:c r="Q125" s="367"/>
      <x:c r="R125" s="321" t="str">
        <x:v>USD</x:v>
      </x:c>
    </x:row>
    <x:row r="128" ht="70" customHeight="1">
      <x:c r="A128" s="316" t="str">
        <x:v>Key</x:v>
      </x:c>
      <x:c r="B128" s="332" t="str">
        <x:v>USD millions, except ratios (x)</x:v>
      </x:c>
      <x:c r="C128" s="332" t="str">
        <x:v>Reported input</x:v>
      </x:c>
      <x:c r="D128" s="332" t="str">
        <x:v>Period start</x:v>
      </x:c>
      <x:c r="E128" s="332" t="str">
        <x:v>Period end / as of</x:v>
      </x:c>
      <x:c r="F128" s="332" t="str">
        <x:v>Form</x:v>
      </x:c>
      <x:c r="G128" s="332" t="str">
        <x:v>Filed</x:v>
      </x:c>
      <x:c r="H128" s="332" t="str">
        <x:v>Accession</x:v>
      </x:c>
      <x:c r="I128" s="332" t="str">
        <x:v>Tag</x:v>
      </x:c>
      <x:c r="J128" s="332" t="str">
        <x:v>Context ID</x:v>
      </x:c>
      <x:c r="K128" s="332" t="str">
        <x:v>Scale</x:v>
      </x:c>
      <x:c r="L128" s="332" t="str">
        <x:v>Decimals</x:v>
      </x:c>
      <x:c r="M128" s="332" t="str">
        <x:v>Source</x:v>
      </x:c>
      <x:c r="N128" s="332" t="str">
        <x:v>Filing location</x:v>
      </x:c>
      <x:c r="O128" s="332" t="str">
        <x:v>Finding / Unavailable reason</x:v>
      </x:c>
      <x:c r="P128" s="332" t="str">
        <x:v>Dimensions</x:v>
      </x:c>
      <x:c r="Q128" s="332" t="str">
        <x:v>Reviewed source SHA256</x:v>
      </x:c>
      <x:c r="R128" s="317" t="str">
        <x:v>Unit and selection rule</x:v>
      </x:c>
    </x:row>
    <x:row r="129" ht="70" customHeight="1">
      <x:c r="A129" s="324" t="str">
        <x:v>Cash and cash equivalents</x:v>
      </x:c>
      <x:c r="B129" s="494" t="n">
        <x:v>31289000000</x:v>
      </x:c>
      <x:c r="C129" s="335" t="str">
        <x:v>Cash and cash equivalents</x:v>
      </x:c>
      <x:c r="D129" s="498"/>
      <x:c r="E129" s="334" t="d">
        <x:v>2026-05-31T00:00:00.000Z</x:v>
      </x:c>
      <x:c r="F129" s="335" t="str">
        <x:v>10-K</x:v>
      </x:c>
      <x:c r="G129" s="334" t="d">
        <x:v>2026-06-22T00:00:00.000Z</x:v>
      </x:c>
      <x:c r="H129" s="335" t="str">
        <x:v>0001193125-26-277521</x:v>
      </x:c>
      <x:c r="I129" s="335" t="str">
        <x:v>us-gaap:CashAndCashEquivalentsAtCarryingValue</x:v>
      </x:c>
      <x:c r="J129" s="335" t="str">
        <x:v>C_f62bade6-47e1-4441-9bb3-1e534300c2f2</x:v>
      </x:c>
      <x:c r="K129" s="495" t="n">
        <x:v>6</x:v>
      </x:c>
      <x:c r="L129" s="335" t="str">
        <x:v>-6</x:v>
      </x:c>
      <x:c r="M129" s="335" t="str">
        <x:v>https://www.sec.gov/Archives/edgar/data/1341439/000119312526277521/orcl-20260531.htm</x:v>
      </x:c>
      <x:c r="N129" s="335" t="str">
        <x:v>10-K balance sheet p. 64; cash/restricted cash policy p. 70</x:v>
      </x:c>
      <x:c r="O129" s="335" t="str">
        <x:v>USD instant at the balance-sheet date, from the latest original 10-K or 10-Q itself</x:v>
      </x:c>
      <x:c r="P129" s="335" t="str">
        <x:v>None (consolidated total)</x:v>
      </x:c>
      <x:c r="Q129" s="335" t="str">
        <x:v>61a353e222f961e516bb3e8eed024a5245cfadbf30e3cc16a4a520129f1bdf63</x:v>
      </x:c>
      <x:c r="R129" s="319" t="str">
        <x:v>USD</x:v>
      </x:c>
    </x:row>
    <x:row r="130" ht="70" customHeight="1">
      <x:c r="A130" s="324" t="str">
        <x:v>Current assets</x:v>
      </x:c>
      <x:c r="B130" s="494" t="n">
        <x:v>46567000000</x:v>
      </x:c>
      <x:c r="C130" s="335" t="str">
        <x:v>Current assets</x:v>
      </x:c>
      <x:c r="D130" s="498"/>
      <x:c r="E130" s="334" t="d">
        <x:v>2026-05-31T00:00:00.000Z</x:v>
      </x:c>
      <x:c r="F130" s="335" t="str">
        <x:v>10-K</x:v>
      </x:c>
      <x:c r="G130" s="334" t="d">
        <x:v>2026-06-22T00:00:00.000Z</x:v>
      </x:c>
      <x:c r="H130" s="335" t="str">
        <x:v>0001193125-26-277521</x:v>
      </x:c>
      <x:c r="I130" s="335" t="str">
        <x:v>us-gaap:AssetsCurrent</x:v>
      </x:c>
      <x:c r="J130" s="335" t="str">
        <x:v>C_f62bade6-47e1-4441-9bb3-1e534300c2f2</x:v>
      </x:c>
      <x:c r="K130" s="495" t="n">
        <x:v>6</x:v>
      </x:c>
      <x:c r="L130" s="335" t="str">
        <x:v>-6</x:v>
      </x:c>
      <x:c r="M130" s="335" t="str">
        <x:v>https://www.sec.gov/Archives/edgar/data/1341439/000119312526277521/orcl-20260531.htm</x:v>
      </x:c>
      <x:c r="N130" s="335" t="str">
        <x:v>10-K balance sheet p. 64; cash/restricted cash policy p. 70</x:v>
      </x:c>
      <x:c r="O130" s="335" t="str">
        <x:v>USD instant at the balance-sheet date, from the latest original 10-K or 10-Q itself</x:v>
      </x:c>
      <x:c r="P130" s="335" t="str">
        <x:v>None (consolidated total)</x:v>
      </x:c>
      <x:c r="Q130" s="335" t="str">
        <x:v>61a353e222f961e516bb3e8eed024a5245cfadbf30e3cc16a4a520129f1bdf63</x:v>
      </x:c>
      <x:c r="R130" s="319" t="str">
        <x:v>USD</x:v>
      </x:c>
    </x:row>
    <x:row r="131" ht="70" customHeight="1">
      <x:c r="A131" s="324" t="str">
        <x:v>Current liabilities</x:v>
      </x:c>
      <x:c r="B131" s="494" t="n">
        <x:v>41764000000</x:v>
      </x:c>
      <x:c r="C131" s="335" t="str">
        <x:v>Current liabilities</x:v>
      </x:c>
      <x:c r="D131" s="498"/>
      <x:c r="E131" s="334" t="d">
        <x:v>2026-05-31T00:00:00.000Z</x:v>
      </x:c>
      <x:c r="F131" s="335" t="str">
        <x:v>10-K</x:v>
      </x:c>
      <x:c r="G131" s="334" t="d">
        <x:v>2026-06-22T00:00:00.000Z</x:v>
      </x:c>
      <x:c r="H131" s="335" t="str">
        <x:v>0001193125-26-277521</x:v>
      </x:c>
      <x:c r="I131" s="335" t="str">
        <x:v>us-gaap:LiabilitiesCurrent</x:v>
      </x:c>
      <x:c r="J131" s="335" t="str">
        <x:v>C_f62bade6-47e1-4441-9bb3-1e534300c2f2</x:v>
      </x:c>
      <x:c r="K131" s="495" t="n">
        <x:v>6</x:v>
      </x:c>
      <x:c r="L131" s="335" t="str">
        <x:v>-6</x:v>
      </x:c>
      <x:c r="M131" s="335" t="str">
        <x:v>https://www.sec.gov/Archives/edgar/data/1341439/000119312526277521/orcl-20260531.htm</x:v>
      </x:c>
      <x:c r="N131" s="335" t="str">
        <x:v>10-K balance sheet p. 64; cash/restricted cash policy p. 70</x:v>
      </x:c>
      <x:c r="O131" s="335" t="str">
        <x:v>USD instant at the balance-sheet date, from the latest original 10-K or 10-Q itself</x:v>
      </x:c>
      <x:c r="P131" s="335" t="str">
        <x:v>None (consolidated total)</x:v>
      </x:c>
      <x:c r="Q131" s="335" t="str">
        <x:v>61a353e222f961e516bb3e8eed024a5245cfadbf30e3cc16a4a520129f1bdf63</x:v>
      </x:c>
      <x:c r="R131" s="319" t="str">
        <x:v>USD</x:v>
      </x:c>
    </x:row>
    <x:row r="132" ht="70" customHeight="1">
      <x:c r="A132" s="324" t="str">
        <x:v>Notes payable and other borrowings, current</x:v>
      </x:c>
      <x:c r="B132" s="494" t="n">
        <x:v>7199000000</x:v>
      </x:c>
      <x:c r="C132" s="335" t="str">
        <x:v>Notes payable and other borrowings, current</x:v>
      </x:c>
      <x:c r="D132" s="498"/>
      <x:c r="E132" s="334" t="d">
        <x:v>2026-05-31T00:00:00.000Z</x:v>
      </x:c>
      <x:c r="F132" s="335" t="str">
        <x:v>10-K</x:v>
      </x:c>
      <x:c r="G132" s="334" t="d">
        <x:v>2026-06-22T00:00:00.000Z</x:v>
      </x:c>
      <x:c r="H132" s="335" t="str">
        <x:v>0001193125-26-277521</x:v>
      </x:c>
      <x:c r="I132" s="335" t="str">
        <x:v>us-gaap:NotesPayableCurrent</x:v>
      </x:c>
      <x:c r="J132" s="335" t="str">
        <x:v>C_f62bade6-47e1-4441-9bb3-1e534300c2f2</x:v>
      </x:c>
      <x:c r="K132" s="495" t="n">
        <x:v>6</x:v>
      </x:c>
      <x:c r="L132" s="335" t="str">
        <x:v>-6</x:v>
      </x:c>
      <x:c r="M132" s="335" t="str">
        <x:v>https://www.sec.gov/Archives/edgar/data/1341439/000119312526277521/orcl-20260531.htm</x:v>
      </x:c>
      <x:c r="N132" s="335" t="str">
        <x:v>10-K balance sheet p. 64; cash/restricted cash policy p. 70</x:v>
      </x:c>
      <x:c r="O132" s="335" t="str">
        <x:v>USD instant at the balance-sheet date, from the latest original 10-K or 10-Q itself</x:v>
      </x:c>
      <x:c r="P132" s="335" t="str">
        <x:v>None (consolidated total)</x:v>
      </x:c>
      <x:c r="Q132" s="335" t="str">
        <x:v>61a353e222f961e516bb3e8eed024a5245cfadbf30e3cc16a4a520129f1bdf63</x:v>
      </x:c>
      <x:c r="R132" s="319" t="str">
        <x:v>USD</x:v>
      </x:c>
    </x:row>
    <x:row r="133" ht="70" customHeight="1">
      <x:c r="A133" s="324" t="str">
        <x:v>Notes payable and other borrowings, non-current</x:v>
      </x:c>
      <x:c r="B133" s="494" t="n">
        <x:v>122342000000</x:v>
      </x:c>
      <x:c r="C133" s="335" t="str">
        <x:v>Notes payable and other borrowings, non-current</x:v>
      </x:c>
      <x:c r="D133" s="498"/>
      <x:c r="E133" s="334" t="d">
        <x:v>2026-05-31T00:00:00.000Z</x:v>
      </x:c>
      <x:c r="F133" s="335" t="str">
        <x:v>10-K</x:v>
      </x:c>
      <x:c r="G133" s="334" t="d">
        <x:v>2026-06-22T00:00:00.000Z</x:v>
      </x:c>
      <x:c r="H133" s="335" t="str">
        <x:v>0001193125-26-277521</x:v>
      </x:c>
      <x:c r="I133" s="335" t="str">
        <x:v>us-gaap:LongTermNotesAndLoans</x:v>
      </x:c>
      <x:c r="J133" s="335" t="str">
        <x:v>C_f62bade6-47e1-4441-9bb3-1e534300c2f2</x:v>
      </x:c>
      <x:c r="K133" s="495" t="n">
        <x:v>6</x:v>
      </x:c>
      <x:c r="L133" s="335" t="str">
        <x:v>-6</x:v>
      </x:c>
      <x:c r="M133" s="335" t="str">
        <x:v>https://www.sec.gov/Archives/edgar/data/1341439/000119312526277521/orcl-20260531.htm</x:v>
      </x:c>
      <x:c r="N133" s="335" t="str">
        <x:v>10-K balance sheet p. 64; cash/restricted cash policy p. 70</x:v>
      </x:c>
      <x:c r="O133" s="335" t="str">
        <x:v>USD instant at the balance-sheet date, from the latest original 10-K or 10-Q itself</x:v>
      </x:c>
      <x:c r="P133" s="335" t="str">
        <x:v>None (consolidated total)</x:v>
      </x:c>
      <x:c r="Q133" s="335" t="str">
        <x:v>61a353e222f961e516bb3e8eed024a5245cfadbf30e3cc16a4a520129f1bdf63</x:v>
      </x:c>
      <x:c r="R133" s="319" t="str">
        <x:v>USD</x:v>
      </x:c>
    </x:row>
    <x:row r="134" ht="70" customHeight="1">
      <x:c r="A134" s="324" t="str">
        <x:v>Operating cash flow · fiscal year</x:v>
      </x:c>
      <x:c r="B134" s="494" t="n">
        <x:v>31977000000</x:v>
      </x:c>
      <x:c r="C134" s="335" t="str">
        <x:v>Operating cash flow · fiscal year</x:v>
      </x:c>
      <x:c r="D134" s="334" t="d">
        <x:v>2025-06-01T00:00:00.000Z</x:v>
      </x:c>
      <x:c r="E134" s="334" t="d">
        <x:v>2026-05-31T00:00:00.000Z</x:v>
      </x:c>
      <x:c r="F134" s="335" t="str">
        <x:v>10-K</x:v>
      </x:c>
      <x:c r="G134" s="334" t="d">
        <x:v>2026-06-22T00:00:00.000Z</x:v>
      </x:c>
      <x:c r="H134" s="335" t="str">
        <x:v>0001193125-26-277521</x:v>
      </x:c>
      <x:c r="I134" s="335" t="str">
        <x:v>us-gaap:NetCashProvidedByUsedInOperatingActivities</x:v>
      </x:c>
      <x:c r="J134" s="335" t="str">
        <x:v>C_24317829-d237-4c29-bae3-2e46dd1ae625</x:v>
      </x:c>
      <x:c r="K134" s="495" t="n">
        <x:v>6</x:v>
      </x:c>
      <x:c r="L134" s="335" t="str">
        <x:v>-6</x:v>
      </x:c>
      <x:c r="M134" s="335" t="str">
        <x:v>https://www.sec.gov/Archives/edgar/data/1341439/000119312526277521/orcl-20260531.htm</x:v>
      </x:c>
      <x:c r="N134" s="335" t="str">
        <x:v>Annual cash-flow statement</x:v>
      </x:c>
      <x:c r="O134" s="335" t="str">
        <x:v>Exact tag, USD duration, exact start and end dates, no dimensions</x:v>
      </x:c>
      <x:c r="P134" s="335" t="str">
        <x:v>None (consolidated total)</x:v>
      </x:c>
      <x:c r="Q134" s="366" t="str"/>
      <x:c r="R134" s="319" t="str">
        <x:v>USD</x:v>
      </x:c>
    </x:row>
    <x:row r="135" ht="70" customHeight="1">
      <x:c r="A135" s="325" t="str">
        <x:v>Capital expenditures · fiscal year</x:v>
      </x:c>
      <x:c r="B135" s="496" t="n">
        <x:v>55663000000</x:v>
      </x:c>
      <x:c r="C135" s="491" t="str">
        <x:v>Capital expenditures · fiscal year</x:v>
      </x:c>
      <x:c r="D135" s="363" t="d">
        <x:v>2025-06-01T00:00:00.000Z</x:v>
      </x:c>
      <x:c r="E135" s="363" t="d">
        <x:v>2026-05-31T00:00:00.000Z</x:v>
      </x:c>
      <x:c r="F135" s="491" t="str">
        <x:v>10-K</x:v>
      </x:c>
      <x:c r="G135" s="363" t="d">
        <x:v>2026-06-22T00:00:00.000Z</x:v>
      </x:c>
      <x:c r="H135" s="491" t="str">
        <x:v>0001193125-26-277521</x:v>
      </x:c>
      <x:c r="I135" s="491" t="str">
        <x:v>us-gaap:PaymentsToAcquirePropertyPlantAndEquipment</x:v>
      </x:c>
      <x:c r="J135" s="491" t="str">
        <x:v>C_24317829-d237-4c29-bae3-2e46dd1ae625</x:v>
      </x:c>
      <x:c r="K135" s="497" t="n">
        <x:v>6</x:v>
      </x:c>
      <x:c r="L135" s="491" t="str">
        <x:v>-6</x:v>
      </x:c>
      <x:c r="M135" s="491" t="str">
        <x:v>https://www.sec.gov/Archives/edgar/data/1341439/000119312526277521/orcl-20260531.htm</x:v>
      </x:c>
      <x:c r="N135" s="491" t="str">
        <x:v>Annual cash-flow statement</x:v>
      </x:c>
      <x:c r="O135" s="491" t="str">
        <x:v>Exact tag, USD duration, exact start and end dates, no dimensions</x:v>
      </x:c>
      <x:c r="P135" s="491" t="str">
        <x:v>None (consolidated total)</x:v>
      </x:c>
      <x:c r="Q135" s="367" t="str"/>
      <x:c r="R135" s="321" t="str">
        <x:v>USD</x:v>
      </x:c>
    </x:row>
  </x:sheetData>
  <x:hyperlinks>
    <x:hyperlink ref="M2" ns1:id="rIdSource1"/>
    <x:hyperlink ref="M3" ns1:id="rIdSource2"/>
    <x:hyperlink ref="M4" ns1:id="rIdSource3"/>
    <x:hyperlink ref="M5" ns1:id="rIdSource4"/>
    <x:hyperlink ref="M6" ns1:id="rIdSource5"/>
    <x:hyperlink ref="M7" ns1:id="rIdSource6"/>
    <x:hyperlink ref="M8" ns1:id="rIdSource7"/>
    <x:hyperlink ref="M9" ns1:id="rIdSource8"/>
    <x:hyperlink ref="M10" ns1:id="rIdSource9"/>
    <x:hyperlink ref="M11" ns1:id="rIdSource10"/>
    <x:hyperlink ref="M12" ns1:id="rIdSource11"/>
    <x:hyperlink ref="M13" ns1:id="rIdSource12"/>
    <x:hyperlink ref="M14" ns1:id="rIdSource13"/>
    <x:hyperlink ref="M15" ns1:id="rIdSource14"/>
    <x:hyperlink ref="M16" ns1:id="rIdSource15"/>
    <x:hyperlink ref="M17" ns1:id="rIdSource16"/>
    <x:hyperlink ref="M18" ns1:id="rIdSource17"/>
    <x:hyperlink ref="M19" ns1:id="rIdSource18"/>
    <x:hyperlink ref="M20" ns1:id="rIdSource19"/>
    <x:hyperlink ref="M21" ns1:id="rIdSource20"/>
    <x:hyperlink ref="M22" ns1:id="rIdSource21"/>
    <x:hyperlink ref="M23" ns1:id="rIdSource22"/>
    <x:hyperlink ref="M24" ns1:id="rIdSource23"/>
    <x:hyperlink ref="M25" ns1:id="rIdSource24"/>
    <x:hyperlink ref="M26" ns1:id="rIdSource25"/>
    <x:hyperlink ref="M27" ns1:id="rIdSource26"/>
    <x:hyperlink ref="M28" ns1:id="rIdSource27"/>
    <x:hyperlink ref="M29" ns1:id="rIdSource28"/>
    <x:hyperlink ref="M30" ns1:id="rIdSource29"/>
    <x:hyperlink ref="M31" ns1:id="rIdSource30"/>
    <x:hyperlink ref="M32" ns1:id="rIdSource31"/>
    <x:hyperlink ref="M33" ns1:id="rIdSource32"/>
    <x:hyperlink ref="M34" ns1:id="rIdSource33"/>
    <x:hyperlink ref="M35" ns1:id="rIdSource34"/>
    <x:hyperlink ref="M36" ns1:id="rIdSource35"/>
    <x:hyperlink ref="M37" ns1:id="rIdSource36"/>
    <x:hyperlink ref="M38" ns1:id="rIdSource37"/>
    <x:hyperlink ref="M39" ns1:id="rIdSource38"/>
    <x:hyperlink ref="M40" ns1:id="rIdSource39"/>
    <x:hyperlink ref="M41" ns1:id="rIdSource40"/>
    <x:hyperlink ref="M42" ns1:id="rIdSource41"/>
    <x:hyperlink ref="M43" ns1:id="rIdSource42"/>
    <x:hyperlink ref="M44" ns1:id="rIdSource43"/>
    <x:hyperlink ref="M45" ns1:id="rIdSource44"/>
    <x:hyperlink ref="M46" ns1:id="rIdSource45"/>
    <x:hyperlink ref="M47" ns1:id="rIdSource46"/>
    <x:hyperlink ref="M48" ns1:id="rIdSource47"/>
    <x:hyperlink ref="M49" ns1:id="rIdSource48"/>
    <x:hyperlink ref="M50" ns1:id="rIdSource49"/>
    <x:hyperlink ref="M51" ns1:id="rIdSource50"/>
    <x:hyperlink ref="M52" ns1:id="rIdSource51"/>
    <x:hyperlink ref="M53" ns1:id="rIdSource52"/>
    <x:hyperlink ref="M54" ns1:id="rIdSource53"/>
    <x:hyperlink ref="M55" ns1:id="rIdSource54"/>
    <x:hyperlink ref="M56" ns1:id="rIdSource55"/>
    <x:hyperlink ref="M57" ns1:id="rIdSource56"/>
    <x:hyperlink ref="M58" ns1:id="rIdSource57"/>
    <x:hyperlink ref="M59" ns1:id="rIdSource58"/>
    <x:hyperlink ref="M60" ns1:id="rIdSource59"/>
    <x:hyperlink ref="M61" ns1:id="rIdSource60"/>
    <x:hyperlink ref="M62" ns1:id="rIdSource61"/>
    <x:hyperlink ref="M63" ns1:id="rIdSource62"/>
    <x:hyperlink ref="M64" ns1:id="rIdSource63"/>
    <x:hyperlink ref="M65" ns1:id="rIdSource64"/>
    <x:hyperlink ref="M66" ns1:id="rIdSource65"/>
    <x:hyperlink ref="M67" ns1:id="rIdSource66"/>
    <x:hyperlink ref="M68" ns1:id="rIdSource67"/>
    <x:hyperlink ref="M69" ns1:id="rIdSource68"/>
    <x:hyperlink ref="M70" ns1:id="rIdSource69"/>
    <x:hyperlink ref="M71" ns1:id="rIdSource70"/>
    <x:hyperlink ref="M72" ns1:id="rIdSource71"/>
    <x:hyperlink ref="M73" ns1:id="rIdSource72"/>
    <x:hyperlink ref="M74" ns1:id="rIdSource73"/>
    <x:hyperlink ref="M75" ns1:id="rIdSource74"/>
    <x:hyperlink ref="M76" ns1:id="rIdSource75"/>
    <x:hyperlink ref="M77" ns1:id="rIdSource76"/>
    <x:hyperlink ref="M78" ns1:id="rIdSource77"/>
    <x:hyperlink ref="M79" ns1:id="rIdSource78"/>
    <x:hyperlink ref="M80" ns1:id="rIdSource79"/>
    <x:hyperlink ref="M81" ns1:id="rIdSource80"/>
    <x:hyperlink ref="M82" ns1:id="rIdSource81"/>
    <x:hyperlink ref="M83" ns1:id="rIdSource82"/>
    <x:hyperlink ref="M84" ns1:id="rIdSource83"/>
    <x:hyperlink ref="M85" ns1:id="rIdSource84"/>
    <x:hyperlink ref="M86" ns1:id="rIdSource85"/>
    <x:hyperlink ref="M90" ns1:id="rIdSource86"/>
    <x:hyperlink ref="M91" ns1:id="rIdSource87"/>
    <x:hyperlink ref="M92" ns1:id="rIdSource88"/>
    <x:hyperlink ref="M93" ns1:id="rIdSource89"/>
    <x:hyperlink ref="M94" ns1:id="rIdSource90"/>
    <x:hyperlink ref="M95" ns1:id="rIdSource91"/>
    <x:hyperlink ref="M96" ns1:id="rIdSource92"/>
    <x:hyperlink ref="M97" ns1:id="rIdSource93"/>
    <x:hyperlink ref="M98" ns1:id="rIdSource94"/>
    <x:hyperlink ref="M99" ns1:id="rIdSource95"/>
    <x:hyperlink ref="M100" ns1:id="rIdSource96"/>
    <x:hyperlink ref="M103" ns1:id="rIdSource97"/>
    <x:hyperlink ref="M104" ns1:id="rIdSource98"/>
    <x:hyperlink ref="M105" ns1:id="rIdSource99"/>
    <x:hyperlink ref="M106" ns1:id="rIdSource100"/>
    <x:hyperlink ref="M107" ns1:id="rIdSource101"/>
    <x:hyperlink ref="M108" ns1:id="rIdSource102"/>
    <x:hyperlink ref="M109" ns1:id="rIdSource103"/>
    <x:hyperlink ref="M110" ns1:id="rIdSource104"/>
    <x:hyperlink ref="M111" ns1:id="rIdSource105"/>
    <x:hyperlink ref="M115" ns1:id="rIdSource106"/>
    <x:hyperlink ref="M116" ns1:id="rIdSource107"/>
    <x:hyperlink ref="M117" ns1:id="rIdSource108"/>
    <x:hyperlink ref="M118" ns1:id="rIdSource109"/>
    <x:hyperlink ref="M119" ns1:id="rIdSource110"/>
    <x:hyperlink ref="M120" ns1:id="rIdSource111"/>
    <x:hyperlink ref="M121" ns1:id="rIdSource112"/>
    <x:hyperlink ref="M122" ns1:id="rIdSource113"/>
    <x:hyperlink ref="M123" ns1:id="rIdSource114"/>
    <x:hyperlink ref="M124" ns1:id="rIdSource115"/>
    <x:hyperlink ref="M125" ns1:id="rIdSource116"/>
    <x:hyperlink ref="M129" ns1:id="rIdSource117"/>
    <x:hyperlink ref="M130" ns1:id="rIdSource118"/>
    <x:hyperlink ref="M131" ns1:id="rIdSource119"/>
    <x:hyperlink ref="M132" ns1:id="rIdSource120"/>
    <x:hyperlink ref="M133" ns1:id="rIdSource121"/>
    <x:hyperlink ref="M134" ns1:id="rIdSource122"/>
    <x:hyperlink ref="M135" ns1:id="rIdSource123"/>
  </x:hyperlinks>
  <x:pageMargins left="0.7" right="0.7" top="0.75" bottom="0.75" header="0.3" footer="0.3"/>
</x:worksheet>
</file>

<file path=xl/worksheets/sheet10.xml><?xml version="1.0" encoding="utf-8"?>
<x:worksheet xmlns:ns1="http://schemas.openxmlformats.org/officeDocument/2006/relationships" xmlns:x="http://schemas.openxmlformats.org/spreadsheetml/2006/main">
  <x:sheetViews>
    <x:sheetView showGridLines="0" workbookViewId="0">
      <x:pane ySplit="1" topLeftCell="A2" activePane="bottomLeft" state="frozen"/>
    </x:sheetView>
  </x:sheetViews>
  <x:sheetFormatPr defaultRowHeight="15"/>
  <x:cols>
    <x:col min="1" max="1" width="33" hidden="0" customWidth="1"/>
    <x:col min="2" max="2" width="100" hidden="0" customWidth="1"/>
    <x:col min="3" max="3" width="65" hidden="0" customWidth="1"/>
  </x:cols>
  <x:sheetData>
    <x:row r="1" ht="60" customHeight="1">
      <x:c r="A1" s="380" t="str">
        <x:v>Topic</x:v>
      </x:c>
      <x:c r="B1" s="381" t="str">
        <x:v>Explanation</x:v>
      </x:c>
      <x:c r="C1" s="396" t="str">
        <x:v>Source</x:v>
      </x:c>
    </x:row>
    <x:row r="2" ht="85" customHeight="1">
      <x:c r="A2" s="385" t="str">
        <x:v>Snapshot</x:v>
      </x:c>
      <x:c r="B2" s="387" t="str">
        <x:v>Cash review checked October 15, 2026; interest and index consistency checked October 16; funding interpretation re-checked October 17 against the August 31 principal calendar. Cash flows remain June 1–August 31, 2026. Not live data or investment advice.</x:v>
      </x:c>
      <x:c r="C2" s="481"/>
    </x:row>
    <x:row r="3" ht="60" customHeight="1">
      <x:c r="A3" s="385" t="str">
        <x:v>Workbook</x:v>
      </x:c>
      <x:c r="B3" s="387" t="str">
        <x:v>Repayment review pairs obligations with resource evidence and explicit gaps. Cash analysis calculates historical contributions. Payment dates keeps contracts on their own bases. Data retains reported inputs and sources.</x:v>
      </x:c>
      <x:c r="C3" s="481"/>
    </x:row>
    <x:row r="4" ht="60" customHeight="1">
      <x:c r="A4" s="385" t="str">
        <x:v>Colors and units</x:v>
      </x:c>
      <x:c r="B4" s="387" t="str">
        <x:v>Arial 10. Dollar inputs are full USD displayed in millions. Blue inputs, green cross-sheet links, black same-sheet calculations. OCF less specified prepayments stays black because it subtracts two cells on Cash analysis. A dash is a reported zero; blank capacity is Unavailable.</x:v>
      </x:c>
      <x:c r="C4" s="481"/>
    </x:row>
    <x:row r="5" ht="60" customHeight="1">
      <x:c r="A5" s="385" t="str">
        <x:v>Missing inputs</x:v>
      </x:c>
      <x:c r="B5" s="387" t="str">
        <x:v>A missing numeric input produces #N/A in dependent calculations rather than zero. Data is a frozen source record, not forecast assumptions.</x:v>
      </x:c>
      <x:c r="C5" s="481"/>
    </x:row>
    <x:row r="6" ht="60" customHeight="1">
      <x:c r="A6" s="385" t="str">
        <x:v>Cash basis</x:v>
      </x:c>
      <x:c r="B6" s="387" t="str">
        <x:v>Ending total cash of 38.934B includes restricted cash. Balance-sheet cash is 36.369B; the 2.565B difference is derived from these exact rounded-million totals.</x:v>
      </x:c>
      <x:c r="C6" s="398" t="str">
        <x:v>https://www.sec.gov/Archives/edgar/data/1341439/000119312526389274/orcl-20260831.htm</x:v>
      </x:c>
    </x:row>
    <x:row r="7" ht="60" customHeight="1">
      <x:c r="A7" s="385" t="str">
        <x:v>Customer prepayments</x:v>
      </x:c>
      <x:c r="B7" s="387" t="str">
        <x:v>11.363B is the specified cash-flow contribution within OCF. Subtracting it does not isolate recurring cash flow or remove future service costs.</x:v>
      </x:c>
      <x:c r="C7" s="398" t="str">
        <x:v>https://www.sec.gov/Archives/edgar/data/1341439/000119312526389274/orcl-20260831.htm</x:v>
      </x:c>
    </x:row>
    <x:row r="8" ht="60" customHeight="1">
      <x:c r="A8" s="385" t="str">
        <x:v>Commercial paper</x:v>
      </x:c>
      <x:c r="B8" s="387" t="str">
        <x:v>Cash-flow CP repayments show zero; MD&amp;A describes about 1.1B. Grouped debt repayments of 4.202B are counted once; classification is unresolved.</x:v>
      </x:c>
      <x:c r="C8" s="398" t="str">
        <x:v>https://www.sec.gov/Archives/edgar/data/1341439/000119312526389274/orcl-20260831.htm</x:v>
      </x:c>
    </x:row>
    <x:row r="9" ht="60" customHeight="1">
      <x:c r="A9" s="385" t="str">
        <x:v>Agreement review</x:v>
      </x:c>
      <x:c r="B9" s="387" t="str">
        <x:v>Draws require accurate representations and no default. Commitments can change or terminate. Extensions require lender consent and conditions. The covenant uses contract-defined EBITDA and cash interest net of cash interest income, including specified adjustments. A generic operating-income/interest ratio cannot establish compliance. August drawn amounts, drawable capacity and covenant headroom are Unavailable. The May 31 10-K reports no drawings and compliance then. Commercial-paper capacity is not added to the revolver.</x:v>
      </x:c>
      <x:c r="C9" s="398" t="str">
        <x:v>https://www.sec.gov/Archives/edgar/data/1341439/000119312526101045/orcl-ex10_17.htm</x:v>
      </x:c>
    </x:row>
    <x:row r="10" ht="60" customHeight="1">
      <x:c r="A10" s="385" t="str">
        <x:v>Agreement definitions</x:v>
      </x:c>
      <x:c r="B10" s="387" t="str">
        <x:v>Contract EBITDA includes specified addbacks and exclusions. Cash interest includes finance-lease interest and specified swap costs, net of cash interest income. Generic ratios do not establish compliance.</x:v>
      </x:c>
      <x:c r="C10" s="398" t="str">
        <x:v>https://www.sec.gov/Archives/edgar/data/1341439/000119312526101045/orcl-ex10_17.htm</x:v>
      </x:c>
    </x:row>
    <x:row r="11" ht="60" customHeight="1">
      <x:c r="A11" s="385" t="str">
        <x:v>8-K event Sep 10, filed Sep 10</x:v>
      </x:c>
      <x:c r="B11" s="387" t="str">
        <x:v>Accession 0001193125-26-387905, main document and Ex.99.1 checked. Reports the same quarter equity program and dividends, not another equity inflow or later borrowing.</x:v>
      </x:c>
      <x:c r="C11" s="398" t="str">
        <x:v>https://www.sec.gov/Archives/edgar/data/1341439/000119312526387905/orcl-ex99_1.htm</x:v>
      </x:c>
    </x:row>
    <x:row r="12" ht="60" customHeight="1">
      <x:c r="A12" s="385" t="str">
        <x:v>8-K event Sep 12, filed Sep 14</x:v>
      </x:c>
      <x:c r="B12" s="387" t="str">
        <x:v>Accession 0001193125-26-389753, main document and Ex.99.1 checked. Insider trading-plan cancellation; no corporate financing event identified.</x:v>
      </x:c>
      <x:c r="C12" s="398" t="str">
        <x:v>https://www.sec.gov/Archives/edgar/data/1341439/000119312526389753/d20034dex991.htm</x:v>
      </x:c>
    </x:row>
    <x:row r="13" ht="115" customHeight="1">
      <x:c r="A13" s="385" t="str">
        <x:v>Later filing scope</x:v>
      </x:c>
      <x:c r="B13" s="387" t="str">
        <x:v>SEC financing-candidate index checked through October 15, 2026; only the two September 8-Ks are listed and their documents/exhibits were reviewed. Later or mismatched filings remain Not checked.</x:v>
      </x:c>
      <x:c r="C13" s="481"/>
    </x:row>
    <x:row r="14" ht="115" customHeight="1">
      <x:c r="A14" s="385" t="str">
        <x:v>Repayment limits</x:v>
      </x:c>
      <x:c r="B14" s="387" t="str">
        <x:v>Remaining August debt principal dates, drawable credit and future operating cash generation are Unavailable. No overall future repayment surplus or shortfall can be established.</x:v>
      </x:c>
      <x:c r="C14" s="481"/>
    </x:row>
    <x:row r="15" ht="115" customHeight="1">
      <x:c r="A15" s="385" t="str">
        <x:v>Revolver audit</x:v>
      </x:c>
      <x:c r="B15" s="387" t="str">
        <x:v>May 31 undrawn commitment is $10B. Actual drawable capacity is Unavailable at every reviewed date. No saved later disclosure establishes a new amount. Commercial-paper program size is not added to revolver capacity or automatically deducted from it. Revolver terms use seven saved filing/contract documents: the May 31 10-K, August 31 10-Q, March 6 credit agreement, and September 10 and September 14 8-Ks with their exhibits. A separate SEC financing-candidate index check covers August 31 through October 15, 2026. It lists only those two later 8-Ks, whose main documents and exhibits were reviewed. No additional candidate or financing update is established through that cutoff. This is not a complete review of all liability disclosures or a live filing update.</x:v>
      </x:c>
      <x:c r="C15" s="481"/>
    </x:row>
    <x:row r="16" ht="60" customHeight="1">
      <x:c r="A16" s="385" t="str">
        <x:v>Revolver arithmetic</x:v>
      </x:c>
      <x:c r="B16" s="387" t="str">
        <x:v>May 31 undrawn commitment = reported commitment less outstanding advances. This is not a verified drawable amount. March 6 and August 31 undrawn cells stay blank because advances or the current commitment are not established.</x:v>
      </x:c>
      <x:c r="C16" s="481"/>
    </x:row>
    <x:row r="17" ht="115" customHeight="1">
      <x:c r="A17" s="385" t="str">
        <x:v>Historical interest coverage</x:v>
      </x:c>
      <x:c r="B17" s="387" t="str">
        <x:v>TTM reported operating income / TTM reported Interest expense. FY2026 + Q1 FY2027 - Q1 FY2026. Reported operating income is used without adjusted earnings addbacks. This is a historical accrual measure, not future repayment coverage.</x:v>
      </x:c>
      <x:c r="C17" s="398" t="str">
        <x:v>https://github.com/jackconnolly1000-ux/sec-filing-research-terminal/blob/main/docs/oracle_interest_coverage.md</x:v>
      </x:c>
    </x:row>
    <x:row r="18" ht="115" customHeight="1">
      <x:c r="A18" s="385" t="str">
        <x:v>Interest capitalization basis</x:v>
      </x:c>
      <x:c r="B18" s="387" t="str">
        <x:v>Reported interest expense before any interest-income offset. The saved 10-K and 10-Q do not state its capitalized-interest basis. Capitalized interest and total interest incurred are Unavailable; neither is assumed zero or added to or subtracted from expense.</x:v>
      </x:c>
      <x:c r="C18" s="398" t="str">
        <x:v>https://www.sec.gov/Archives/edgar/data/1341439/000119312526277521/orcl-20260531.htm</x:v>
      </x:c>
    </x:row>
    <x:row r="19" ht="115" customHeight="1">
      <x:c r="A19" s="385" t="str">
        <x:v>Interest composition</x:v>
      </x:c>
      <x:c r="B19" s="387" t="str">
        <x:v>MD&amp;A attributes the increase primarily to higher average borrowings, but does not provide a complete interest-line reconciliation. Finance-lease interest is separately disclosed; whether it is already inside the selected line is Unavailable, so it is not added. The annual revenue policy discusses contract-financing interest in non-operating income (expenses), net. The customer-prepayment notes call related interest immaterial, not zero; no exact amount or reconciliation to the selected line is established.</x:v>
      </x:c>
      <x:c r="C19" s="398" t="str">
        <x:v>https://www.sec.gov/Archives/edgar/data/1341439/000119312526277521/orcl-20260531.htm</x:v>
      </x:c>
    </x:row>
    <x:row r="20" ht="115" customHeight="1">
      <x:c r="A20" s="385" t="str">
        <x:v>Borrowing and covenant limits</x:v>
      </x:c>
      <x:c r="B20" s="387" t="str">
        <x:v>Historical accrual earnings coverage, not cash interest coverage or a repayment forecast. Borrowing-only interest coverage is Unavailable because the reported line's full composition is not established. The revolver uses contract-defined Consolidated EBITDA / Consolidated Net Interest Expense, including specified adjustments; this ratio does not establish covenant headroom, current compliance or drawable credit. No adjusted earnings addbacks are made.</x:v>
      </x:c>
      <x:c r="C20" s="398" t="str">
        <x:v>https://www.sec.gov/Archives/edgar/data/1341439/000119312526101045/orcl-ex10_17.htm</x:v>
      </x:c>
    </x:row>
    <x:row r="21" ht="115" customHeight="1">
      <x:c r="A21" s="389" t="str">
        <x:v>Lease interest context</x:v>
      </x:c>
      <x:c r="B21" s="391" t="str">
        <x:v>279M annual + 126M current quarter − 48M comparative = 357M TTM. This separately reported expense is not added to or subtracted from the selected interest line because overlap is not established.</x:v>
      </x:c>
      <x:c r="C21" s="400" t="str">
        <x:v>10-K Leases Note 9 p. 88; 10-Q Leases Note 6 p. 12</x:v>
      </x:c>
    </x:row>
    <x:row r="22" ht="78" customHeight="1">
      <x:c r="A22" s="350" t="str">
        <x:v>Borrowing and leases</x:v>
      </x:c>
      <x:c r="B22" s="353" t="str">
        <x:v>The Borrowing and leases sheet reconciles baseline borrowing and shows lease balances on their own dates. Unavailable means the amount was not established in the checked evidence. Leases never enter baseline debt or its ratios.</x:v>
      </x:c>
      <x:c r="C22" s="354" t="str">
        <x:v>https://github.com/jackconnolly1000-ux/sec-filing-research-terminal/blob/main/docs/borrowing_lease_presentation.md</x:v>
      </x:c>
    </x:row>
    <x:row r="23" ht="86" customHeight="1">
      <x:c r="A23" s="350" t="str">
        <x:v>Ratio reconciliation</x:v>
      </x:c>
      <x:c r="B23" s="353" t="str">
        <x:v>Debt and liquidity shows current ratio, same-filing net debt, TTM OCF/debt and FCF/debt, and historical interest coverage. Denominator definitions and capital-spending bases differ by company. Values are historical, not future funding coverage.</x:v>
      </x:c>
      <x:c r="C23" s="354" t="str">
        <x:v>https://github.com/jackconnolly1000-ux/sec-filing-research-terminal/blob/main/docs/ratio_reconciliation.md</x:v>
      </x:c>
    </x:row>
    <x:row r="24" ht="70" customHeight="1">
      <x:c r="A24" s="499" t="str">
        <x:v>History</x:v>
      </x:c>
      <x:c r="B24" s="500" t="str">
        <x:v>Two dated observations per company. Fiscal-year and TTM flows are overlapping twelve-month windows. Unsupported older Vistra borrowing and dependent ratios remain Unavailable.</x:v>
      </x:c>
      <x:c r="C24" s="501" t="str">
        <x:v>https://github.com/jackconnolly1000-ux/sec-filing-research-terminal/blob/main/docs/company_history.md</x:v>
      </x:c>
    </x:row>
    <x:row r="25" ht="70" customHeight="1">
      <x:c r="A25" s="499" t="str">
        <x:v>Core charts</x:v>
      </x:c>
      <x:c r="B25" s="500" t="str">
        <x:v>Two native charts link to Debt and liquidity and History. Signed capital spending is a use; FCF is the result. Unsupported older Vistra borrowing is omitted, never plotted as zero.</x:v>
      </x:c>
      <x:c r="C25" s="501" t="str">
        <x:v>https://github.com/jackconnolly1000-ux/sec-filing-research-terminal/blob/main/docs/core_charts.md</x:v>
      </x:c>
    </x:row>
    <x:row r="26" ht="76" customHeight="1">
      <x:c r="A26" s="499" t="str">
        <x:v>Workbook guide</x:v>
      </x:c>
      <x:c r="B26" s="500" t="str">
        <x:v>The first sheet lists all workbook tabs and their questions. Core metrics, dated history and common charts agree with the app. Source URLs are full text and open as links when selected.</x:v>
      </x:c>
      <x:c r="C26" s="501" t="str">
        <x:v>https://github.com/jackconnolly1000-ux/sec-filing-research-terminal/blob/main/docs/excel_parity.md</x:v>
      </x:c>
    </x:row>
  </x:sheetData>
  <x:hyperlinks>
    <x:hyperlink ref="C6" ns1:id="rIdSource1"/>
    <x:hyperlink ref="C7" ns1:id="rIdSource2"/>
    <x:hyperlink ref="C8" ns1:id="rIdSource3"/>
    <x:hyperlink ref="C9" ns1:id="rIdSource4"/>
    <x:hyperlink ref="C10" ns1:id="rIdSource5"/>
    <x:hyperlink ref="C11" ns1:id="rIdSource6"/>
    <x:hyperlink ref="C12" ns1:id="rIdSource7"/>
    <x:hyperlink ref="C17" ns1:id="rIdSource8"/>
    <x:hyperlink ref="C18" ns1:id="rIdSource9"/>
    <x:hyperlink ref="C19" ns1:id="rIdSource10"/>
    <x:hyperlink ref="C20" ns1:id="rIdSource11"/>
    <x:hyperlink ref="C22" ns1:id="rIdSource12"/>
    <x:hyperlink ref="C23" ns1:id="rIdSource13"/>
    <x:hyperlink ref="C24" ns1:id="rIdSource14"/>
    <x:hyperlink ref="C25" ns1:id="rIdSource15"/>
    <x:hyperlink ref="C26" ns1:id="rIdSource16"/>
  </x:hyperlinks>
  <x:pageMargins left="0.7" right="0.7" top="0.75" bottom="0.75" header="0.3" footer="0.3"/>
</x:worksheet>
</file>