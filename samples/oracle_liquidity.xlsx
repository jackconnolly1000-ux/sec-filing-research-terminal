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charts/chart4.xml" ContentType="application/vnd.openxmlformats-officedocument.drawingml.chart+xml"/>
  <Override PartName="/xl/drawings/drawing3.xml" ContentType="application/vnd.openxmlformats-officedocument.drawing+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r="http://schemas.openxmlformats.org/officeDocument/2006/relationships" xmlns:x="http://schemas.openxmlformats.org/spreadsheetml/2006/main">
  <x:sheets>
    <x:sheet name="Funding conclusion" sheetId="1" r:id="R1c8af66a62e64dda"/>
    <x:sheet name="Borrowing and leases" sheetId="2" r:id="R4827a278e9a449ae"/>
    <x:sheet name="Debt and liquidity" sheetId="3" r:id="R3991ce6d3dd34991"/>
    <x:sheet name="History" sheetId="4" r:id="Rca582e281bdd4e23"/>
    <x:sheet name="Annual history" sheetId="11" r:id="rIdAnnualHistory"/>
    <x:sheet name="Core charts" sheetId="5" r:id="R2fde42e019dd4116"/>
    <x:sheet name="Repayment review" sheetId="6" r:id="R36cea3b99dc34710"/>
    <x:sheet name="Cash analysis" sheetId="7" r:id="R6c21f4568ec9423c"/>
    <x:sheet name="Payment dates" sheetId="8" r:id="R8827ffce0c1e4e55"/>
    <x:sheet name="Data" sheetId="9" r:id="Rc235c1c8bcea4b74"/>
    <x:sheet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32">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 numFmtId="207" formatCode="0.00&quot;x&quot;"/>
    <x:numFmt numFmtId="208" formatCode="#,##0,,;(#,##0,,);&quot;-&quot;"/>
    <x:numFmt numFmtId="209" formatCode="0.0&quot;x&quot;"/>
    <x:numFmt numFmtId="210" formatCode="mmm d, yyyy"/>
    <x:numFmt numFmtId="211" formatCode="0.0%"/>
    <x:numFmt numFmtId="212" formatCode="#,##0.00,,;(#,##0.00,,);&quot;-&quot;"/>
    <x:numFmt numFmtId="213" formatCode="#,##0.00,,;(#,##0.00,,);0.00"/>
    <x:numFmt numFmtId="214" formatCode="yyyy-mm-dd"/>
    <x:numFmt numFmtId="215" formatCode="#,##0.0,,;(#,##0.0,,);&quot;-&quot;"/>
    <x:numFmt numFmtId="216" formatCode="0.00&quot;x&quot;"/>
    <x:numFmt numFmtId="217" formatCode="#,##0,,;(#,##0,,);&quot;-&quot;"/>
    <x:numFmt numFmtId="218" formatCode="0.0&quot;x&quot;"/>
    <x:numFmt numFmtId="219" formatCode="mmm d, yyyy"/>
    <x:numFmt numFmtId="220" formatCode="0.0%"/>
    <x:numFmt numFmtId="221" formatCode="#,##0.00,,;(#,##0.00,,);&quot;-&quot;"/>
    <x:numFmt numFmtId="222" formatCode="#,##0.00,,;(#,##0.00,,);0.00"/>
    <x:numFmt numFmtId="223" formatCode="0.00&quot;x&quot;"/>
    <x:numFmt numFmtId="224" formatCode="#,##0,,;(#,##0,,);&quot;-&quot;"/>
    <x:numFmt numFmtId="225" formatCode="0.0&quot;x&quot;"/>
    <x:numFmt numFmtId="226" formatCode="mmm d, yyyy"/>
    <x:numFmt numFmtId="227" formatCode="0.0%"/>
    <x:numFmt numFmtId="228" formatCode="#,##0.00,,;(#,##0.00,,);&quot;-&quot;"/>
    <x:numFmt numFmtId="229" formatCode="#,##0.00,,;(#,##0.00,,);0.00"/>
    <x:numFmt numFmtId="230" formatCode="yyyy-mm-dd"/>
    <x:numFmt numFmtId="231" formatCode="#,##0.0,,;(#,##0.0,,);&quot;-&quot;"/>
  </x:numFmts>
  <x:fonts count="90">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4"/>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4"/>
      <x:name val="Arial"/>
    </x:font>
  </x:fonts>
  <x:fills count="15">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solid">
        <x:fgColor rgb="FFF0F2F5"/>
      </x:patternFill>
    </x:fill>
  </x:fills>
  <x:borders count="85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4">
    <x:xf numFmtId="0" fontId="0" fillId="0" borderId="0"/>
    <x:xf numFmtId="0" fontId="22" fillId="3" borderId="213"/>
    <x:xf numFmtId="0" fontId="45" fillId="7" borderId="426"/>
    <x:xf numFmtId="0" fontId="67" fillId="10" borderId="639"/>
  </x:cellStyleXfs>
  <x:cellXfs count="2105">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2"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0"/>
    </x:xf>
    <x:xf numFmtId="0" fontId="2" fillId="0" borderId="26" xfId="0" applyNumberFormat="1" applyFont="1" applyFill="1" applyBorder="1" applyAlignment="1">
      <x:alignment vertical="top" wrapText="0"/>
    </x:xf>
    <x:xf numFmtId="0" fontId="3" fillId="2" borderId="27" xfId="0" applyNumberFormat="1" applyFont="1" applyFill="1" applyBorder="1" applyAlignment="1">
      <x:alignment horizontal="center" vertical="top" wrapText="1"/>
    </x:xf>
    <x:xf numFmtId="0" fontId="3" fillId="2" borderId="28" xfId="0" applyNumberFormat="1" applyFont="1" applyFill="1" applyBorder="1" applyAlignment="1">
      <x:alignment horizontal="center" vertical="top" wrapText="1"/>
    </x:xf>
    <x:xf numFmtId="0" fontId="3"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3"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5" fillId="0" borderId="33" xfId="0" applyNumberFormat="1" applyFont="1" applyFill="1" applyBorder="1" applyAlignment="1">
      <x:alignment vertical="top" wrapText="1"/>
    </x:xf>
    <x:xf numFmtId="200" fontId="6"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3"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2" fillId="0" borderId="42" xfId="0" applyNumberFormat="1" applyFont="1" applyFill="1" applyBorder="1" applyAlignment="1">
      <x:alignment vertical="top" wrapText="1"/>
    </x:xf>
    <x:xf numFmtId="0" fontId="3" fillId="2" borderId="43" xfId="0" applyNumberFormat="1" applyFont="1" applyFill="1" applyBorder="1" applyAlignment="1">
      <x:alignment horizontal="center" vertical="top" wrapText="1"/>
    </x:xf>
    <x:xf numFmtId="201" fontId="10" fillId="0" borderId="44" xfId="0" applyNumberFormat="1" applyFont="1" applyFill="1" applyBorder="1" applyAlignment="1">
      <x:alignment vertical="top" wrapText="1"/>
    </x:xf>
    <x:xf numFmtId="203" fontId="2" fillId="0" borderId="45" xfId="0" applyNumberFormat="1" applyFont="1" applyFill="1" applyBorder="1" applyAlignment="1">
      <x:alignment vertical="top" wrapText="1"/>
    </x:xf>
    <x:xf numFmtId="0" fontId="2" fillId="0" borderId="46" xfId="0" applyNumberFormat="1" applyFont="1" applyFill="1" applyBorder="1" applyAlignment="1">
      <x:alignment vertical="top" wrapText="1"/>
    </x:xf>
    <x:xf numFmtId="0" fontId="3" fillId="0" borderId="47" xfId="0" applyNumberFormat="1" applyFont="1" applyFill="1" applyBorder="1" applyAlignment="1">
      <x:alignment vertical="top" wrapText="1"/>
    </x:xf>
    <x:xf numFmtId="201" fontId="16" fillId="0" borderId="48" xfId="0" applyNumberFormat="1" applyFont="1" applyFill="1" applyBorder="1" applyAlignment="1">
      <x:alignment vertical="top" wrapText="1"/>
    </x:xf>
    <x:xf numFmtId="203"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0" fontId="3" fillId="0" borderId="51" xfId="0" applyNumberFormat="1" applyFont="1" applyFill="1" applyBorder="1" applyAlignment="1">
      <x:alignment vertical="top" wrapText="1"/>
    </x:xf>
    <x:xf numFmtId="201" fontId="2" fillId="0" borderId="52" xfId="0" applyNumberFormat="1" applyFont="1" applyFill="1" applyBorder="1" applyAlignment="1">
      <x:alignment vertical="top" wrapText="1"/>
    </x:xf>
    <x:xf numFmtId="203" fontId="2" fillId="0" borderId="53" xfId="0" applyNumberFormat="1" applyFont="1" applyFill="1" applyBorder="1" applyAlignment="1">
      <x:alignment vertical="top" wrapText="1"/>
    </x:xf>
    <x:xf numFmtId="201" fontId="3" fillId="2" borderId="54" xfId="0" applyNumberFormat="1" applyFont="1" applyFill="1" applyBorder="1" applyAlignment="1">
      <x:alignment horizontal="center" vertical="top" wrapText="1"/>
    </x:xf>
    <x:xf numFmtId="203" fontId="3" fillId="2" borderId="55" xfId="0" applyNumberFormat="1" applyFont="1" applyFill="1" applyBorder="1" applyAlignment="1">
      <x:alignment horizontal="center" vertical="top" wrapText="1"/>
    </x:xf>
    <x:xf numFmtId="0" fontId="3" fillId="0" borderId="56" xfId="0" applyNumberFormat="1" applyFont="1" applyFill="1" applyBorder="1" applyAlignment="1">
      <x:alignment vertical="top" wrapText="1"/>
    </x:xf>
    <x:xf numFmtId="201" fontId="16" fillId="0" borderId="57" xfId="0" applyNumberFormat="1" applyFont="1" applyFill="1" applyBorder="1" applyAlignment="1">
      <x:alignment vertical="top" wrapText="1"/>
    </x:xf>
    <x:xf numFmtId="203"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10" fillId="0" borderId="62" xfId="0" applyNumberFormat="1" applyFont="1" applyFill="1" applyBorder="1" applyAlignment="1">
      <x:alignment vertical="top" wrapText="1"/>
    </x:xf>
    <x:xf numFmtId="203"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18"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1" fillId="0" borderId="68" xfId="0" applyNumberFormat="1" applyFont="1" applyFill="1" applyBorder="1" applyAlignment="1">
      <x:alignment vertical="top" wrapText="1"/>
    </x:xf>
    <x:xf numFmtId="201" fontId="13" fillId="0" borderId="69" xfId="0" applyNumberFormat="1" applyFont="1" applyFill="1" applyBorder="1" applyAlignment="1">
      <x:alignment vertical="top" wrapText="1"/>
    </x:xf>
    <x:xf numFmtId="0" fontId="21" fillId="0" borderId="70" xfId="0" applyNumberFormat="1" applyFont="1" applyFill="1" applyBorder="1" applyAlignment="1">
      <x:alignment vertical="top" wrapText="1"/>
    </x:xf>
    <x:xf numFmtId="200" fontId="10" fillId="0" borderId="71" xfId="0" applyNumberFormat="1" applyFont="1" applyFill="1" applyBorder="1" applyAlignment="1">
      <x:alignment vertical="top" wrapText="1"/>
    </x:xf>
    <x:xf numFmtId="204" fontId="14" fillId="0" borderId="72" xfId="0" applyNumberFormat="1" applyFont="1" applyFill="1" applyBorder="1" applyAlignment="1">
      <x:alignment vertical="top" wrapText="1"/>
    </x:xf>
    <x:xf numFmtId="200" fontId="10" fillId="0" borderId="73" xfId="0" applyNumberFormat="1" applyFont="1" applyFill="1" applyBorder="1" applyAlignment="1">
      <x:alignment vertical="top" wrapText="1"/>
    </x:xf>
    <x:xf numFmtId="203" fontId="2" fillId="0" borderId="74" xfId="0" applyNumberFormat="1" applyFont="1" applyFill="1" applyBorder="1" applyAlignment="1">
      <x:alignment vertical="top" wrapText="1"/>
    </x:xf>
    <x:xf numFmtId="0" fontId="21"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4" fillId="0" borderId="79" xfId="0" applyNumberFormat="1" applyFont="1" applyFill="1" applyBorder="1" applyAlignment="1">
      <x:alignment vertical="top" wrapText="1"/>
    </x:xf>
    <x:xf numFmtId="204" fontId="10" fillId="0" borderId="80" xfId="0" applyNumberFormat="1" applyFont="1" applyFill="1" applyBorder="1" applyAlignment="1">
      <x:alignment vertical="top" wrapText="1"/>
    </x:xf>
    <x:xf numFmtId="0" fontId="2" fillId="0" borderId="81" xfId="0" applyNumberFormat="1" applyFont="1" applyFill="1" applyBorder="1"/>
    <x:xf numFmtId="0" fontId="3" fillId="2" borderId="82" xfId="0" applyNumberFormat="1" applyFont="1" applyFill="1" applyBorder="1" applyAlignment="1">
      <x:alignment horizontal="center" vertical="top" wrapText="1"/>
    </x:xf>
    <x:xf numFmtId="201" fontId="10" fillId="0" borderId="83" xfId="0" applyNumberFormat="1" applyFont="1" applyFill="1" applyBorder="1" applyAlignment="1">
      <x:alignment vertical="top" wrapText="1"/>
    </x:xf>
    <x:xf numFmtId="201" fontId="10" fillId="0" borderId="84" xfId="0" applyNumberFormat="1" applyFont="1" applyFill="1" applyBorder="1" applyAlignment="1">
      <x:alignment vertical="top" wrapText="1"/>
    </x:xf>
    <x:xf numFmtId="201" fontId="10" fillId="0" borderId="85" xfId="0" applyNumberFormat="1" applyFont="1" applyFill="1" applyBorder="1" applyAlignment="1">
      <x:alignment vertical="top" wrapText="1"/>
    </x:xf>
    <x:xf numFmtId="0" fontId="4" fillId="0" borderId="86" xfId="0" applyNumberFormat="1" applyFont="1" applyFill="1" applyBorder="1" applyAlignment="1">
      <x:alignment vertical="center" wrapText="0"/>
    </x:xf>
    <x:xf numFmtId="0" fontId="2" fillId="0" borderId="87" xfId="0" applyNumberFormat="1" applyFont="1" applyFill="1" applyBorder="1" applyAlignment="1">
      <x:alignment vertical="center" wrapText="0"/>
    </x:xf>
    <x:xf numFmtId="0" fontId="2"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2" fillId="0" borderId="90" xfId="0" applyNumberFormat="1" applyFont="1" applyFill="1" applyBorder="1" applyAlignment="1">
      <x:alignment vertical="center" wrapText="0"/>
    </x:xf>
    <x:xf numFmtId="0" fontId="3" fillId="2" borderId="91" xfId="0" applyNumberFormat="1" applyFont="1" applyFill="1" applyBorder="1" applyAlignment="1">
      <x:alignment horizontal="center" vertical="center" wrapText="1"/>
    </x:xf>
    <x:xf numFmtId="0" fontId="3" fillId="2" borderId="92" xfId="0" applyNumberFormat="1" applyFont="1" applyFill="1" applyBorder="1" applyAlignment="1">
      <x:alignment horizontal="center" vertical="center" wrapText="1"/>
    </x:xf>
    <x:xf numFmtId="0" fontId="3" fillId="2" borderId="93" xfId="0" applyNumberFormat="1" applyFont="1" applyFill="1" applyBorder="1" applyAlignment="1">
      <x:alignment horizontal="center" vertical="center" wrapText="1"/>
    </x:xf>
    <x:xf numFmtId="0" fontId="2" fillId="0" borderId="94" xfId="0" applyNumberFormat="1" applyFont="1" applyFill="1" applyBorder="1" applyAlignment="1">
      <x:alignment vertical="center" wrapText="1"/>
    </x:xf>
    <x:xf numFmtId="0" fontId="2" fillId="0" borderId="95" xfId="0" applyNumberFormat="1" applyFont="1" applyFill="1" applyBorder="1" applyAlignment="1">
      <x:alignment vertical="center" wrapText="1"/>
    </x:xf>
    <x:xf numFmtId="0" fontId="2" fillId="0" borderId="96" xfId="0" applyNumberFormat="1" applyFont="1" applyFill="1" applyBorder="1" applyAlignment="1">
      <x:alignment vertical="center" wrapText="1"/>
    </x:xf>
    <x:xf numFmtId="201" fontId="10" fillId="0" borderId="97" xfId="0" applyNumberFormat="1" applyFont="1" applyFill="1" applyBorder="1" applyAlignment="1">
      <x:alignment vertical="center" wrapText="1"/>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2" fillId="0" borderId="100" xfId="0" applyNumberFormat="1" applyFont="1" applyFill="1" applyBorder="1" applyAlignment="1">
      <x:alignment vertical="center" wrapText="1"/>
    </x:xf>
    <x:xf numFmtId="201" fontId="10" fillId="0" borderId="101" xfId="0" applyNumberFormat="1" applyFont="1" applyFill="1" applyBorder="1" applyAlignment="1">
      <x:alignment vertical="center" wrapText="1"/>
    </x:xf>
    <x:xf numFmtId="0" fontId="2" fillId="0" borderId="102" xfId="0" applyNumberFormat="1" applyFont="1" applyFill="1" applyBorder="1" applyAlignment="1">
      <x:alignment vertical="center" wrapText="1"/>
    </x:xf>
    <x:xf numFmtId="0" fontId="2" fillId="0" borderId="103" xfId="0" applyNumberFormat="1" applyFont="1" applyFill="1" applyBorder="1" applyAlignment="1">
      <x:alignment vertical="center" wrapText="1"/>
    </x:xf>
    <x:xf numFmtId="0" fontId="2" fillId="0" borderId="104" xfId="0" applyNumberFormat="1" applyFont="1" applyFill="1" applyBorder="1" applyAlignment="1">
      <x:alignment vertical="center" wrapText="1"/>
    </x:xf>
    <x:xf numFmtId="0" fontId="2" fillId="0" borderId="105" xfId="0" applyNumberFormat="1" applyFont="1" applyFill="1" applyBorder="1" applyAlignment="1">
      <x:alignment vertical="center" wrapText="1"/>
    </x:xf>
    <x:xf numFmtId="0" fontId="2" fillId="0" borderId="106" xfId="0" applyNumberFormat="1" applyFont="1" applyFill="1" applyBorder="1" applyAlignment="1">
      <x:alignment vertical="center" wrapText="1"/>
    </x:xf>
    <x:xf numFmtId="0" fontId="3" fillId="2" borderId="107" xfId="0" applyNumberFormat="1" applyFont="1" applyFill="1" applyBorder="1" applyAlignment="1">
      <x:alignment horizontal="center" vertical="center" wrapText="1"/>
    </x:xf>
    <x:xf numFmtId="201" fontId="2" fillId="0" borderId="108" xfId="0" applyNumberFormat="1" applyFont="1" applyFill="1" applyBorder="1" applyAlignment="1">
      <x:alignment vertical="center" wrapText="1"/>
    </x:xf>
    <x:xf numFmtId="0" fontId="2" fillId="0" borderId="109" xfId="0" applyNumberFormat="1" applyFont="1" applyFill="1" applyBorder="1" applyAlignment="1">
      <x:alignment vertical="center" wrapText="1"/>
    </x:xf>
    <x:xf numFmtId="201" fontId="2" fillId="0" borderId="110" xfId="0" applyNumberFormat="1" applyFont="1" applyFill="1" applyBorder="1" applyAlignment="1">
      <x:alignment vertical="center" wrapText="1"/>
    </x:xf>
    <x:xf numFmtId="0" fontId="2" fillId="0" borderId="111" xfId="0" applyNumberFormat="1" applyFont="1" applyFill="1" applyBorder="1" applyAlignment="1">
      <x:alignment vertical="center" wrapText="1"/>
    </x:xf>
    <x:xf numFmtId="203" fontId="2" fillId="0" borderId="112" xfId="0" applyNumberFormat="1" applyFont="1" applyFill="1" applyBorder="1" applyAlignment="1">
      <x:alignment vertical="center" wrapText="1"/>
    </x:xf>
    <x:xf numFmtId="203" fontId="2" fillId="0" borderId="113" xfId="0" applyNumberFormat="1" applyFont="1" applyFill="1" applyBorder="1" applyAlignment="1">
      <x:alignment vertical="center" wrapText="1"/>
    </x:xf>
    <x:xf numFmtId="203" fontId="2" fillId="0" borderId="114" xfId="0" applyNumberFormat="1" applyFont="1" applyFill="1" applyBorder="1" applyAlignment="1">
      <x:alignment vertical="center" wrapText="1"/>
    </x:xf>
    <x:xf numFmtId="201" fontId="10" fillId="0" borderId="115" xfId="0" applyNumberFormat="1" applyFont="1" applyFill="1" applyBorder="1" applyAlignment="1">
      <x:alignment vertical="center" wrapText="1"/>
    </x:xf>
    <x:xf numFmtId="203" fontId="2" fillId="0" borderId="116" xfId="0" applyNumberFormat="1" applyFont="1" applyFill="1" applyBorder="1" applyAlignment="1">
      <x:alignment vertical="center" wrapText="1"/>
    </x:xf>
    <x:xf numFmtId="201" fontId="14" fillId="0" borderId="117" xfId="0" applyNumberFormat="1" applyFont="1" applyFill="1" applyBorder="1" applyAlignment="1">
      <x:alignment vertical="center" wrapText="1"/>
    </x:xf>
    <x:xf numFmtId="203" fontId="2" fillId="0" borderId="118" xfId="0" applyNumberFormat="1" applyFont="1" applyFill="1" applyBorder="1" applyAlignment="1">
      <x:alignment vertical="center" wrapText="1"/>
    </x:xf>
    <x:xf numFmtId="0" fontId="5" fillId="0" borderId="119" xfId="0" applyNumberFormat="1" applyFont="1" applyFill="1" applyBorder="1" applyAlignment="1">
      <x:alignment vertical="center" wrapText="0"/>
    </x:xf>
    <x:xf numFmtId="0" fontId="3" fillId="2" borderId="120" xfId="0" applyNumberFormat="1" applyFont="1" applyFill="1" applyBorder="1" applyAlignment="1">
      <x:alignment horizontal="center" vertical="center" wrapText="0"/>
    </x:xf>
    <x:xf numFmtId="0" fontId="3" fillId="2" borderId="121" xfId="0" applyNumberFormat="1" applyFont="1" applyFill="1" applyBorder="1" applyAlignment="1">
      <x:alignment horizontal="center" vertical="center" wrapText="0"/>
    </x:xf>
    <x:xf numFmtId="0" fontId="2" fillId="0" borderId="122" xfId="0" applyNumberFormat="1" applyFont="1" applyFill="1" applyBorder="1" applyAlignment="1">
      <x:alignment vertical="center" wrapText="0"/>
    </x:xf>
    <x:xf numFmtId="201" fontId="10" fillId="0" borderId="123" xfId="0" applyNumberFormat="1" applyFont="1" applyFill="1" applyBorder="1" applyAlignment="1">
      <x:alignment vertical="center" wrapText="0"/>
    </x:xf>
    <x:xf numFmtId="0" fontId="3" fillId="0" borderId="124" xfId="0" applyNumberFormat="1" applyFont="1" applyFill="1" applyBorder="1" applyAlignment="1">
      <x:alignment vertical="center" wrapText="1"/>
    </x:xf>
    <x:xf numFmtId="201" fontId="16" fillId="0" borderId="125" xfId="0" applyNumberFormat="1" applyFont="1" applyFill="1" applyBorder="1" applyAlignment="1">
      <x:alignment vertical="center" wrapText="0"/>
    </x:xf>
    <x:xf numFmtId="201" fontId="3" fillId="0" borderId="126" xfId="0" applyNumberFormat="1" applyFont="1" applyFill="1" applyBorder="1" applyAlignment="1">
      <x:alignment vertical="center" wrapText="0"/>
    </x:xf>
    <x:xf numFmtId="0" fontId="3" fillId="0" borderId="127" xfId="0" applyNumberFormat="1" applyFont="1" applyFill="1" applyBorder="1" applyAlignment="1">
      <x:alignment vertical="center" wrapText="1"/>
    </x:xf>
    <x:xf numFmtId="201" fontId="3" fillId="0" borderId="128" xfId="0" applyNumberFormat="1" applyFont="1" applyFill="1" applyBorder="1" applyAlignment="1">
      <x:alignment vertical="center" wrapText="0"/>
    </x:xf>
    <x:xf numFmtId="0" fontId="2" fillId="0" borderId="129" xfId="0" applyNumberFormat="1" applyFont="1" applyFill="1" applyBorder="1" applyAlignment="1">
      <x:alignment vertical="center" wrapText="1"/>
    </x:xf>
    <x:xf numFmtId="201" fontId="10" fillId="0" borderId="130" xfId="0" applyNumberFormat="1" applyFont="1" applyFill="1" applyBorder="1" applyAlignment="1">
      <x:alignment vertical="center" wrapText="0"/>
    </x:xf>
    <x:xf numFmtId="206" fontId="2" fillId="0" borderId="131" xfId="0" applyNumberFormat="1" applyFont="1" applyFill="1" applyBorder="1" applyAlignment="1">
      <x:alignment vertical="center" wrapText="0"/>
    </x:xf>
    <x:xf numFmtId="201" fontId="13" fillId="0" borderId="132" xfId="0" applyNumberFormat="1" applyFont="1" applyFill="1" applyBorder="1" applyAlignment="1">
      <x:alignment vertical="center" wrapText="0"/>
    </x:xf>
    <x:xf numFmtId="201" fontId="2" fillId="0" borderId="133" xfId="0" applyNumberFormat="1" applyFont="1" applyFill="1" applyBorder="1" applyAlignment="1">
      <x:alignment vertical="center" wrapText="0"/>
    </x:xf>
    <x:xf numFmtId="206" fontId="2" fillId="0" borderId="134" xfId="0" applyNumberFormat="1" applyFont="1" applyFill="1" applyBorder="1" applyAlignment="1">
      <x:alignment vertical="center" wrapText="0"/>
    </x:xf>
    <x:xf numFmtId="201" fontId="2" fillId="0" borderId="135" xfId="0" applyNumberFormat="1" applyFont="1" applyFill="1" applyBorder="1" applyAlignment="1">
      <x:alignment vertical="center" wrapText="0"/>
    </x:xf>
    <x:xf numFmtId="204" fontId="2" fillId="0" borderId="136" xfId="0" applyNumberFormat="1" applyFont="1" applyFill="1" applyBorder="1" applyAlignment="1">
      <x:alignment vertical="center" wrapText="0"/>
    </x:xf>
    <x:xf numFmtId="0" fontId="3" fillId="2" borderId="137" xfId="0" applyNumberFormat="1" applyFont="1" applyFill="1" applyBorder="1" applyAlignment="1">
      <x:alignment horizontal="center" vertical="center" wrapText="1"/>
    </x:xf>
    <x:xf numFmtId="0" fontId="2" fillId="0" borderId="138" xfId="0" applyNumberFormat="1" applyFont="1" applyFill="1" applyBorder="1" applyAlignment="1">
      <x:alignment vertical="center" wrapText="1"/>
    </x:xf>
    <x:xf numFmtId="201" fontId="2" fillId="0" borderId="139" xfId="0" applyNumberFormat="1" applyFont="1" applyFill="1" applyBorder="1" applyAlignment="1">
      <x:alignment vertical="center" wrapText="1"/>
    </x:xf>
    <x:xf numFmtId="0" fontId="2" fillId="0" borderId="140" xfId="0" applyNumberFormat="1" applyFont="1" applyFill="1" applyBorder="1" applyAlignment="1">
      <x:alignment vertical="center" wrapText="1"/>
    </x:xf>
    <x:xf numFmtId="201" fontId="2" fillId="0" borderId="141" xfId="0" applyNumberFormat="1" applyFont="1" applyFill="1" applyBorder="1" applyAlignment="1">
      <x:alignment vertical="center" wrapText="1"/>
    </x:xf>
    <x:xf numFmtId="0" fontId="2" fillId="0" borderId="142" xfId="0" applyNumberFormat="1" applyFont="1" applyFill="1" applyBorder="1" applyAlignment="1">
      <x:alignment vertical="center" wrapText="0"/>
    </x:xf>
    <x:xf numFmtId="201" fontId="10" fillId="0" borderId="143" xfId="0" applyNumberFormat="1" applyFont="1" applyFill="1" applyBorder="1" applyAlignment="1">
      <x:alignment vertical="center" wrapText="0"/>
    </x:xf>
    <x:xf numFmtId="201" fontId="14" fillId="0" borderId="144" xfId="0" applyNumberFormat="1" applyFont="1" applyFill="1" applyBorder="1" applyAlignment="1">
      <x:alignment vertical="center" wrapText="0"/>
    </x:xf>
    <x:xf numFmtId="0" fontId="2" fillId="0" borderId="145" xfId="0" applyNumberFormat="1" applyFont="1" applyFill="1" applyBorder="1" applyAlignment="1">
      <x:alignment vertical="center" wrapText="0"/>
    </x:xf>
    <x:xf numFmtId="201" fontId="10" fillId="0" borderId="146" xfId="0" applyNumberFormat="1" applyFont="1" applyFill="1" applyBorder="1" applyAlignment="1">
      <x:alignment vertical="center" wrapText="0"/>
    </x:xf>
    <x:xf numFmtId="201" fontId="14" fillId="0" borderId="147" xfId="0" applyNumberFormat="1" applyFont="1" applyFill="1" applyBorder="1" applyAlignment="1">
      <x:alignment vertical="center" wrapText="0"/>
    </x:xf>
    <x:xf numFmtId="0" fontId="15" fillId="0" borderId="148" xfId="0" applyNumberFormat="1" applyFont="1" applyFill="1" applyBorder="1" applyAlignment="1">
      <x:alignment vertical="center" wrapText="0"/>
    </x:xf>
    <x:xf numFmtId="200" fontId="15" fillId="0" borderId="149" xfId="0" applyNumberFormat="1" applyFont="1" applyFill="1" applyBorder="1" applyAlignment="1">
      <x:alignment vertical="center" wrapText="0"/>
    </x:xf>
    <x:xf numFmtId="201" fontId="3" fillId="2" borderId="150" xfId="0" applyNumberFormat="1" applyFont="1" applyFill="1" applyBorder="1" applyAlignment="1">
      <x:alignment horizontal="center" vertical="center" wrapText="0"/>
    </x:xf>
    <x:xf numFmtId="0" fontId="3" fillId="2" borderId="151" xfId="0" applyNumberFormat="1" applyFont="1" applyFill="1" applyBorder="1" applyAlignment="1">
      <x:alignment horizontal="center" vertical="center" wrapText="0"/>
    </x:xf>
    <x:xf numFmtId="0" fontId="3" fillId="2" borderId="152" xfId="0" applyNumberFormat="1" applyFont="1" applyFill="1" applyBorder="1" applyAlignment="1">
      <x:alignment horizontal="center" vertical="center" wrapText="0"/>
    </x:xf>
    <x:xf numFmtId="201" fontId="2" fillId="0" borderId="153" xfId="0" applyNumberFormat="1" applyFont="1" applyFill="1" applyBorder="1" applyAlignment="1">
      <x:alignment vertical="center" wrapText="0"/>
    </x:xf>
    <x:xf numFmtId="201" fontId="2" fillId="0" borderId="154" xfId="0" applyNumberFormat="1" applyFont="1" applyFill="1" applyBorder="1" applyAlignment="1">
      <x:alignment vertical="center" wrapText="1"/>
    </x:xf>
    <x:xf numFmtId="203" fontId="2" fillId="0" borderId="155" xfId="0" applyNumberFormat="1" applyFont="1" applyFill="1" applyBorder="1" applyAlignment="1">
      <x:alignment vertical="center" wrapText="0"/>
    </x:xf>
    <x:xf numFmtId="203" fontId="2" fillId="0" borderId="156" xfId="0" applyNumberFormat="1" applyFont="1" applyFill="1" applyBorder="1" applyAlignment="1">
      <x:alignment vertical="center" wrapText="0"/>
    </x:xf>
    <x:xf numFmtId="203" fontId="2" fillId="0" borderId="157" xfId="0" applyNumberFormat="1" applyFont="1" applyFill="1" applyBorder="1" applyAlignment="1">
      <x:alignment vertical="center" wrapText="0"/>
    </x:xf>
    <x:xf numFmtId="0" fontId="2" fillId="0" borderId="158" xfId="0" applyNumberFormat="1" applyFont="1" applyFill="1" applyBorder="1" applyAlignment="1">
      <x:alignment vertical="center" wrapText="0"/>
    </x:xf>
    <x:xf numFmtId="201" fontId="2" fillId="0" borderId="159" xfId="0" applyNumberFormat="1" applyFont="1" applyFill="1" applyBorder="1" applyAlignment="1">
      <x:alignment vertical="center" wrapText="0"/>
    </x:xf>
    <x:xf numFmtId="0" fontId="2" fillId="0" borderId="160" xfId="0" applyNumberFormat="1" applyFont="1" applyFill="1" applyBorder="1" applyAlignment="1">
      <x:alignment vertical="center" wrapText="0"/>
    </x:xf>
    <x:xf numFmtId="0" fontId="2" fillId="0" borderId="161" xfId="0" applyNumberFormat="1" applyFont="1" applyFill="1" applyBorder="1" applyAlignment="1">
      <x:alignment vertical="center" wrapText="0"/>
    </x:xf>
    <x:xf numFmtId="0" fontId="3" fillId="0" borderId="162" xfId="0" applyNumberFormat="1" applyFont="1" applyFill="1" applyBorder="1" applyAlignment="1">
      <x:alignment vertical="center" wrapText="0"/>
    </x:xf>
    <x:xf numFmtId="201" fontId="3" fillId="0" borderId="163" xfId="0" applyNumberFormat="1" applyFont="1" applyFill="1" applyBorder="1" applyAlignment="1">
      <x:alignment vertical="center" wrapText="0"/>
    </x:xf>
    <x:xf numFmtId="201" fontId="3" fillId="0" borderId="164" xfId="0" applyNumberFormat="1" applyFont="1" applyFill="1" applyBorder="1" applyAlignment="1">
      <x:alignment vertical="center" wrapText="1"/>
    </x:xf>
    <x:xf numFmtId="206" fontId="2" fillId="0" borderId="165" xfId="0" applyNumberFormat="1" applyFont="1" applyFill="1" applyBorder="1" applyAlignment="1">
      <x:alignment vertical="center" wrapText="0"/>
    </x:xf>
    <x:xf numFmtId="206" fontId="2" fillId="0" borderId="166" xfId="0" applyNumberFormat="1" applyFont="1" applyFill="1" applyBorder="1" applyAlignment="1">
      <x:alignment vertical="center" wrapText="1"/>
    </x:xf>
    <x:xf numFmtId="201" fontId="3" fillId="0" borderId="167" xfId="0" applyNumberFormat="1" applyFont="1" applyFill="1" applyBorder="1" applyAlignment="1">
      <x:alignment vertical="center" wrapText="1"/>
    </x:xf>
    <x:xf numFmtId="206" fontId="2" fillId="0" borderId="168" xfId="0" applyNumberFormat="1" applyFont="1" applyFill="1" applyBorder="1" applyAlignment="1">
      <x:alignment vertical="center" wrapText="0"/>
    </x:xf>
    <x:xf numFmtId="206"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0"/>
    </x:xf>
    <x:xf numFmtId="0" fontId="2" fillId="0" borderId="171" xfId="0" applyNumberFormat="1" applyFont="1" applyFill="1" applyBorder="1" applyAlignment="1">
      <x:alignment vertical="center" wrapText="0"/>
    </x:xf>
    <x:xf numFmtId="0" fontId="2" fillId="0" borderId="172" xfId="0" applyNumberFormat="1" applyFont="1" applyFill="1" applyBorder="1" applyAlignment="1">
      <x:alignment vertical="center" wrapText="0"/>
    </x:xf>
    <x:xf numFmtId="201" fontId="2" fillId="0" borderId="173" xfId="0" applyNumberFormat="1" applyFont="1" applyFill="1" applyBorder="1" applyAlignment="1">
      <x:alignment vertical="center" wrapText="0"/>
    </x:xf>
    <x:xf numFmtId="0" fontId="2" fillId="0" borderId="174" xfId="0" applyNumberFormat="1" applyFont="1" applyFill="1" applyBorder="1" applyAlignment="1">
      <x:alignment vertical="center" wrapText="0"/>
    </x:xf>
    <x:xf numFmtId="201" fontId="2" fillId="0" borderId="175" xfId="0" applyNumberFormat="1" applyFont="1" applyFill="1" applyBorder="1" applyAlignment="1">
      <x:alignment vertical="center" wrapText="0"/>
    </x:xf>
    <x:xf numFmtId="202" fontId="10" fillId="0" borderId="176" xfId="0" applyNumberFormat="1" applyFont="1" applyFill="1" applyBorder="1" applyAlignment="1">
      <x:alignment vertical="center" wrapText="0"/>
    </x:xf>
    <x:xf numFmtId="0" fontId="5" fillId="0" borderId="177" xfId="0" applyNumberFormat="1" applyFont="1" applyFill="1" applyBorder="1" applyAlignment="1">
      <x:alignment vertical="center" wrapText="0"/>
    </x:xf>
    <x:xf numFmtId="201" fontId="10" fillId="0" borderId="178" xfId="0" applyNumberFormat="1" applyFont="1" applyFill="1" applyBorder="1" applyAlignment="1">
      <x:alignment vertical="center" wrapText="0"/>
    </x:xf>
    <x:xf numFmtId="0" fontId="3" fillId="0" borderId="179" xfId="0" applyNumberFormat="1" applyFont="1" applyFill="1" applyBorder="1" applyAlignment="1">
      <x:alignment vertical="center" wrapText="0"/>
    </x:xf>
    <x:xf numFmtId="0" fontId="3" fillId="2" borderId="180" xfId="0" applyNumberFormat="1" applyFont="1" applyFill="1" applyBorder="1" applyAlignment="1">
      <x:alignment vertical="center" wrapText="1"/>
    </x:xf>
    <x:xf numFmtId="0" fontId="3" fillId="2" borderId="181" xfId="0" applyNumberFormat="1" applyFont="1" applyFill="1" applyBorder="1" applyAlignment="1">
      <x:alignment vertical="center" wrapText="1"/>
    </x:xf>
    <x:xf numFmtId="203" fontId="0" fillId="0" borderId="182" xfId="0" applyNumberFormat="1" applyFont="1" applyFill="1" applyBorder="1"/>
    <x:xf numFmtId="201" fontId="2" fillId="0" borderId="183" xfId="0" applyNumberFormat="1" applyFont="1" applyFill="1" applyBorder="1" applyAlignment="1">
      <x:alignment vertical="center" wrapText="0"/>
    </x:xf>
    <x:xf numFmtId="201" fontId="3" fillId="0" borderId="184" xfId="0" applyNumberFormat="1" applyFont="1" applyFill="1" applyBorder="1" applyAlignment="1">
      <x:alignment vertical="center" wrapText="0"/>
    </x:xf>
    <x:xf numFmtId="201" fontId="3" fillId="0" borderId="185" xfId="0" applyNumberFormat="1" applyFont="1" applyFill="1" applyBorder="1" applyAlignment="1">
      <x:alignment vertical="center" wrapText="0"/>
    </x:xf>
    <x:xf numFmtId="201" fontId="7" fillId="0" borderId="186" xfId="0" applyNumberFormat="1" applyFont="1" applyFill="1" applyBorder="1"/>
    <x:xf numFmtId="0" fontId="3" fillId="2" borderId="187" xfId="0" applyNumberFormat="1" applyFont="1" applyFill="1" applyBorder="1" applyAlignment="1">
      <x:alignment vertical="center" wrapText="1"/>
    </x:xf>
    <x:xf numFmtId="0" fontId="2" fillId="0" borderId="188" xfId="0" applyNumberFormat="1" applyFont="1" applyFill="1" applyBorder="1" applyAlignment="1">
      <x:alignment vertical="center" wrapText="0"/>
    </x:xf>
    <x:xf numFmtId="201" fontId="12" fillId="0" borderId="189" xfId="0" applyNumberFormat="1" applyFont="1" applyFill="1" applyBorder="1" applyAlignment="1">
      <x:alignment vertical="center" wrapText="1"/>
    </x:xf>
    <x:xf numFmtId="0" fontId="2" fillId="0" borderId="190" xfId="0" applyNumberFormat="1" applyFont="1" applyFill="1" applyBorder="1" applyAlignment="1">
      <x:alignment vertical="center" wrapText="1"/>
    </x:xf>
    <x:xf numFmtId="0" fontId="2" fillId="0" borderId="191" xfId="0" applyNumberFormat="1" applyFont="1" applyFill="1" applyBorder="1" applyAlignment="1">
      <x:alignment vertical="center" wrapText="1"/>
    </x:xf>
    <x:xf numFmtId="0" fontId="2" fillId="0" borderId="192" xfId="0" applyNumberFormat="1" applyFont="1" applyFill="1" applyBorder="1" applyAlignment="1">
      <x:alignment vertical="center" wrapText="1"/>
    </x:xf>
    <x:xf numFmtId="203" fontId="2" fillId="0" borderId="193" xfId="0" applyNumberFormat="1" applyFont="1" applyFill="1" applyBorder="1" applyAlignment="1">
      <x:alignment vertical="center" wrapText="1"/>
    </x:xf>
    <x:xf numFmtId="202" fontId="12" fillId="0" borderId="194" xfId="0" applyNumberFormat="1" applyFont="1" applyFill="1" applyBorder="1" applyAlignment="1">
      <x:alignment vertical="center" wrapText="1"/>
    </x:xf>
    <x:xf numFmtId="201" fontId="12" fillId="0" borderId="195" xfId="0" applyNumberFormat="1" applyFont="1" applyFill="1" applyBorder="1" applyAlignment="1">
      <x:alignment vertical="center" wrapText="1"/>
    </x:xf>
    <x:xf numFmtId="201" fontId="12" fillId="0" borderId="196" xfId="0" applyNumberFormat="1" applyFont="1" applyFill="1" applyBorder="1" applyAlignment="1">
      <x:alignment vertical="center" wrapText="1"/>
    </x:xf>
    <x:xf numFmtId="0" fontId="2" fillId="0" borderId="197" xfId="0" applyNumberFormat="1" applyFont="1" applyFill="1" applyBorder="1" applyAlignment="1">
      <x:alignment vertical="center" wrapText="1"/>
    </x:xf>
    <x:xf numFmtId="0" fontId="2" fillId="0" borderId="198" xfId="0" applyNumberFormat="1" applyFont="1" applyFill="1" applyBorder="1" applyAlignment="1">
      <x:alignment vertical="center" wrapText="1"/>
    </x:xf>
    <x:xf numFmtId="0" fontId="3" fillId="2" borderId="199" xfId="0" applyNumberFormat="1" applyFont="1" applyFill="1" applyBorder="1" applyAlignment="1">
      <x:alignment horizontal="center" vertical="top" wrapText="1"/>
    </x:xf>
    <x:xf numFmtId="0" fontId="2" fillId="0" borderId="200" xfId="0" applyNumberFormat="1" applyFont="1" applyFill="1" applyBorder="1" applyAlignment="1">
      <x:alignment vertical="top" wrapText="1"/>
    </x:xf>
    <x:xf numFmtId="0" fontId="2" fillId="0" borderId="201" xfId="0" applyNumberFormat="1" applyFont="1" applyFill="1" applyBorder="1" applyAlignment="1">
      <x:alignment vertical="top" wrapText="1"/>
    </x:xf>
    <x:xf numFmtId="0" fontId="2" fillId="0" borderId="202" xfId="0" applyNumberFormat="1" applyFont="1" applyFill="1" applyBorder="1" applyAlignment="1">
      <x:alignment vertical="top" wrapText="1"/>
    </x:xf>
    <x:xf numFmtId="0" fontId="2" fillId="0" borderId="203" xfId="0" applyNumberFormat="1" applyFont="1" applyFill="1" applyBorder="1" applyAlignment="1">
      <x:alignment vertical="top" wrapText="1"/>
    </x:xf>
    <x:xf numFmtId="0" fontId="2" fillId="0" borderId="204" xfId="0" applyNumberFormat="1" applyFont="1" applyFill="1" applyBorder="1" applyAlignment="1">
      <x:alignment vertical="top" wrapText="1"/>
    </x:xf>
    <x:xf numFmtId="201" fontId="12" fillId="0" borderId="205" xfId="0" applyNumberFormat="1" applyFont="1" applyFill="1" applyBorder="1" applyAlignment="1">
      <x:alignment vertical="top" wrapText="1"/>
    </x:xf>
    <x:xf numFmtId="0" fontId="2" fillId="0" borderId="206" xfId="0" applyNumberFormat="1" applyFont="1" applyFill="1" applyBorder="1" applyAlignment="1">
      <x:alignment vertical="top" wrapText="1"/>
    </x:xf>
    <x:xf numFmtId="201" fontId="12" fillId="0" borderId="207" xfId="0" applyNumberFormat="1" applyFont="1" applyFill="1" applyBorder="1" applyAlignment="1">
      <x:alignment vertical="top" wrapText="1"/>
    </x:xf>
    <x:xf numFmtId="0" fontId="2" fillId="0" borderId="208" xfId="0" applyNumberFormat="1" applyFont="1" applyFill="1" applyBorder="1" applyAlignment="1">
      <x:alignment vertical="top" wrapText="1"/>
    </x:xf>
    <x:xf numFmtId="203" fontId="2" fillId="0" borderId="209" xfId="0" applyNumberFormat="1" applyFont="1" applyFill="1" applyBorder="1" applyAlignment="1">
      <x:alignment vertical="top" wrapText="1"/>
    </x:xf>
    <x:xf numFmtId="0" fontId="2" fillId="0" borderId="210" xfId="0" applyNumberFormat="1" applyFont="1" applyFill="1" applyBorder="1" applyAlignment="1">
      <x:alignment wrapText="1"/>
    </x:xf>
    <x:xf numFmtId="0" fontId="2" fillId="0" borderId="211" xfId="0" applyNumberFormat="1" applyFont="1" applyFill="1" applyBorder="1" applyAlignment="1">
      <x:alignment wrapText="1"/>
    </x:xf>
    <x:xf numFmtId="0" fontId="2" fillId="0" borderId="212" xfId="0" applyNumberFormat="1" applyFont="1" applyFill="1" applyBorder="1" applyAlignment="1">
      <x:alignment wrapText="1"/>
    </x:xf>
    <x:xf numFmtId="0" fontId="22" fillId="3" borderId="213" xfId="1"/>
    <x:xf numFmtId="0" fontId="23" fillId="3" borderId="213" xfId="1" applyNumberFormat="1" applyFont="1" applyFill="1" applyBorder="1"/>
    <x:xf numFmtId="0" fontId="24" fillId="3" borderId="213" xfId="1" applyNumberFormat="1" applyFont="1" applyFill="1" applyBorder="1"/>
    <x:xf numFmtId="0" fontId="24" fillId="3" borderId="213" xfId="1" applyNumberFormat="1" applyFont="1" applyFill="1" applyBorder="1" applyAlignment="1">
      <x:alignment vertical="top"/>
    </x:xf>
    <x:xf numFmtId="0" fontId="24" fillId="3" borderId="213" xfId="1" applyNumberFormat="1" applyFont="1" applyFill="1" applyBorder="1" applyAlignment="1">
      <x:alignment vertical="top" wrapText="1"/>
    </x:xf>
    <x:xf numFmtId="0" fontId="25" fillId="3" borderId="213" xfId="1" applyNumberFormat="1" applyFont="1" applyFill="1" applyBorder="1" applyAlignment="1">
      <x:alignment vertical="top" wrapText="1"/>
    </x:xf>
    <x:xf numFmtId="0" fontId="26" fillId="3" borderId="213" xfId="1" applyNumberFormat="1" applyFont="1" applyFill="1" applyBorder="1" applyAlignment="1">
      <x:alignment vertical="top" wrapText="1"/>
    </x:xf>
    <x:xf numFmtId="0" fontId="26" fillId="3" borderId="213" xfId="1" applyNumberFormat="1" applyFont="1" applyFill="1" applyBorder="1" applyAlignment="1">
      <x:alignment vertical="top" wrapText="0"/>
    </x:xf>
    <x:xf numFmtId="0" fontId="24" fillId="3" borderId="213" xfId="1" applyNumberFormat="1" applyFont="1" applyFill="1" applyBorder="1" applyAlignment="1">
      <x:alignment vertical="top" wrapText="0"/>
    </x:xf>
    <x:xf numFmtId="0" fontId="24" fillId="5" borderId="213" xfId="1" applyNumberFormat="1" applyFont="1" applyFill="1" applyBorder="1" applyAlignment="1">
      <x:alignment vertical="top" wrapText="1"/>
    </x:xf>
    <x:xf numFmtId="0" fontId="25" fillId="5" borderId="213" xfId="1" applyNumberFormat="1" applyFont="1" applyFill="1" applyBorder="1" applyAlignment="1">
      <x:alignment vertical="top" wrapText="1"/>
    </x:xf>
    <x:xf numFmtId="0" fontId="25" fillId="5" borderId="213" xfId="1" applyNumberFormat="1" applyFont="1" applyFill="1" applyBorder="1" applyAlignment="1">
      <x:alignment horizontal="center" vertical="top" wrapText="1"/>
    </x:xf>
    <x:xf numFmtId="0" fontId="25" fillId="5" borderId="214" xfId="1" applyNumberFormat="1" applyFont="1" applyFill="1" applyBorder="1" applyAlignment="1">
      <x:alignment horizontal="center" vertical="top" wrapText="1"/>
    </x:xf>
    <x:xf numFmtId="0" fontId="25" fillId="5" borderId="215" xfId="1" applyNumberFormat="1" applyFont="1" applyFill="1" applyBorder="1" applyAlignment="1">
      <x:alignment horizontal="center" vertical="top" wrapText="1"/>
    </x:xf>
    <x:xf numFmtId="0" fontId="25" fillId="5" borderId="216" xfId="1" applyNumberFormat="1" applyFont="1" applyFill="1" applyBorder="1" applyAlignment="1">
      <x:alignment horizontal="center" vertical="top" wrapText="1"/>
    </x:xf>
    <x:xf numFmtId="0" fontId="25" fillId="3" borderId="217" xfId="1" applyNumberFormat="1" applyFont="1" applyFill="1" applyBorder="1" applyAlignment="1">
      <x:alignment vertical="top" wrapText="1"/>
    </x:xf>
    <x:xf numFmtId="0" fontId="24" fillId="3" borderId="218" xfId="1" applyNumberFormat="1" applyFont="1" applyFill="1" applyBorder="1" applyAlignment="1">
      <x:alignment vertical="top" wrapText="1"/>
    </x:xf>
    <x:xf numFmtId="0" fontId="25" fillId="3" borderId="219" xfId="1" applyNumberFormat="1" applyFont="1" applyFill="1" applyBorder="1" applyAlignment="1">
      <x:alignment vertical="top" wrapText="1"/>
    </x:xf>
    <x:xf numFmtId="0" fontId="24" fillId="3" borderId="220" xfId="1" applyNumberFormat="1" applyFont="1" applyFill="1" applyBorder="1" applyAlignment="1">
      <x:alignment vertical="top" wrapText="1"/>
    </x:xf>
    <x:xf numFmtId="207" fontId="24" fillId="3" borderId="213" xfId="1" applyNumberFormat="1" applyFont="1" applyFill="1" applyBorder="1" applyAlignment="1">
      <x:alignment vertical="top" wrapText="1"/>
    </x:xf>
    <x:xf numFmtId="0" fontId="27" fillId="3" borderId="213" xfId="1" applyNumberFormat="1" applyFont="1" applyFill="1" applyBorder="1" applyAlignment="1">
      <x:alignment vertical="top" wrapText="1"/>
    </x:xf>
    <x:xf numFmtId="207" fontId="27" fillId="3" borderId="213" xfId="1" applyNumberFormat="1" applyFont="1" applyFill="1" applyBorder="1" applyAlignment="1">
      <x:alignment vertical="top" wrapText="1"/>
    </x:xf>
    <x:xf numFmtId="207" fontId="28" fillId="3" borderId="213" xfId="1" applyNumberFormat="1" applyFont="1" applyFill="1" applyBorder="1" applyAlignment="1">
      <x:alignment vertical="top" wrapText="1"/>
    </x:xf>
    <x:xf numFmtId="0" fontId="27" fillId="3" borderId="217" xfId="1" applyNumberFormat="1" applyFont="1" applyFill="1" applyBorder="1" applyAlignment="1">
      <x:alignment vertical="top" wrapText="1"/>
    </x:xf>
    <x:xf numFmtId="207" fontId="28" fillId="3" borderId="218" xfId="1" applyNumberFormat="1" applyFont="1" applyFill="1" applyBorder="1" applyAlignment="1">
      <x:alignment vertical="top" wrapText="1"/>
    </x:xf>
    <x:xf numFmtId="0" fontId="24" fillId="3" borderId="217" xfId="1" applyNumberFormat="1" applyFont="1" applyFill="1" applyBorder="1" applyAlignment="1">
      <x:alignment vertical="top" wrapText="1"/>
    </x:xf>
    <x:xf numFmtId="0" fontId="24" fillId="3" borderId="219" xfId="1" applyNumberFormat="1" applyFont="1" applyFill="1" applyBorder="1" applyAlignment="1">
      <x:alignment vertical="top" wrapText="1"/>
    </x:xf>
    <x:xf numFmtId="208" fontId="22" fillId="3" borderId="213" xfId="1" applyNumberFormat="1" applyFont="1" applyFill="1" applyBorder="1"/>
    <x:xf numFmtId="209" fontId="22" fillId="3" borderId="213" xfId="1" applyNumberFormat="1" applyFont="1" applyFill="1" applyBorder="1"/>
    <x:xf numFmtId="208" fontId="29" fillId="3" borderId="213" xfId="1" applyNumberFormat="1" applyFont="1" applyFill="1" applyBorder="1"/>
    <x:xf numFmtId="209" fontId="29" fillId="3" borderId="213" xfId="1" applyNumberFormat="1" applyFont="1" applyFill="1" applyBorder="1"/>
    <x:xf numFmtId="210" fontId="22" fillId="3" borderId="213" xfId="1" applyNumberFormat="1" applyFont="1" applyFill="1" applyBorder="1"/>
    <x:xf numFmtId="0" fontId="30" fillId="3" borderId="213" xfId="1" applyNumberFormat="1" applyFont="1" applyFill="1" applyBorder="1"/>
    <x:xf numFmtId="211" fontId="22" fillId="3" borderId="213" xfId="1" applyNumberFormat="1" applyFont="1" applyFill="1" applyBorder="1"/>
    <x:xf numFmtId="212" fontId="22" fillId="3" borderId="213" xfId="1" applyNumberFormat="1" applyFont="1" applyFill="1" applyBorder="1"/>
    <x:xf numFmtId="209" fontId="30" fillId="3" borderId="213" xfId="1" applyNumberFormat="1" applyFont="1" applyFill="1" applyBorder="1"/>
    <x:xf numFmtId="210" fontId="23" fillId="3" borderId="213" xfId="1" applyNumberFormat="1" applyFont="1" applyFill="1" applyBorder="1"/>
    <x:xf numFmtId="210" fontId="24" fillId="3" borderId="213" xfId="1" applyNumberFormat="1" applyFont="1" applyFill="1" applyBorder="1"/>
    <x:xf numFmtId="0" fontId="24" fillId="3" borderId="213" xfId="1" applyNumberFormat="1" applyFont="1" applyFill="1" applyBorder="1" applyAlignment="1">
      <x:alignment vertical="center"/>
    </x:xf>
    <x:xf numFmtId="210" fontId="24" fillId="3" borderId="213" xfId="1" applyNumberFormat="1" applyFont="1" applyFill="1" applyBorder="1" applyAlignment="1">
      <x:alignment vertical="center"/>
    </x:xf>
    <x:xf numFmtId="0" fontId="24" fillId="3" borderId="213" xfId="1" applyNumberFormat="1" applyFont="1" applyFill="1" applyBorder="1" applyAlignment="1">
      <x:alignment vertical="center" wrapText="0"/>
    </x:xf>
    <x:xf numFmtId="210" fontId="24" fillId="3" borderId="213" xfId="1" applyNumberFormat="1" applyFont="1" applyFill="1" applyBorder="1" applyAlignment="1">
      <x:alignment vertical="center" wrapText="0"/>
    </x:xf>
    <x:xf numFmtId="0" fontId="31" fillId="3" borderId="213" xfId="1" applyNumberFormat="1" applyFont="1" applyFill="1" applyBorder="1"/>
    <x:xf numFmtId="212" fontId="23" fillId="3" borderId="213" xfId="1" applyNumberFormat="1" applyFont="1" applyFill="1" applyBorder="1"/>
    <x:xf numFmtId="211" fontId="23" fillId="3" borderId="213" xfId="1" applyNumberFormat="1" applyFont="1" applyFill="1" applyBorder="1"/>
    <x:xf numFmtId="208" fontId="23" fillId="3" borderId="213" xfId="1" applyNumberFormat="1" applyFont="1" applyFill="1" applyBorder="1"/>
    <x:xf numFmtId="0" fontId="32" fillId="3" borderId="213" xfId="1" applyNumberFormat="1" applyFont="1" applyFill="1" applyBorder="1"/>
    <x:xf numFmtId="212" fontId="24" fillId="3" borderId="213" xfId="1" applyNumberFormat="1" applyFont="1" applyFill="1" applyBorder="1"/>
    <x:xf numFmtId="211" fontId="24" fillId="3" borderId="213" xfId="1" applyNumberFormat="1" applyFont="1" applyFill="1" applyBorder="1"/>
    <x:xf numFmtId="208" fontId="24" fillId="3" borderId="213" xfId="1" applyNumberFormat="1" applyFont="1" applyFill="1" applyBorder="1"/>
    <x:xf numFmtId="0" fontId="32" fillId="3" borderId="213" xfId="1" applyNumberFormat="1" applyFont="1" applyFill="1" applyBorder="1" applyAlignment="1">
      <x:alignment vertical="center"/>
    </x:xf>
    <x:xf numFmtId="212" fontId="24" fillId="3" borderId="213" xfId="1" applyNumberFormat="1" applyFont="1" applyFill="1" applyBorder="1" applyAlignment="1">
      <x:alignment vertical="center"/>
    </x:xf>
    <x:xf numFmtId="211" fontId="24" fillId="3" borderId="213" xfId="1" applyNumberFormat="1" applyFont="1" applyFill="1" applyBorder="1" applyAlignment="1">
      <x:alignment vertical="center"/>
    </x:xf>
    <x:xf numFmtId="208" fontId="24" fillId="3" borderId="213" xfId="1" applyNumberFormat="1" applyFont="1" applyFill="1" applyBorder="1" applyAlignment="1">
      <x:alignment vertical="center"/>
    </x:xf>
    <x:xf numFmtId="0" fontId="32" fillId="3" borderId="213" xfId="1" applyNumberFormat="1" applyFont="1" applyFill="1" applyBorder="1" applyAlignment="1">
      <x:alignment vertical="center" wrapText="0"/>
    </x:xf>
    <x:xf numFmtId="212" fontId="24" fillId="3" borderId="213" xfId="1" applyNumberFormat="1" applyFont="1" applyFill="1" applyBorder="1" applyAlignment="1">
      <x:alignment vertical="center" wrapText="0"/>
    </x:xf>
    <x:xf numFmtId="211" fontId="24" fillId="3" borderId="213" xfId="1" applyNumberFormat="1" applyFont="1" applyFill="1" applyBorder="1" applyAlignment="1">
      <x:alignment vertical="center" wrapText="0"/>
    </x:xf>
    <x:xf numFmtId="208" fontId="24" fillId="3" borderId="213" xfId="1" applyNumberFormat="1" applyFont="1" applyFill="1" applyBorder="1" applyAlignment="1">
      <x:alignment vertical="center" wrapText="0"/>
    </x:xf>
    <x:xf numFmtId="209" fontId="31" fillId="3" borderId="213" xfId="1" applyNumberFormat="1" applyFont="1" applyFill="1" applyBorder="1"/>
    <x:xf numFmtId="209" fontId="32" fillId="3" borderId="213" xfId="1" applyNumberFormat="1" applyFont="1" applyFill="1" applyBorder="1"/>
    <x:xf numFmtId="209" fontId="32" fillId="3" borderId="213" xfId="1" applyNumberFormat="1" applyFont="1" applyFill="1" applyBorder="1" applyAlignment="1">
      <x:alignment vertical="center"/>
    </x:xf>
    <x:xf numFmtId="209" fontId="32" fillId="3" borderId="213" xfId="1" applyNumberFormat="1" applyFont="1" applyFill="1" applyBorder="1" applyAlignment="1">
      <x:alignment vertical="center" wrapText="0"/>
    </x:xf>
    <x:xf numFmtId="208" fontId="33" fillId="3" borderId="213" xfId="1" applyNumberFormat="1" applyFont="1" applyFill="1" applyBorder="1"/>
    <x:xf numFmtId="209" fontId="33" fillId="3" borderId="213" xfId="1" applyNumberFormat="1" applyFont="1" applyFill="1" applyBorder="1"/>
    <x:xf numFmtId="208" fontId="34" fillId="3" borderId="213" xfId="1" applyNumberFormat="1" applyFont="1" applyFill="1" applyBorder="1"/>
    <x:xf numFmtId="209" fontId="34" fillId="3" borderId="213" xfId="1" applyNumberFormat="1" applyFont="1" applyFill="1" applyBorder="1"/>
    <x:xf numFmtId="208" fontId="34" fillId="3" borderId="213" xfId="1" applyNumberFormat="1" applyFont="1" applyFill="1" applyBorder="1" applyAlignment="1">
      <x:alignment vertical="center"/>
    </x:xf>
    <x:xf numFmtId="209" fontId="34" fillId="3" borderId="213" xfId="1" applyNumberFormat="1" applyFont="1" applyFill="1" applyBorder="1" applyAlignment="1">
      <x:alignment vertical="center"/>
    </x:xf>
    <x:xf numFmtId="208" fontId="34" fillId="3" borderId="213" xfId="1" applyNumberFormat="1" applyFont="1" applyFill="1" applyBorder="1" applyAlignment="1">
      <x:alignment vertical="center" wrapText="0"/>
    </x:xf>
    <x:xf numFmtId="209" fontId="34" fillId="3" borderId="213" xfId="1" applyNumberFormat="1" applyFont="1" applyFill="1" applyBorder="1" applyAlignment="1">
      <x:alignment vertical="center" wrapText="0"/>
    </x:xf>
    <x:xf numFmtId="0" fontId="25" fillId="3" borderId="213" xfId="1" applyNumberFormat="1" applyFont="1" applyFill="1" applyBorder="1" applyAlignment="1">
      <x:alignment vertical="center" wrapText="0"/>
    </x:xf>
    <x:xf numFmtId="0" fontId="26" fillId="3" borderId="213" xfId="1" applyNumberFormat="1" applyFont="1" applyFill="1" applyBorder="1" applyAlignment="1">
      <x:alignment vertical="center" wrapText="0"/>
    </x:xf>
    <x:xf numFmtId="0" fontId="27" fillId="3" borderId="213" xfId="1" applyNumberFormat="1" applyFont="1" applyFill="1" applyBorder="1" applyAlignment="1">
      <x:alignment vertical="center" wrapText="0"/>
    </x:xf>
    <x:xf numFmtId="208" fontId="32" fillId="3" borderId="213" xfId="1" applyNumberFormat="1" applyFont="1" applyFill="1" applyBorder="1" applyAlignment="1">
      <x:alignment vertical="center" wrapText="0"/>
    </x:xf>
    <x:xf numFmtId="0" fontId="24" fillId="3" borderId="213" xfId="1" applyNumberFormat="1" applyFont="1" applyFill="1" applyBorder="1" applyAlignment="1">
      <x:alignment vertical="center" wrapText="1"/>
    </x:xf>
    <x:xf numFmtId="208" fontId="24" fillId="3" borderId="213" xfId="1" applyNumberFormat="1" applyFont="1" applyFill="1" applyBorder="1" applyAlignment="1">
      <x:alignment vertical="center" wrapText="1"/>
    </x:xf>
    <x:xf numFmtId="0" fontId="25" fillId="3" borderId="221" xfId="1" applyNumberFormat="1" applyFont="1" applyFill="1" applyBorder="1" applyAlignment="1">
      <x:alignment vertical="center" wrapText="0"/>
    </x:xf>
    <x:xf numFmtId="208" fontId="25" fillId="3" borderId="213" xfId="1" applyNumberFormat="1" applyFont="1" applyFill="1" applyBorder="1" applyAlignment="1">
      <x:alignment vertical="center" wrapText="0"/>
    </x:xf>
    <x:xf numFmtId="0" fontId="25" fillId="3" borderId="213" xfId="1" applyNumberFormat="1" applyFont="1" applyFill="1" applyBorder="1" applyAlignment="1">
      <x:alignment vertical="center" wrapText="1"/>
    </x:xf>
    <x:xf numFmtId="208" fontId="25" fillId="3" borderId="221" xfId="1" applyNumberFormat="1" applyFont="1" applyFill="1" applyBorder="1" applyAlignment="1">
      <x:alignment vertical="center" wrapText="0"/>
    </x:xf>
    <x:xf numFmtId="0" fontId="25" fillId="3" borderId="221" xfId="1" applyNumberFormat="1" applyFont="1" applyFill="1" applyBorder="1" applyAlignment="1">
      <x:alignment vertical="center" wrapText="1"/>
    </x:xf>
    <x:xf numFmtId="208" fontId="35" fillId="3" borderId="213" xfId="1" applyNumberFormat="1" applyFont="1" applyFill="1" applyBorder="1" applyAlignment="1">
      <x:alignment vertical="center" wrapText="0"/>
    </x:xf>
    <x:xf numFmtId="213" fontId="24" fillId="3" borderId="213" xfId="1" applyNumberFormat="1" applyFont="1" applyFill="1" applyBorder="1" applyAlignment="1">
      <x:alignment vertical="center" wrapText="0"/>
    </x:xf>
    <x:xf numFmtId="213" fontId="24" fillId="3" borderId="213" xfId="1" applyNumberFormat="1" applyFont="1" applyFill="1" applyBorder="1" applyAlignment="1">
      <x:alignment vertical="center" wrapText="1"/>
    </x:xf>
    <x:xf numFmtId="208" fontId="34" fillId="3" borderId="213" xfId="1" applyNumberFormat="1" applyFont="1" applyFill="1" applyBorder="1" applyAlignment="1">
      <x:alignment vertical="center" wrapText="1"/>
    </x:xf>
    <x:xf numFmtId="210" fontId="24" fillId="3" borderId="213" xfId="1" applyNumberFormat="1" applyFont="1" applyFill="1" applyBorder="1" applyAlignment="1">
      <x:alignment vertical="center" wrapText="1"/>
    </x:xf>
    <x:xf numFmtId="209" fontId="34" fillId="3" borderId="213" xfId="1" applyNumberFormat="1" applyFont="1" applyFill="1" applyBorder="1" applyAlignment="1">
      <x:alignment vertical="center" wrapText="1"/>
    </x:xf>
    <x:xf numFmtId="0" fontId="25" fillId="3" borderId="222" xfId="1" applyNumberFormat="1" applyFont="1" applyFill="1" applyBorder="1" applyAlignment="1">
      <x:alignment vertical="center" wrapText="0"/>
    </x:xf>
    <x:xf numFmtId="0" fontId="25" fillId="3" borderId="223" xfId="1" applyNumberFormat="1" applyFont="1" applyFill="1" applyBorder="1" applyAlignment="1">
      <x:alignment vertical="center" wrapText="0"/>
    </x:xf>
    <x:xf numFmtId="0" fontId="24" fillId="3" borderId="217" xfId="1" applyNumberFormat="1" applyFont="1" applyFill="1" applyBorder="1" applyAlignment="1">
      <x:alignment vertical="center" wrapText="1"/>
    </x:xf>
    <x:xf numFmtId="208" fontId="32" fillId="3" borderId="218" xfId="1" applyNumberFormat="1" applyFont="1" applyFill="1" applyBorder="1" applyAlignment="1">
      <x:alignment vertical="center" wrapText="0"/>
    </x:xf>
    <x:xf numFmtId="208" fontId="24" fillId="3" borderId="218" xfId="1" applyNumberFormat="1" applyFont="1" applyFill="1" applyBorder="1" applyAlignment="1">
      <x:alignment vertical="center" wrapText="0"/>
    </x:xf>
    <x:xf numFmtId="0" fontId="25" fillId="3" borderId="217" xfId="1" applyNumberFormat="1" applyFont="1" applyFill="1" applyBorder="1" applyAlignment="1">
      <x:alignment vertical="center" wrapText="1"/>
    </x:xf>
    <x:xf numFmtId="208" fontId="25" fillId="3" borderId="218" xfId="1" applyNumberFormat="1" applyFont="1" applyFill="1" applyBorder="1" applyAlignment="1">
      <x:alignment vertical="center" wrapText="0"/>
    </x:xf>
    <x:xf numFmtId="0" fontId="25" fillId="3" borderId="219" xfId="1" applyNumberFormat="1" applyFont="1" applyFill="1" applyBorder="1" applyAlignment="1">
      <x:alignment vertical="center" wrapText="1"/>
    </x:xf>
    <x:xf numFmtId="208" fontId="25" fillId="3" borderId="220" xfId="1" applyNumberFormat="1" applyFont="1" applyFill="1" applyBorder="1" applyAlignment="1">
      <x:alignment vertical="center" wrapText="0"/>
    </x:xf>
    <x:xf numFmtId="0" fontId="24" fillId="3" borderId="224" xfId="1" applyNumberFormat="1" applyFont="1" applyFill="1" applyBorder="1" applyAlignment="1">
      <x:alignment vertical="center" wrapText="1"/>
    </x:xf>
    <x:xf numFmtId="208" fontId="32" fillId="3" borderId="225" xfId="1" applyNumberFormat="1" applyFont="1" applyFill="1" applyBorder="1" applyAlignment="1">
      <x:alignment vertical="center" wrapText="0"/>
    </x:xf>
    <x:xf numFmtId="213" fontId="24" fillId="3" borderId="218" xfId="1" applyNumberFormat="1" applyFont="1" applyFill="1" applyBorder="1" applyAlignment="1">
      <x:alignment vertical="center" wrapText="0"/>
    </x:xf>
    <x:xf numFmtId="208" fontId="35" fillId="3" borderId="218" xfId="1" applyNumberFormat="1" applyFont="1" applyFill="1" applyBorder="1" applyAlignment="1">
      <x:alignment vertical="center" wrapText="0"/>
    </x:xf>
    <x:xf numFmtId="0" fontId="24" fillId="3" borderId="219" xfId="1" applyNumberFormat="1" applyFont="1" applyFill="1" applyBorder="1" applyAlignment="1">
      <x:alignment vertical="center" wrapText="1"/>
    </x:xf>
    <x:xf numFmtId="213" fontId="24" fillId="3" borderId="220" xfId="1" applyNumberFormat="1" applyFont="1" applyFill="1" applyBorder="1" applyAlignment="1">
      <x:alignment vertical="center" wrapText="0"/>
    </x:xf>
    <x:xf numFmtId="0" fontId="25" fillId="3" borderId="224" xfId="1" applyNumberFormat="1" applyFont="1" applyFill="1" applyBorder="1" applyAlignment="1">
      <x:alignment vertical="center" wrapText="1"/>
    </x:xf>
    <x:xf numFmtId="208" fontId="25" fillId="3" borderId="225" xfId="1" applyNumberFormat="1" applyFont="1" applyFill="1" applyBorder="1" applyAlignment="1">
      <x:alignment vertical="center" wrapText="0"/>
    </x:xf>
    <x:xf numFmtId="211" fontId="24" fillId="3" borderId="220" xfId="1" applyNumberFormat="1" applyFont="1" applyFill="1" applyBorder="1" applyAlignment="1">
      <x:alignment vertical="center" wrapText="0"/>
    </x:xf>
    <x:xf numFmtId="0" fontId="24" fillId="3" borderId="225" xfId="1" applyNumberFormat="1" applyFont="1" applyFill="1" applyBorder="1" applyAlignment="1">
      <x:alignment vertical="center" wrapText="1"/>
    </x:xf>
    <x:xf numFmtId="208" fontId="24" fillId="3" borderId="218" xfId="1" applyNumberFormat="1" applyFont="1" applyFill="1" applyBorder="1" applyAlignment="1">
      <x:alignment vertical="center" wrapText="1"/>
    </x:xf>
    <x:xf numFmtId="208" fontId="24" fillId="3" borderId="220" xfId="1" applyNumberFormat="1" applyFont="1" applyFill="1" applyBorder="1" applyAlignment="1">
      <x:alignment vertical="center" wrapText="1"/>
    </x:xf>
    <x:xf numFmtId="208" fontId="25" fillId="3" borderId="226" xfId="1" applyNumberFormat="1" applyFont="1" applyFill="1" applyBorder="1" applyAlignment="1">
      <x:alignment vertical="center" wrapText="0"/>
    </x:xf>
    <x:xf numFmtId="0" fontId="25" fillId="3" borderId="226" xfId="1" applyNumberFormat="1" applyFont="1" applyFill="1" applyBorder="1" applyAlignment="1">
      <x:alignment vertical="center" wrapText="0"/>
    </x:xf>
    <x:xf numFmtId="0" fontId="25" fillId="3" borderId="226" xfId="1" applyNumberFormat="1" applyFont="1" applyFill="1" applyBorder="1" applyAlignment="1">
      <x:alignment vertical="center" wrapText="1"/>
    </x:xf>
    <x:xf numFmtId="0" fontId="24" fillId="3" borderId="217" xfId="1" applyNumberFormat="1" applyFont="1" applyFill="1" applyBorder="1" applyAlignment="1">
      <x:alignment vertical="center" wrapText="0"/>
    </x:xf>
    <x:xf numFmtId="208" fontId="24" fillId="3" borderId="227" xfId="1" applyNumberFormat="1" applyFont="1" applyFill="1" applyBorder="1" applyAlignment="1">
      <x:alignment vertical="center" wrapText="0"/>
    </x:xf>
    <x:xf numFmtId="208" fontId="24" fillId="3" borderId="227" xfId="1" applyNumberFormat="1" applyFont="1" applyFill="1" applyBorder="1" applyAlignment="1">
      <x:alignment vertical="center" wrapText="1"/>
    </x:xf>
    <x:xf numFmtId="210" fontId="24" fillId="3" borderId="227" xfId="1" applyNumberFormat="1" applyFont="1" applyFill="1" applyBorder="1" applyAlignment="1">
      <x:alignment vertical="center" wrapText="0"/>
    </x:xf>
    <x:xf numFmtId="210" fontId="24" fillId="3" borderId="218" xfId="1" applyNumberFormat="1" applyFont="1" applyFill="1" applyBorder="1" applyAlignment="1">
      <x:alignment vertical="center" wrapText="0"/>
    </x:xf>
    <x:xf numFmtId="0" fontId="24" fillId="3" borderId="227" xfId="1" applyNumberFormat="1" applyFont="1" applyFill="1" applyBorder="1" applyAlignment="1">
      <x:alignment vertical="center" wrapText="0"/>
    </x:xf>
    <x:xf numFmtId="0" fontId="24" fillId="3" borderId="218" xfId="1" applyNumberFormat="1" applyFont="1" applyFill="1" applyBorder="1" applyAlignment="1">
      <x:alignment vertical="center" wrapText="0"/>
    </x:xf>
    <x:xf numFmtId="213" fontId="24" fillId="3" borderId="227" xfId="1" applyNumberFormat="1" applyFont="1" applyFill="1" applyBorder="1" applyAlignment="1">
      <x:alignment vertical="center" wrapText="0"/>
    </x:xf>
    <x:xf numFmtId="213" fontId="24" fillId="3" borderId="227" xfId="1" applyNumberFormat="1" applyFont="1" applyFill="1" applyBorder="1" applyAlignment="1">
      <x:alignment vertical="center" wrapText="1"/>
    </x:xf>
    <x:xf numFmtId="0" fontId="24" fillId="3" borderId="219" xfId="1" applyNumberFormat="1" applyFont="1" applyFill="1" applyBorder="1" applyAlignment="1">
      <x:alignment vertical="center" wrapText="0"/>
    </x:xf>
    <x:xf numFmtId="213" fontId="24" fillId="3" borderId="228" xfId="1" applyNumberFormat="1" applyFont="1" applyFill="1" applyBorder="1" applyAlignment="1">
      <x:alignment vertical="center" wrapText="0"/>
    </x:xf>
    <x:xf numFmtId="213" fontId="24" fillId="3" borderId="228" xfId="1" applyNumberFormat="1" applyFont="1" applyFill="1" applyBorder="1" applyAlignment="1">
      <x:alignment vertical="center" wrapText="1"/>
    </x:xf>
    <x:xf numFmtId="0" fontId="24" fillId="3" borderId="228" xfId="1" applyNumberFormat="1" applyFont="1" applyFill="1" applyBorder="1" applyAlignment="1">
      <x:alignment vertical="center" wrapText="0"/>
    </x:xf>
    <x:xf numFmtId="0" fontId="24" fillId="3" borderId="220" xfId="1" applyNumberFormat="1" applyFont="1" applyFill="1" applyBorder="1" applyAlignment="1">
      <x:alignment vertical="center" wrapText="0"/>
    </x:xf>
    <x:xf numFmtId="0" fontId="24" fillId="3" borderId="215" xfId="1" applyNumberFormat="1" applyFont="1" applyFill="1" applyBorder="1" applyAlignment="1">
      <x:alignment vertical="center" wrapText="0"/>
    </x:xf>
    <x:xf numFmtId="208" fontId="24" fillId="3" borderId="216" xfId="1" applyNumberFormat="1" applyFont="1" applyFill="1" applyBorder="1" applyAlignment="1">
      <x:alignment vertical="center" wrapText="0"/>
    </x:xf>
    <x:xf numFmtId="0" fontId="24" fillId="3" borderId="224" xfId="1" applyNumberFormat="1" applyFont="1" applyFill="1" applyBorder="1" applyAlignment="1">
      <x:alignment vertical="center" wrapText="0"/>
    </x:xf>
    <x:xf numFmtId="209" fontId="32" fillId="3" borderId="220" xfId="1" applyNumberFormat="1" applyFont="1" applyFill="1" applyBorder="1" applyAlignment="1">
      <x:alignment vertical="center" wrapText="0"/>
    </x:xf>
    <x:xf numFmtId="208" fontId="32" fillId="3" borderId="216" xfId="1" applyNumberFormat="1" applyFont="1" applyFill="1" applyBorder="1" applyAlignment="1">
      <x:alignment vertical="center" wrapText="0"/>
    </x:xf>
    <x:xf numFmtId="0" fontId="25" fillId="5" borderId="222" xfId="1" applyNumberFormat="1" applyFont="1" applyFill="1" applyBorder="1" applyAlignment="1">
      <x:alignment vertical="center" wrapText="0"/>
    </x:xf>
    <x:xf numFmtId="0" fontId="25" fillId="5" borderId="223" xfId="1" applyNumberFormat="1" applyFont="1" applyFill="1" applyBorder="1" applyAlignment="1">
      <x:alignment vertical="center" wrapText="0"/>
    </x:xf>
    <x:xf numFmtId="0" fontId="25" fillId="5" borderId="222" xfId="1" applyNumberFormat="1" applyFont="1" applyFill="1" applyBorder="1" applyAlignment="1">
      <x:alignment horizontal="center" vertical="center" wrapText="0"/>
    </x:xf>
    <x:xf numFmtId="0" fontId="25" fillId="5" borderId="223" xfId="1" applyNumberFormat="1" applyFont="1" applyFill="1" applyBorder="1" applyAlignment="1">
      <x:alignment horizontal="center" vertical="center" wrapText="0"/>
    </x:xf>
    <x:xf numFmtId="0" fontId="25" fillId="5" borderId="215" xfId="1" applyNumberFormat="1" applyFont="1" applyFill="1" applyBorder="1" applyAlignment="1">
      <x:alignment horizontal="center" vertical="center" wrapText="0"/>
    </x:xf>
    <x:xf numFmtId="0" fontId="25" fillId="5" borderId="216" xfId="1" applyNumberFormat="1" applyFont="1" applyFill="1" applyBorder="1" applyAlignment="1">
      <x:alignment horizontal="center" vertical="center" wrapText="0"/>
    </x:xf>
    <x:xf numFmtId="0" fontId="24" fillId="5" borderId="224" xfId="1" applyNumberFormat="1" applyFont="1" applyFill="1" applyBorder="1" applyAlignment="1">
      <x:alignment vertical="center" wrapText="1"/>
    </x:xf>
    <x:xf numFmtId="0" fontId="24" fillId="5" borderId="225" xfId="1" applyNumberFormat="1" applyFont="1" applyFill="1" applyBorder="1" applyAlignment="1">
      <x:alignment vertical="center" wrapText="1"/>
    </x:xf>
    <x:xf numFmtId="0" fontId="25" fillId="5" borderId="224" xfId="1" applyNumberFormat="1" applyFont="1" applyFill="1" applyBorder="1" applyAlignment="1">
      <x:alignment vertical="center" wrapText="1"/>
    </x:xf>
    <x:xf numFmtId="0" fontId="25" fillId="5" borderId="225" xfId="1" applyNumberFormat="1" applyFont="1" applyFill="1" applyBorder="1" applyAlignment="1">
      <x:alignment vertical="center" wrapText="1"/>
    </x:xf>
    <x:xf numFmtId="0" fontId="25" fillId="5" borderId="224" xfId="1" applyNumberFormat="1" applyFont="1" applyFill="1" applyBorder="1" applyAlignment="1">
      <x:alignment horizontal="center" vertical="center" wrapText="1"/>
    </x:xf>
    <x:xf numFmtId="0" fontId="25" fillId="5" borderId="225" xfId="1" applyNumberFormat="1" applyFont="1" applyFill="1" applyBorder="1" applyAlignment="1">
      <x:alignment horizontal="center" vertical="center" wrapText="1"/>
    </x:xf>
    <x:xf numFmtId="0" fontId="25" fillId="5" borderId="215" xfId="1" applyNumberFormat="1" applyFont="1" applyFill="1" applyBorder="1" applyAlignment="1">
      <x:alignment horizontal="center" vertical="center" wrapText="1"/>
    </x:xf>
    <x:xf numFmtId="0" fontId="25" fillId="5" borderId="216" xfId="1" applyNumberFormat="1" applyFont="1" applyFill="1" applyBorder="1" applyAlignment="1">
      <x:alignment horizontal="center" vertical="center" wrapText="1"/>
    </x:xf>
    <x:xf numFmtId="208" fontId="25" fillId="5" borderId="226" xfId="1" applyNumberFormat="1" applyFont="1" applyFill="1" applyBorder="1" applyAlignment="1">
      <x:alignment vertical="center" wrapText="0"/>
    </x:xf>
    <x:xf numFmtId="0" fontId="25" fillId="5" borderId="226" xfId="1" applyNumberFormat="1" applyFont="1" applyFill="1" applyBorder="1" applyAlignment="1">
      <x:alignment vertical="center" wrapText="0"/>
    </x:xf>
    <x:xf numFmtId="0" fontId="25" fillId="5" borderId="226" xfId="1" applyNumberFormat="1" applyFont="1" applyFill="1" applyBorder="1" applyAlignment="1">
      <x:alignment vertical="center" wrapText="1"/>
    </x:xf>
    <x:xf numFmtId="208" fontId="25" fillId="5" borderId="226" xfId="1" applyNumberFormat="1" applyFont="1" applyFill="1" applyBorder="1" applyAlignment="1">
      <x:alignment horizontal="center" vertical="center" wrapText="0"/>
    </x:xf>
    <x:xf numFmtId="0" fontId="25" fillId="5" borderId="226" xfId="1" applyNumberFormat="1" applyFont="1" applyFill="1" applyBorder="1" applyAlignment="1">
      <x:alignment horizontal="center" vertical="center" wrapText="0"/>
    </x:xf>
    <x:xf numFmtId="0" fontId="25" fillId="5" borderId="226" xfId="1" applyNumberFormat="1" applyFont="1" applyFill="1" applyBorder="1" applyAlignment="1">
      <x:alignment horizontal="center" vertical="center" wrapText="1"/>
    </x:xf>
    <x:xf numFmtId="208" fontId="25" fillId="5" borderId="229" xfId="1" applyNumberFormat="1" applyFont="1" applyFill="1" applyBorder="1" applyAlignment="1">
      <x:alignment horizontal="center" vertical="center" wrapText="0"/>
    </x:xf>
    <x:xf numFmtId="0" fontId="25" fillId="5" borderId="229" xfId="1" applyNumberFormat="1" applyFont="1" applyFill="1" applyBorder="1" applyAlignment="1">
      <x:alignment horizontal="center" vertical="center" wrapText="0"/>
    </x:xf>
    <x:xf numFmtId="0" fontId="25" fillId="5" borderId="229" xfId="1" applyNumberFormat="1" applyFont="1" applyFill="1" applyBorder="1" applyAlignment="1">
      <x:alignment horizontal="center" vertical="center" wrapText="1"/>
    </x:xf>
    <x:xf numFmtId="0" fontId="25" fillId="5" borderId="221" xfId="1" applyNumberFormat="1" applyFont="1" applyFill="1" applyBorder="1" applyAlignment="1">
      <x:alignment vertical="center" wrapText="1"/>
    </x:xf>
    <x:xf numFmtId="0" fontId="25" fillId="5" borderId="221" xfId="1" applyNumberFormat="1" applyFont="1" applyFill="1" applyBorder="1" applyAlignment="1">
      <x:alignment horizontal="center" vertical="center" wrapText="1"/>
    </x:xf>
    <x:xf numFmtId="0" fontId="25" fillId="5" borderId="214" xfId="1" applyNumberFormat="1" applyFont="1" applyFill="1" applyBorder="1" applyAlignment="1">
      <x:alignment horizontal="center" vertical="center" wrapText="1"/>
    </x:xf>
    <x:xf numFmtId="0" fontId="25" fillId="3" borderId="215" xfId="1" applyNumberFormat="1" applyFont="1" applyFill="1" applyBorder="1" applyAlignment="1">
      <x:alignment vertical="center" wrapText="1"/>
    </x:xf>
    <x:xf numFmtId="208" fontId="25" fillId="3" borderId="216" xfId="1" applyNumberFormat="1" applyFont="1" applyFill="1" applyBorder="1" applyAlignment="1">
      <x:alignment vertical="center" wrapText="0"/>
    </x:xf>
    <x:xf numFmtId="208" fontId="35" fillId="3" borderId="225" xfId="1" applyNumberFormat="1" applyFont="1" applyFill="1" applyBorder="1" applyAlignment="1">
      <x:alignment vertical="center" wrapText="0"/>
    </x:xf>
    <x:xf numFmtId="0" fontId="25" fillId="3" borderId="217" xfId="1" applyNumberFormat="1" applyFont="1" applyFill="1" applyBorder="1" applyAlignment="1">
      <x:alignment vertical="center" wrapText="0"/>
    </x:xf>
    <x:xf numFmtId="208" fontId="25" fillId="3" borderId="227" xfId="1" applyNumberFormat="1" applyFont="1" applyFill="1" applyBorder="1" applyAlignment="1">
      <x:alignment vertical="center" wrapText="0"/>
    </x:xf>
    <x:xf numFmtId="208" fontId="25" fillId="3" borderId="227" xfId="1" applyNumberFormat="1" applyFont="1" applyFill="1" applyBorder="1" applyAlignment="1">
      <x:alignment vertical="center" wrapText="1"/>
    </x:xf>
    <x:xf numFmtId="0" fontId="25" fillId="3" borderId="224" xfId="1" applyNumberFormat="1" applyFont="1" applyFill="1" applyBorder="1" applyAlignment="1">
      <x:alignment vertical="center" wrapText="0"/>
    </x:xf>
    <x:xf numFmtId="208" fontId="25" fillId="3" borderId="230" xfId="1" applyNumberFormat="1" applyFont="1" applyFill="1" applyBorder="1" applyAlignment="1">
      <x:alignment vertical="center" wrapText="0"/>
    </x:xf>
    <x:xf numFmtId="208" fontId="25" fillId="3" borderId="230" xfId="1" applyNumberFormat="1" applyFont="1" applyFill="1" applyBorder="1" applyAlignment="1">
      <x:alignment vertical="center" wrapText="1"/>
    </x:xf>
    <x:xf numFmtId="0" fontId="24" fillId="3" borderId="230" xfId="1" applyNumberFormat="1" applyFont="1" applyFill="1" applyBorder="1" applyAlignment="1">
      <x:alignment vertical="center" wrapText="1"/>
    </x:xf>
    <x:xf numFmtId="208" fontId="34" fillId="3" borderId="227" xfId="1" applyNumberFormat="1" applyFont="1" applyFill="1" applyBorder="1" applyAlignment="1">
      <x:alignment vertical="center" wrapText="1"/>
    </x:xf>
    <x:xf numFmtId="0" fontId="24" fillId="3" borderId="227" xfId="1" applyNumberFormat="1" applyFont="1" applyFill="1" applyBorder="1" applyAlignment="1">
      <x:alignment vertical="center" wrapText="1"/>
    </x:xf>
    <x:xf numFmtId="210" fontId="24" fillId="3" borderId="227" xfId="1" applyNumberFormat="1" applyFont="1" applyFill="1" applyBorder="1" applyAlignment="1">
      <x:alignment vertical="center" wrapText="1"/>
    </x:xf>
    <x:xf numFmtId="0" fontId="24" fillId="3" borderId="218" xfId="1" applyNumberFormat="1" applyFont="1" applyFill="1" applyBorder="1" applyAlignment="1">
      <x:alignment vertical="center" wrapText="1"/>
    </x:xf>
    <x:xf numFmtId="209" fontId="34" fillId="3" borderId="227" xfId="1" applyNumberFormat="1" applyFont="1" applyFill="1" applyBorder="1" applyAlignment="1">
      <x:alignment vertical="center" wrapText="1"/>
    </x:xf>
    <x:xf numFmtId="208" fontId="34" fillId="3" borderId="228" xfId="1" applyNumberFormat="1" applyFont="1" applyFill="1" applyBorder="1" applyAlignment="1">
      <x:alignment vertical="center" wrapText="1"/>
    </x:xf>
    <x:xf numFmtId="0" fontId="24" fillId="3" borderId="228" xfId="1" applyNumberFormat="1" applyFont="1" applyFill="1" applyBorder="1" applyAlignment="1">
      <x:alignment vertical="center" wrapText="1"/>
    </x:xf>
    <x:xf numFmtId="210" fontId="24" fillId="3" borderId="228" xfId="1" applyNumberFormat="1" applyFont="1" applyFill="1" applyBorder="1" applyAlignment="1">
      <x:alignment vertical="center" wrapText="1"/>
    </x:xf>
    <x:xf numFmtId="0" fontId="24" fillId="3" borderId="220" xfId="1" applyNumberFormat="1" applyFont="1" applyFill="1" applyBorder="1" applyAlignment="1">
      <x:alignment vertical="center" wrapText="1"/>
    </x:xf>
    <x:xf numFmtId="0" fontId="24" fillId="5" borderId="230" xfId="1" applyNumberFormat="1" applyFont="1" applyFill="1" applyBorder="1" applyAlignment="1">
      <x:alignment vertical="center" wrapText="1"/>
    </x:xf>
    <x:xf numFmtId="0" fontId="25" fillId="5" borderId="230" xfId="1" applyNumberFormat="1" applyFont="1" applyFill="1" applyBorder="1" applyAlignment="1">
      <x:alignment vertical="center" wrapText="1"/>
    </x:xf>
    <x:xf numFmtId="0" fontId="25" fillId="5" borderId="230" xfId="1" applyNumberFormat="1" applyFont="1" applyFill="1" applyBorder="1" applyAlignment="1">
      <x:alignment horizontal="center" vertical="center" wrapText="1"/>
    </x:xf>
    <x:xf numFmtId="208" fontId="36" fillId="3" borderId="213" xfId="1" applyNumberFormat="1" applyFont="1" applyFill="1" applyBorder="1" applyAlignment="1">
      <x:alignment vertical="center" wrapText="0"/>
    </x:xf>
    <x:xf numFmtId="207" fontId="24" fillId="3" borderId="213" xfId="1" applyNumberFormat="1" applyFont="1" applyFill="1" applyBorder="1" applyAlignment="1">
      <x:alignment vertical="center" wrapText="0"/>
    </x:xf>
    <x:xf numFmtId="207" fontId="27" fillId="3" borderId="213" xfId="1" applyNumberFormat="1" applyFont="1" applyFill="1" applyBorder="1" applyAlignment="1">
      <x:alignment vertical="center" wrapText="0"/>
    </x:xf>
    <x:xf numFmtId="0" fontId="24" fillId="5" borderId="213" xfId="1" applyNumberFormat="1" applyFont="1" applyFill="1" applyBorder="1" applyAlignment="1">
      <x:alignment vertical="center" wrapText="1"/>
    </x:xf>
    <x:xf numFmtId="0" fontId="25" fillId="5" borderId="213" xfId="1" applyNumberFormat="1" applyFont="1" applyFill="1" applyBorder="1" applyAlignment="1">
      <x:alignment vertical="center" wrapText="1"/>
    </x:xf>
    <x:xf numFmtId="0" fontId="25" fillId="5" borderId="213" xfId="1" applyNumberFormat="1" applyFont="1" applyFill="1" applyBorder="1" applyAlignment="1">
      <x:alignment horizontal="center" vertical="center" wrapText="1"/>
    </x:xf>
    <x:xf numFmtId="208" fontId="32" fillId="3" borderId="227" xfId="1" applyNumberFormat="1" applyFont="1" applyFill="1" applyBorder="1" applyAlignment="1">
      <x:alignment vertical="center" wrapText="0"/>
    </x:xf>
    <x:xf numFmtId="208" fontId="36" fillId="3" borderId="218" xfId="1" applyNumberFormat="1" applyFont="1" applyFill="1" applyBorder="1" applyAlignment="1">
      <x:alignment vertical="center" wrapText="0"/>
    </x:xf>
    <x:xf numFmtId="208" fontId="32" fillId="3" borderId="228" xfId="1" applyNumberFormat="1" applyFont="1" applyFill="1" applyBorder="1" applyAlignment="1">
      <x:alignment vertical="center" wrapText="0"/>
    </x:xf>
    <x:xf numFmtId="208" fontId="36" fillId="3" borderId="220" xfId="1" applyNumberFormat="1" applyFont="1" applyFill="1" applyBorder="1" applyAlignment="1">
      <x:alignment vertical="center" wrapText="0"/>
    </x:xf>
    <x:xf numFmtId="0" fontId="37" fillId="3" borderId="213" xfId="1" applyNumberFormat="1" applyFont="1" applyFill="1" applyBorder="1" applyAlignment="1">
      <x:alignment vertical="center" wrapText="0"/>
    </x:xf>
    <x:xf numFmtId="207" fontId="37" fillId="3" borderId="213" xfId="1" applyNumberFormat="1" applyFont="1" applyFill="1" applyBorder="1" applyAlignment="1">
      <x:alignment vertical="center" wrapText="0"/>
    </x:xf>
    <x:xf numFmtId="0" fontId="37" fillId="3" borderId="231" xfId="1" applyNumberFormat="1" applyFont="1" applyFill="1" applyBorder="1" applyAlignment="1">
      <x:alignment vertical="center" wrapText="0"/>
    </x:xf>
    <x:xf numFmtId="207" fontId="37" fillId="3" borderId="231" xfId="1" applyNumberFormat="1" applyFont="1" applyFill="1" applyBorder="1" applyAlignment="1">
      <x:alignment vertical="center" wrapText="0"/>
    </x:xf>
    <x:xf numFmtId="208" fontId="32" fillId="3" borderId="213" xfId="1" applyNumberFormat="1" applyFont="1" applyFill="1" applyBorder="1" applyAlignment="1">
      <x:alignment vertical="center" wrapText="1"/>
    </x:xf>
    <x:xf numFmtId="208" fontId="32" fillId="3" borderId="227" xfId="1" applyNumberFormat="1" applyFont="1" applyFill="1" applyBorder="1" applyAlignment="1">
      <x:alignment vertical="center" wrapText="1"/>
    </x:xf>
    <x:xf numFmtId="208" fontId="32" fillId="3" borderId="228" xfId="1" applyNumberFormat="1" applyFont="1" applyFill="1" applyBorder="1" applyAlignment="1">
      <x:alignment vertical="center" wrapText="1"/>
    </x:xf>
    <x:xf numFmtId="208" fontId="24" fillId="3" borderId="228" xfId="1" applyNumberFormat="1" applyFont="1" applyFill="1" applyBorder="1" applyAlignment="1">
      <x:alignment vertical="center" wrapText="1"/>
    </x:xf>
    <x:xf numFmtId="208" fontId="36" fillId="3" borderId="213" xfId="1" applyNumberFormat="1" applyFont="1" applyFill="1" applyBorder="1" applyAlignment="1">
      <x:alignment vertical="center" wrapText="1"/>
    </x:xf>
    <x:xf numFmtId="210" fontId="24" fillId="3" borderId="217" xfId="1" applyNumberFormat="1" applyFont="1" applyFill="1" applyBorder="1" applyAlignment="1">
      <x:alignment vertical="center" wrapText="1"/>
    </x:xf>
    <x:xf numFmtId="208" fontId="36" fillId="3" borderId="227" xfId="1" applyNumberFormat="1" applyFont="1" applyFill="1" applyBorder="1" applyAlignment="1">
      <x:alignment vertical="center" wrapText="1"/>
    </x:xf>
    <x:xf numFmtId="210" fontId="24" fillId="3" borderId="219" xfId="1" applyNumberFormat="1" applyFont="1" applyFill="1" applyBorder="1" applyAlignment="1">
      <x:alignment vertical="center" wrapText="1"/>
    </x:xf>
    <x:xf numFmtId="208" fontId="38" fillId="3" borderId="225" xfId="1" applyNumberFormat="1" applyFont="1" applyFill="1" applyBorder="1" applyAlignment="1">
      <x:alignment vertical="center" wrapText="0"/>
    </x:xf>
    <x:xf numFmtId="0" fontId="24" fillId="3" borderId="213" xfId="1" applyNumberFormat="1" applyFont="1" applyFill="1" applyBorder="1" applyAlignment="1">
      <x:alignment wrapText="1"/>
    </x:xf>
    <x:xf numFmtId="0" fontId="24" fillId="3" borderId="224" xfId="1" applyNumberFormat="1" applyFont="1" applyFill="1" applyBorder="1" applyAlignment="1">
      <x:alignment vertical="top" wrapText="1"/>
    </x:xf>
    <x:xf numFmtId="0" fontId="24" fillId="3" borderId="230" xfId="1" applyNumberFormat="1" applyFont="1" applyFill="1" applyBorder="1" applyAlignment="1">
      <x:alignment vertical="top" wrapText="1"/>
    </x:xf>
    <x:xf numFmtId="0" fontId="24" fillId="3" borderId="225" xfId="1" applyNumberFormat="1" applyFont="1" applyFill="1" applyBorder="1" applyAlignment="1">
      <x:alignment vertical="top" wrapText="1"/>
    </x:xf>
    <x:xf numFmtId="0" fontId="24" fillId="3" borderId="227" xfId="1" applyNumberFormat="1" applyFont="1" applyFill="1" applyBorder="1" applyAlignment="1">
      <x:alignment vertical="top" wrapText="1"/>
    </x:xf>
    <x:xf numFmtId="0" fontId="24" fillId="3" borderId="228" xfId="1" applyNumberFormat="1" applyFont="1" applyFill="1" applyBorder="1" applyAlignment="1">
      <x:alignment vertical="top" wrapText="1"/>
    </x:xf>
    <x:xf numFmtId="0" fontId="24" fillId="3" borderId="232" xfId="1" applyNumberFormat="1" applyFont="1" applyFill="1" applyBorder="1" applyAlignment="1">
      <x:alignment vertical="top" wrapText="1"/>
    </x:xf>
    <x:xf numFmtId="0" fontId="24" fillId="3" borderId="233" xfId="1" applyNumberFormat="1" applyFont="1" applyFill="1" applyBorder="1" applyAlignment="1">
      <x:alignment vertical="top" wrapText="1"/>
    </x:xf>
    <x:xf numFmtId="0" fontId="24" fillId="3" borderId="234" xfId="1" applyNumberFormat="1" applyFont="1" applyFill="1" applyBorder="1" applyAlignment="1">
      <x:alignment vertical="top" wrapText="1"/>
    </x:xf>
    <x:xf numFmtId="0" fontId="24" fillId="5" borderId="224" xfId="1" applyNumberFormat="1" applyFont="1" applyFill="1" applyBorder="1" applyAlignment="1">
      <x:alignment vertical="top" wrapText="1"/>
    </x:xf>
    <x:xf numFmtId="0" fontId="24" fillId="5" borderId="230" xfId="1" applyNumberFormat="1" applyFont="1" applyFill="1" applyBorder="1" applyAlignment="1">
      <x:alignment vertical="top" wrapText="1"/>
    </x:xf>
    <x:xf numFmtId="0" fontId="24" fillId="5" borderId="225" xfId="1" applyNumberFormat="1" applyFont="1" applyFill="1" applyBorder="1" applyAlignment="1">
      <x:alignment vertical="top" wrapText="1"/>
    </x:xf>
    <x:xf numFmtId="0" fontId="25" fillId="5" borderId="224" xfId="1" applyNumberFormat="1" applyFont="1" applyFill="1" applyBorder="1" applyAlignment="1">
      <x:alignment vertical="top" wrapText="1"/>
    </x:xf>
    <x:xf numFmtId="0" fontId="25" fillId="5" borderId="230" xfId="1" applyNumberFormat="1" applyFont="1" applyFill="1" applyBorder="1" applyAlignment="1">
      <x:alignment vertical="top" wrapText="1"/>
    </x:xf>
    <x:xf numFmtId="0" fontId="25" fillId="5" borderId="225" xfId="1" applyNumberFormat="1" applyFont="1" applyFill="1" applyBorder="1" applyAlignment="1">
      <x:alignment vertical="top" wrapText="1"/>
    </x:xf>
    <x:xf numFmtId="0" fontId="25" fillId="5" borderId="224" xfId="1" applyNumberFormat="1" applyFont="1" applyFill="1" applyBorder="1" applyAlignment="1">
      <x:alignment horizontal="center" vertical="top" wrapText="1"/>
    </x:xf>
    <x:xf numFmtId="0" fontId="25" fillId="5" borderId="230" xfId="1" applyNumberFormat="1" applyFont="1" applyFill="1" applyBorder="1" applyAlignment="1">
      <x:alignment horizontal="center" vertical="top" wrapText="1"/>
    </x:xf>
    <x:xf numFmtId="0" fontId="25" fillId="5" borderId="225" xfId="1" applyNumberFormat="1" applyFont="1" applyFill="1" applyBorder="1" applyAlignment="1">
      <x:alignment horizontal="center" vertical="top" wrapText="1"/>
    </x:xf>
    <x:xf numFmtId="0" fontId="25" fillId="5" borderId="229" xfId="1" applyNumberFormat="1" applyFont="1" applyFill="1" applyBorder="1" applyAlignment="1">
      <x:alignment horizontal="center" vertical="top" wrapText="1"/>
    </x:xf>
    <x:xf numFmtId="0" fontId="24" fillId="5" borderId="232" xfId="1" applyNumberFormat="1" applyFont="1" applyFill="1" applyBorder="1" applyAlignment="1">
      <x:alignment vertical="top" wrapText="1"/>
    </x:xf>
    <x:xf numFmtId="0" fontId="25" fillId="5" borderId="232" xfId="1" applyNumberFormat="1" applyFont="1" applyFill="1" applyBorder="1" applyAlignment="1">
      <x:alignment vertical="top" wrapText="1"/>
    </x:xf>
    <x:xf numFmtId="0" fontId="25" fillId="5" borderId="232" xfId="1" applyNumberFormat="1" applyFont="1" applyFill="1" applyBorder="1" applyAlignment="1">
      <x:alignment horizontal="center" vertical="top" wrapText="1"/>
    </x:xf>
    <x:xf numFmtId="0" fontId="25" fillId="5" borderId="235" xfId="1" applyNumberFormat="1" applyFont="1" applyFill="1" applyBorder="1" applyAlignment="1">
      <x:alignment horizontal="center" vertical="top" wrapText="1"/>
    </x:xf>
    <x:xf numFmtId="208" fontId="24" fillId="3" borderId="213" xfId="1" applyNumberFormat="1" applyFont="1" applyFill="1" applyBorder="1" applyAlignment="1">
      <x:alignment vertical="top" wrapText="1"/>
    </x:xf>
    <x:xf numFmtId="208" fontId="34" fillId="3" borderId="213" xfId="1" applyNumberFormat="1" applyFont="1" applyFill="1" applyBorder="1" applyAlignment="1">
      <x:alignment vertical="top" wrapText="1"/>
    </x:xf>
    <x:xf numFmtId="210" fontId="24" fillId="3" borderId="213" xfId="1" applyNumberFormat="1" applyFont="1" applyFill="1" applyBorder="1" applyAlignment="1">
      <x:alignment vertical="top" wrapText="1"/>
    </x:xf>
    <x:xf numFmtId="208" fontId="34" fillId="3" borderId="227" xfId="1" applyNumberFormat="1" applyFont="1" applyFill="1" applyBorder="1" applyAlignment="1">
      <x:alignment vertical="top" wrapText="1"/>
    </x:xf>
    <x:xf numFmtId="210" fontId="24" fillId="3" borderId="227" xfId="1" applyNumberFormat="1" applyFont="1" applyFill="1" applyBorder="1" applyAlignment="1">
      <x:alignment vertical="top" wrapText="1"/>
    </x:xf>
    <x:xf numFmtId="208" fontId="34" fillId="3" borderId="228" xfId="1" applyNumberFormat="1" applyFont="1" applyFill="1" applyBorder="1" applyAlignment="1">
      <x:alignment vertical="top" wrapText="1"/>
    </x:xf>
    <x:xf numFmtId="210" fontId="24" fillId="3" borderId="228" xfId="1" applyNumberFormat="1" applyFont="1" applyFill="1" applyBorder="1" applyAlignment="1">
      <x:alignment vertical="top" wrapText="1"/>
    </x:xf>
    <x:xf numFmtId="208" fontId="32" fillId="3" borderId="213" xfId="1" applyNumberFormat="1" applyFont="1" applyFill="1" applyBorder="1" applyAlignment="1">
      <x:alignment vertical="top" wrapText="1"/>
    </x:xf>
    <x:xf numFmtId="208" fontId="36" fillId="3" borderId="213" xfId="1" applyNumberFormat="1" applyFont="1" applyFill="1" applyBorder="1" applyAlignment="1">
      <x:alignment vertical="top" wrapText="1"/>
    </x:xf>
    <x:xf numFmtId="208" fontId="24" fillId="5" borderId="213" xfId="1" applyNumberFormat="1" applyFont="1" applyFill="1" applyBorder="1" applyAlignment="1">
      <x:alignment vertical="top" wrapText="1"/>
    </x:xf>
    <x:xf numFmtId="210" fontId="24" fillId="5" borderId="213" xfId="1" applyNumberFormat="1" applyFont="1" applyFill="1" applyBorder="1" applyAlignment="1">
      <x:alignment vertical="top" wrapText="1"/>
    </x:xf>
    <x:xf numFmtId="208" fontId="25" fillId="5" borderId="213" xfId="1" applyNumberFormat="1" applyFont="1" applyFill="1" applyBorder="1" applyAlignment="1">
      <x:alignment vertical="top" wrapText="1"/>
    </x:xf>
    <x:xf numFmtId="210" fontId="25" fillId="5" borderId="213" xfId="1" applyNumberFormat="1" applyFont="1" applyFill="1" applyBorder="1" applyAlignment="1">
      <x:alignment vertical="top" wrapText="1"/>
    </x:xf>
    <x:xf numFmtId="208" fontId="25" fillId="5" borderId="213" xfId="1" applyNumberFormat="1" applyFont="1" applyFill="1" applyBorder="1" applyAlignment="1">
      <x:alignment horizontal="center" vertical="top" wrapText="1"/>
    </x:xf>
    <x:xf numFmtId="210" fontId="25" fillId="5" borderId="213" xfId="1" applyNumberFormat="1" applyFont="1" applyFill="1" applyBorder="1" applyAlignment="1">
      <x:alignment horizontal="center" vertical="top" wrapText="1"/>
    </x:xf>
    <x:xf numFmtId="208" fontId="25" fillId="5" borderId="214" xfId="1" applyNumberFormat="1" applyFont="1" applyFill="1" applyBorder="1" applyAlignment="1">
      <x:alignment horizontal="center" vertical="top" wrapText="1"/>
    </x:xf>
    <x:xf numFmtId="210" fontId="25" fillId="5" borderId="214" xfId="1" applyNumberFormat="1" applyFont="1" applyFill="1" applyBorder="1" applyAlignment="1">
      <x:alignment horizontal="center" vertical="top" wrapText="1"/>
    </x:xf>
    <x:xf numFmtId="208" fontId="32" fillId="3" borderId="227" xfId="1" applyNumberFormat="1" applyFont="1" applyFill="1" applyBorder="1" applyAlignment="1">
      <x:alignment vertical="top" wrapText="1"/>
    </x:xf>
    <x:xf numFmtId="208" fontId="36" fillId="3" borderId="228" xfId="1" applyNumberFormat="1" applyFont="1" applyFill="1" applyBorder="1" applyAlignment="1">
      <x:alignment vertical="top" wrapText="1"/>
    </x:xf>
    <x:xf numFmtId="208" fontId="25" fillId="5" borderId="229" xfId="1" applyNumberFormat="1" applyFont="1" applyFill="1" applyBorder="1" applyAlignment="1">
      <x:alignment horizontal="center" vertical="top" wrapText="1"/>
    </x:xf>
    <x:xf numFmtId="210" fontId="25" fillId="5" borderId="229" xfId="1" applyNumberFormat="1" applyFont="1" applyFill="1" applyBorder="1" applyAlignment="1">
      <x:alignment horizontal="center" vertical="top" wrapText="1"/>
    </x:xf>
    <x:xf numFmtId="208" fontId="36" fillId="3" borderId="227" xfId="1" applyNumberFormat="1" applyFont="1" applyFill="1" applyBorder="1" applyAlignment="1">
      <x:alignment vertical="top" wrapText="1"/>
    </x:xf>
    <x:xf numFmtId="0" fontId="24" fillId="3" borderId="215" xfId="1" applyNumberFormat="1" applyFont="1" applyFill="1" applyBorder="1" applyAlignment="1">
      <x:alignment vertical="top" wrapText="1"/>
    </x:xf>
    <x:xf numFmtId="208" fontId="32" fillId="3" borderId="229" xfId="1" applyNumberFormat="1" applyFont="1" applyFill="1" applyBorder="1" applyAlignment="1">
      <x:alignment vertical="top" wrapText="1"/>
    </x:xf>
    <x:xf numFmtId="210" fontId="24" fillId="3" borderId="229" xfId="1" applyNumberFormat="1" applyFont="1" applyFill="1" applyBorder="1" applyAlignment="1">
      <x:alignment vertical="top" wrapText="1"/>
    </x:xf>
    <x:xf numFmtId="0" fontId="24" fillId="3" borderId="229" xfId="1" applyNumberFormat="1" applyFont="1" applyFill="1" applyBorder="1" applyAlignment="1">
      <x:alignment vertical="top" wrapText="1"/>
    </x:xf>
    <x:xf numFmtId="0" fontId="24" fillId="3" borderId="216" xfId="1" applyNumberFormat="1" applyFont="1" applyFill="1" applyBorder="1" applyAlignment="1">
      <x:alignment vertical="top" wrapText="1"/>
    </x:xf>
    <x:xf numFmtId="208" fontId="38" fillId="3" borderId="228" xfId="1" applyNumberFormat="1" applyFont="1" applyFill="1" applyBorder="1" applyAlignment="1">
      <x:alignment vertical="top" wrapText="1"/>
    </x:xf>
    <x:xf numFmtId="210" fontId="25" fillId="3" borderId="228" xfId="1" applyNumberFormat="1" applyFont="1" applyFill="1" applyBorder="1" applyAlignment="1">
      <x:alignment vertical="top" wrapText="1"/>
    </x:xf>
    <x:xf numFmtId="0" fontId="25" fillId="3" borderId="228" xfId="1" applyNumberFormat="1" applyFont="1" applyFill="1" applyBorder="1" applyAlignment="1">
      <x:alignment vertical="top" wrapText="1"/>
    </x:xf>
    <x:xf numFmtId="0" fontId="25" fillId="3" borderId="220" xfId="1" applyNumberFormat="1" applyFont="1" applyFill="1" applyBorder="1" applyAlignment="1">
      <x:alignment vertical="top" wrapText="1"/>
    </x:xf>
    <x:xf numFmtId="0" fontId="25" fillId="3" borderId="215" xfId="1" applyNumberFormat="1" applyFont="1" applyFill="1" applyBorder="1" applyAlignment="1">
      <x:alignment vertical="top" wrapText="1"/>
    </x:xf>
    <x:xf numFmtId="208" fontId="38" fillId="3" borderId="229" xfId="1" applyNumberFormat="1" applyFont="1" applyFill="1" applyBorder="1" applyAlignment="1">
      <x:alignment vertical="top" wrapText="1"/>
    </x:xf>
    <x:xf numFmtId="210" fontId="25" fillId="3" borderId="229" xfId="1" applyNumberFormat="1" applyFont="1" applyFill="1" applyBorder="1" applyAlignment="1">
      <x:alignment vertical="top" wrapText="1"/>
    </x:xf>
    <x:xf numFmtId="0" fontId="25" fillId="3" borderId="229" xfId="1" applyNumberFormat="1" applyFont="1" applyFill="1" applyBorder="1" applyAlignment="1">
      <x:alignment vertical="top" wrapText="1"/>
    </x:xf>
    <x:xf numFmtId="0" fontId="25" fillId="3" borderId="216" xfId="1" applyNumberFormat="1" applyFont="1" applyFill="1" applyBorder="1" applyAlignment="1">
      <x:alignment vertical="top" wrapText="1"/>
    </x:xf>
    <x:xf numFmtId="208" fontId="38" fillId="3" borderId="227" xfId="1" applyNumberFormat="1" applyFont="1" applyFill="1" applyBorder="1" applyAlignment="1">
      <x:alignment vertical="top" wrapText="1"/>
    </x:xf>
    <x:xf numFmtId="210" fontId="25" fillId="3" borderId="227" xfId="1" applyNumberFormat="1" applyFont="1" applyFill="1" applyBorder="1" applyAlignment="1">
      <x:alignment vertical="top" wrapText="1"/>
    </x:xf>
    <x:xf numFmtId="0" fontId="25" fillId="3" borderId="227" xfId="1" applyNumberFormat="1" applyFont="1" applyFill="1" applyBorder="1" applyAlignment="1">
      <x:alignment vertical="top" wrapText="1"/>
    </x:xf>
    <x:xf numFmtId="0" fontId="25" fillId="3" borderId="218" xfId="1" applyNumberFormat="1" applyFont="1" applyFill="1" applyBorder="1" applyAlignment="1">
      <x:alignment vertical="top" wrapText="1"/>
    </x:xf>
    <x:xf numFmtId="0" fontId="25" fillId="3" borderId="224" xfId="1" applyNumberFormat="1" applyFont="1" applyFill="1" applyBorder="1" applyAlignment="1">
      <x:alignment vertical="top" wrapText="1"/>
    </x:xf>
    <x:xf numFmtId="208" fontId="38" fillId="3" borderId="230" xfId="1" applyNumberFormat="1" applyFont="1" applyFill="1" applyBorder="1" applyAlignment="1">
      <x:alignment vertical="top" wrapText="1"/>
    </x:xf>
    <x:xf numFmtId="210" fontId="25" fillId="3" borderId="230" xfId="1" applyNumberFormat="1" applyFont="1" applyFill="1" applyBorder="1" applyAlignment="1">
      <x:alignment vertical="top" wrapText="1"/>
    </x:xf>
    <x:xf numFmtId="0" fontId="25" fillId="3" borderId="230" xfId="1" applyNumberFormat="1" applyFont="1" applyFill="1" applyBorder="1" applyAlignment="1">
      <x:alignment vertical="top" wrapText="1"/>
    </x:xf>
    <x:xf numFmtId="0" fontId="25" fillId="3" borderId="225" xfId="1" applyNumberFormat="1" applyFont="1" applyFill="1" applyBorder="1" applyAlignment="1">
      <x:alignment vertical="top" wrapText="1"/>
    </x:xf>
    <x:xf numFmtId="0" fontId="22" fillId="3" borderId="213" xfId="1" applyNumberFormat="1" applyFont="1" applyFill="1" applyBorder="1" applyAlignment="1">
      <x:alignment wrapText="0"/>
    </x:xf>
    <x:xf numFmtId="0" fontId="39" fillId="3" borderId="213" xfId="1" applyNumberFormat="1" applyFont="1" applyFill="1" applyBorder="1" applyAlignment="1">
      <x:alignment wrapText="0"/>
    </x:xf>
    <x:xf numFmtId="0" fontId="40" fillId="3" borderId="213" xfId="1" applyNumberFormat="1" applyFont="1" applyFill="1" applyBorder="1" applyAlignment="1">
      <x:alignment wrapText="0"/>
    </x:xf>
    <x:xf numFmtId="208" fontId="30" fillId="3" borderId="213" xfId="1" applyNumberFormat="1" applyFont="1" applyFill="1" applyBorder="1"/>
    <x:xf numFmtId="208" fontId="41" fillId="3" borderId="213" xfId="1" applyNumberFormat="1" applyFont="1" applyFill="1" applyBorder="1"/>
    <x:xf numFmtId="207" fontId="22" fillId="3" borderId="213" xfId="1" applyNumberFormat="1" applyFont="1" applyFill="1" applyBorder="1"/>
    <x:xf numFmtId="207" fontId="30" fillId="3" borderId="213" xfId="1" applyNumberFormat="1" applyFont="1" applyFill="1" applyBorder="1"/>
    <x:xf numFmtId="211" fontId="41" fillId="3" borderId="213" xfId="1" applyNumberFormat="1" applyFont="1" applyFill="1" applyBorder="1"/>
    <x:xf numFmtId="208" fontId="31" fillId="3" borderId="213" xfId="1" applyNumberFormat="1" applyFont="1" applyFill="1" applyBorder="1"/>
    <x:xf numFmtId="208" fontId="42" fillId="3" borderId="213" xfId="1" applyNumberFormat="1" applyFont="1" applyFill="1" applyBorder="1"/>
    <x:xf numFmtId="207" fontId="31" fillId="3" borderId="213" xfId="1" applyNumberFormat="1" applyFont="1" applyFill="1" applyBorder="1"/>
    <x:xf numFmtId="211" fontId="42" fillId="3" borderId="213" xfId="1" applyNumberFormat="1" applyFont="1" applyFill="1" applyBorder="1"/>
    <x:xf numFmtId="208" fontId="32" fillId="3" borderId="213" xfId="1" applyNumberFormat="1" applyFont="1" applyFill="1" applyBorder="1"/>
    <x:xf numFmtId="208" fontId="36" fillId="3" borderId="213" xfId="1" applyNumberFormat="1" applyFont="1" applyFill="1" applyBorder="1"/>
    <x:xf numFmtId="207" fontId="32" fillId="3" borderId="213" xfId="1" applyNumberFormat="1" applyFont="1" applyFill="1" applyBorder="1"/>
    <x:xf numFmtId="211" fontId="36" fillId="3" borderId="213" xfId="1" applyNumberFormat="1" applyFont="1" applyFill="1" applyBorder="1"/>
    <x:xf numFmtId="208" fontId="32" fillId="3" borderId="213" xfId="1" applyNumberFormat="1" applyFont="1" applyFill="1" applyBorder="1" applyAlignment="1">
      <x:alignment wrapText="1"/>
    </x:xf>
    <x:xf numFmtId="208" fontId="36" fillId="3" borderId="213" xfId="1" applyNumberFormat="1" applyFont="1" applyFill="1" applyBorder="1" applyAlignment="1">
      <x:alignment wrapText="1"/>
    </x:xf>
    <x:xf numFmtId="207" fontId="32" fillId="3" borderId="213" xfId="1" applyNumberFormat="1" applyFont="1" applyFill="1" applyBorder="1" applyAlignment="1">
      <x:alignment wrapText="1"/>
    </x:xf>
    <x:xf numFmtId="211" fontId="36" fillId="3" borderId="213" xfId="1" applyNumberFormat="1" applyFont="1" applyFill="1" applyBorder="1" applyAlignment="1">
      <x:alignment wrapText="1"/>
    </x:xf>
    <x:xf numFmtId="207" fontId="32" fillId="3" borderId="213" xfId="1" applyNumberFormat="1" applyFont="1" applyFill="1" applyBorder="1" applyAlignment="1">
      <x:alignment vertical="top" wrapText="1"/>
    </x:xf>
    <x:xf numFmtId="211" fontId="36" fillId="3" borderId="213" xfId="1" applyNumberFormat="1" applyFont="1" applyFill="1" applyBorder="1" applyAlignment="1">
      <x:alignment vertical="top" wrapText="1"/>
    </x:xf>
    <x:xf numFmtId="207" fontId="32" fillId="3" borderId="227" xfId="1" applyNumberFormat="1" applyFont="1" applyFill="1" applyBorder="1" applyAlignment="1">
      <x:alignment vertical="top" wrapText="1"/>
    </x:xf>
    <x:xf numFmtId="211" fontId="36" fillId="3" borderId="227" xfId="1" applyNumberFormat="1" applyFont="1" applyFill="1" applyBorder="1" applyAlignment="1">
      <x:alignment vertical="top" wrapText="1"/>
    </x:xf>
    <x:xf numFmtId="207" fontId="32" fillId="3" borderId="228" xfId="1" applyNumberFormat="1" applyFont="1" applyFill="1" applyBorder="1" applyAlignment="1">
      <x:alignment vertical="top" wrapText="1"/>
    </x:xf>
    <x:xf numFmtId="208" fontId="35" fillId="3" borderId="227" xfId="1" applyNumberFormat="1" applyFont="1" applyFill="1" applyBorder="1" applyAlignment="1">
      <x:alignment vertical="top" wrapText="1"/>
    </x:xf>
    <x:xf numFmtId="208" fontId="35" fillId="3" borderId="230" xfId="1" applyNumberFormat="1" applyFont="1" applyFill="1" applyBorder="1" applyAlignment="1">
      <x:alignment vertical="top" wrapText="1"/>
    </x:xf>
    <x:xf numFmtId="0" fontId="43" fillId="3" borderId="218" xfId="1" applyNumberFormat="1" applyFont="1" applyFill="1" applyBorder="1" applyAlignment="1">
      <x:alignment vertical="top" wrapText="1"/>
    </x:xf>
    <x:xf numFmtId="0" fontId="43" fillId="3" borderId="225" xfId="1" applyNumberFormat="1" applyFont="1" applyFill="1" applyBorder="1" applyAlignment="1">
      <x:alignment vertical="top" wrapText="1"/>
    </x:xf>
    <x:xf numFmtId="0" fontId="43" fillId="3" borderId="220" xfId="1" applyNumberFormat="1" applyFont="1" applyFill="1" applyBorder="1" applyAlignment="1">
      <x:alignment vertical="top" wrapText="1"/>
    </x:xf>
    <x:xf numFmtId="211" fontId="30" fillId="3" borderId="213" xfId="1" applyNumberFormat="1" applyFont="1" applyFill="1" applyBorder="1"/>
    <x:xf numFmtId="211" fontId="31" fillId="3" borderId="213" xfId="1" applyNumberFormat="1" applyFont="1" applyFill="1" applyBorder="1"/>
    <x:xf numFmtId="211" fontId="32" fillId="3" borderId="213" xfId="1" applyNumberFormat="1" applyFont="1" applyFill="1" applyBorder="1"/>
    <x:xf numFmtId="211" fontId="32" fillId="3" borderId="213" xfId="1" applyNumberFormat="1" applyFont="1" applyFill="1" applyBorder="1" applyAlignment="1">
      <x:alignment wrapText="1"/>
    </x:xf>
    <x:xf numFmtId="211" fontId="32" fillId="3" borderId="213" xfId="1" applyNumberFormat="1" applyFont="1" applyFill="1" applyBorder="1" applyAlignment="1">
      <x:alignment vertical="top" wrapText="1"/>
    </x:xf>
    <x:xf numFmtId="211" fontId="32" fillId="3" borderId="227" xfId="1" applyNumberFormat="1" applyFont="1" applyFill="1" applyBorder="1" applyAlignment="1">
      <x:alignment vertical="top" wrapText="1"/>
    </x:xf>
    <x:xf numFmtId="0" fontId="24" fillId="3" borderId="215" xfId="1" applyNumberFormat="1" applyFont="1" applyFill="1" applyBorder="1" applyAlignment="1">
      <x:alignment wrapText="1"/>
    </x:xf>
    <x:xf numFmtId="0" fontId="24" fillId="3" borderId="229" xfId="1" applyNumberFormat="1" applyFont="1" applyFill="1" applyBorder="1" applyAlignment="1">
      <x:alignment wrapText="1"/>
    </x:xf>
    <x:xf numFmtId="0" fontId="24" fillId="3" borderId="216" xfId="1" applyNumberFormat="1" applyFont="1" applyFill="1" applyBorder="1" applyAlignment="1">
      <x:alignment wrapText="1"/>
    </x:xf>
    <x:xf numFmtId="0" fontId="32" fillId="3" borderId="213" xfId="1" applyNumberFormat="1" applyFont="1" applyFill="1" applyBorder="1" applyAlignment="1">
      <x:alignment vertical="top" wrapText="1"/>
    </x:xf>
    <x:xf numFmtId="208" fontId="32" fillId="3" borderId="218" xfId="1" applyNumberFormat="1" applyFont="1" applyFill="1" applyBorder="1" applyAlignment="1">
      <x:alignment vertical="top" wrapText="1"/>
    </x:xf>
    <x:xf numFmtId="208" fontId="32" fillId="3" borderId="220" xfId="1" applyNumberFormat="1" applyFont="1" applyFill="1" applyBorder="1" applyAlignment="1">
      <x:alignment vertical="top" wrapText="1"/>
    </x:xf>
    <x:xf numFmtId="208" fontId="32" fillId="3" borderId="228" xfId="1" applyNumberFormat="1" applyFont="1" applyFill="1" applyBorder="1" applyAlignment="1">
      <x:alignment vertical="top" wrapText="1"/>
    </x:xf>
    <x:xf numFmtId="0" fontId="24" fillId="3" borderId="236" xfId="1" applyNumberFormat="1" applyFont="1" applyFill="1" applyBorder="1" applyAlignment="1">
      <x:alignment vertical="top" wrapText="1"/>
    </x:xf>
    <x:xf numFmtId="0" fontId="24" fillId="3" borderId="237" xfId="1" applyNumberFormat="1" applyFont="1" applyFill="1" applyBorder="1" applyAlignment="1">
      <x:alignment vertical="top" wrapText="1"/>
    </x:xf>
    <x:xf numFmtId="0" fontId="26" fillId="3" borderId="238" xfId="1" applyNumberFormat="1" applyFont="1" applyFill="1" applyBorder="1" applyAlignment="1">
      <x:alignment vertical="top" wrapText="0"/>
    </x:xf>
    <x:xf numFmtId="0" fontId="24" fillId="3" borderId="239" xfId="1" applyNumberFormat="1" applyFont="1" applyFill="1" applyBorder="1" applyAlignment="1">
      <x:alignment vertical="top" wrapText="0"/>
    </x:xf>
    <x:xf numFmtId="0" fontId="25" fillId="5" borderId="240" xfId="1" applyNumberFormat="1" applyFont="1" applyFill="1" applyBorder="1" applyAlignment="1">
      <x:alignment horizontal="center" vertical="top" wrapText="1"/>
    </x:xf>
    <x:xf numFmtId="0" fontId="25" fillId="5" borderId="241" xfId="1" applyNumberFormat="1" applyFont="1" applyFill="1" applyBorder="1" applyAlignment="1">
      <x:alignment horizontal="center" vertical="top" wrapText="1"/>
    </x:xf>
    <x:xf numFmtId="0" fontId="25" fillId="3" borderId="242" xfId="1" applyNumberFormat="1" applyFont="1" applyFill="1" applyBorder="1" applyAlignment="1">
      <x:alignment vertical="top" wrapText="1"/>
    </x:xf>
    <x:xf numFmtId="0" fontId="24" fillId="3" borderId="243" xfId="1" applyNumberFormat="1" applyFont="1" applyFill="1" applyBorder="1" applyAlignment="1">
      <x:alignment vertical="top" wrapText="1"/>
    </x:xf>
    <x:xf numFmtId="0" fontId="25" fillId="3" borderId="244" xfId="1" applyNumberFormat="1" applyFont="1" applyFill="1" applyBorder="1" applyAlignment="1">
      <x:alignment vertical="top" wrapText="1"/>
    </x:xf>
    <x:xf numFmtId="0" fontId="24" fillId="3" borderId="245" xfId="1" applyNumberFormat="1" applyFont="1" applyFill="1" applyBorder="1" applyAlignment="1">
      <x:alignment vertical="top" wrapText="1"/>
    </x:xf>
    <x:xf numFmtId="0" fontId="27" fillId="3" borderId="246" xfId="1" applyNumberFormat="1" applyFont="1" applyFill="1" applyBorder="1" applyAlignment="1">
      <x:alignment vertical="top" wrapText="1"/>
    </x:xf>
    <x:xf numFmtId="207" fontId="28" fillId="3" borderId="247" xfId="1" applyNumberFormat="1" applyFont="1" applyFill="1" applyBorder="1" applyAlignment="1">
      <x:alignment vertical="top" wrapText="1"/>
    </x:xf>
    <x:xf numFmtId="0" fontId="24" fillId="3" borderId="248" xfId="1" applyNumberFormat="1" applyFont="1" applyFill="1" applyBorder="1" applyAlignment="1">
      <x:alignment vertical="top" wrapText="1"/>
    </x:xf>
    <x:xf numFmtId="0" fontId="24" fillId="3" borderId="249" xfId="1" applyNumberFormat="1" applyFont="1" applyFill="1" applyBorder="1" applyAlignment="1">
      <x:alignment vertical="top" wrapText="1"/>
    </x:xf>
    <x:xf numFmtId="0" fontId="25" fillId="3" borderId="250" xfId="1" applyNumberFormat="1" applyFont="1" applyFill="1" applyBorder="1" applyAlignment="1">
      <x:alignment vertical="top" wrapText="1"/>
    </x:xf>
    <x:xf numFmtId="0" fontId="24" fillId="3" borderId="251" xfId="1" applyNumberFormat="1" applyFont="1" applyFill="1" applyBorder="1" applyAlignment="1">
      <x:alignment vertical="top" wrapText="1"/>
    </x:xf>
    <x:xf numFmtId="0" fontId="24" fillId="3" borderId="252" xfId="1" applyNumberFormat="1" applyFont="1" applyFill="1" applyBorder="1" applyAlignment="1">
      <x:alignment vertical="top" wrapText="1"/>
    </x:xf>
    <x:xf numFmtId="0" fontId="24" fillId="3" borderId="253" xfId="1" applyNumberFormat="1" applyFont="1" applyFill="1" applyBorder="1" applyAlignment="1">
      <x:alignment vertical="top" wrapText="1"/>
    </x:xf>
    <x:xf numFmtId="0" fontId="24" fillId="3" borderId="254" xfId="1" applyNumberFormat="1" applyFont="1" applyFill="1" applyBorder="1" applyAlignment="1">
      <x:alignment vertical="top" wrapText="1"/>
    </x:xf>
    <x:xf numFmtId="0" fontId="24" fillId="3" borderId="255" xfId="1" applyNumberFormat="1" applyFont="1" applyFill="1" applyBorder="1" applyAlignment="1">
      <x:alignment vertical="top" wrapText="1"/>
    </x:xf>
    <x:xf numFmtId="0" fontId="25" fillId="5" borderId="256" xfId="1" applyNumberFormat="1" applyFont="1" applyFill="1" applyBorder="1" applyAlignment="1">
      <x:alignment horizontal="center" vertical="top" wrapText="1"/>
    </x:xf>
    <x:xf numFmtId="208" fontId="32" fillId="3" borderId="257" xfId="1" applyNumberFormat="1" applyFont="1" applyFill="1" applyBorder="1" applyAlignment="1">
      <x:alignment vertical="top" wrapText="1"/>
    </x:xf>
    <x:xf numFmtId="210" fontId="24" fillId="3" borderId="258" xfId="1" applyNumberFormat="1" applyFont="1" applyFill="1" applyBorder="1" applyAlignment="1">
      <x:alignment vertical="top" wrapText="1"/>
    </x:xf>
    <x:xf numFmtId="0" fontId="24" fillId="3" borderId="259" xfId="1" applyNumberFormat="1" applyFont="1" applyFill="1" applyBorder="1" applyAlignment="1">
      <x:alignment vertical="top" wrapText="1"/>
    </x:xf>
    <x:xf numFmtId="0" fontId="25" fillId="3" borderId="260" xfId="1" applyNumberFormat="1" applyFont="1" applyFill="1" applyBorder="1" applyAlignment="1">
      <x:alignment vertical="top" wrapText="1"/>
    </x:xf>
    <x:xf numFmtId="208" fontId="38" fillId="3" borderId="261" xfId="1" applyNumberFormat="1" applyFont="1" applyFill="1" applyBorder="1" applyAlignment="1">
      <x:alignment vertical="top" wrapText="1"/>
    </x:xf>
    <x:xf numFmtId="210" fontId="25" fillId="3" borderId="262" xfId="1" applyNumberFormat="1" applyFont="1" applyFill="1" applyBorder="1" applyAlignment="1">
      <x:alignment vertical="top" wrapText="1"/>
    </x:xf>
    <x:xf numFmtId="0" fontId="25" fillId="3" borderId="263" xfId="1" applyNumberFormat="1" applyFont="1" applyFill="1" applyBorder="1" applyAlignment="1">
      <x:alignment vertical="top" wrapText="1"/>
    </x:xf>
    <x:xf numFmtId="0" fontId="25" fillId="3" borderId="264" xfId="1" applyNumberFormat="1" applyFont="1" applyFill="1" applyBorder="1" applyAlignment="1">
      <x:alignment vertical="top" wrapText="1"/>
    </x:xf>
    <x:xf numFmtId="208" fontId="24" fillId="3" borderId="265" xfId="1" applyNumberFormat="1" applyFont="1" applyFill="1" applyBorder="1" applyAlignment="1">
      <x:alignment vertical="top" wrapText="1"/>
    </x:xf>
    <x:xf numFmtId="210" fontId="24" fillId="3" borderId="266" xfId="1" applyNumberFormat="1" applyFont="1" applyFill="1" applyBorder="1" applyAlignment="1">
      <x:alignment vertical="top" wrapText="1"/>
    </x:xf>
    <x:xf numFmtId="208" fontId="25" fillId="5" borderId="267" xfId="1" applyNumberFormat="1" applyFont="1" applyFill="1" applyBorder="1" applyAlignment="1">
      <x:alignment horizontal="center" vertical="top" wrapText="1"/>
    </x:xf>
    <x:xf numFmtId="210" fontId="25" fillId="5" borderId="268" xfId="1" applyNumberFormat="1" applyFont="1" applyFill="1" applyBorder="1" applyAlignment="1">
      <x:alignment horizontal="center" vertical="top" wrapText="1"/>
    </x:xf>
    <x:xf numFmtId="0" fontId="25" fillId="3" borderId="269" xfId="1" applyNumberFormat="1" applyFont="1" applyFill="1" applyBorder="1" applyAlignment="1">
      <x:alignment vertical="top" wrapText="1"/>
    </x:xf>
    <x:xf numFmtId="208" fontId="38" fillId="3" borderId="270" xfId="1" applyNumberFormat="1" applyFont="1" applyFill="1" applyBorder="1" applyAlignment="1">
      <x:alignment vertical="top" wrapText="1"/>
    </x:xf>
    <x:xf numFmtId="210" fontId="25" fillId="3" borderId="271" xfId="1" applyNumberFormat="1" applyFont="1" applyFill="1" applyBorder="1" applyAlignment="1">
      <x:alignment vertical="top" wrapText="1"/>
    </x:xf>
    <x:xf numFmtId="0" fontId="25" fillId="3" borderId="272" xfId="1" applyNumberFormat="1" applyFont="1" applyFill="1" applyBorder="1" applyAlignment="1">
      <x:alignment vertical="top" wrapText="1"/>
    </x:xf>
    <x:xf numFmtId="0" fontId="25" fillId="3" borderId="273" xfId="1" applyNumberFormat="1" applyFont="1" applyFill="1" applyBorder="1" applyAlignment="1">
      <x:alignment vertical="top" wrapText="1"/>
    </x:xf>
    <x:xf numFmtId="0" fontId="24" fillId="3" borderId="274" xfId="1" applyNumberFormat="1" applyFont="1" applyFill="1" applyBorder="1" applyAlignment="1">
      <x:alignment vertical="top" wrapText="1"/>
    </x:xf>
    <x:xf numFmtId="208" fontId="32" fillId="3" borderId="275" xfId="1" applyNumberFormat="1" applyFont="1" applyFill="1" applyBorder="1" applyAlignment="1">
      <x:alignment vertical="top" wrapText="1"/>
    </x:xf>
    <x:xf numFmtId="210" fontId="24" fillId="3" borderId="276" xfId="1" applyNumberFormat="1" applyFont="1" applyFill="1" applyBorder="1" applyAlignment="1">
      <x:alignment vertical="top" wrapText="1"/>
    </x:xf>
    <x:xf numFmtId="0" fontId="24" fillId="3" borderId="277" xfId="1" applyNumberFormat="1" applyFont="1" applyFill="1" applyBorder="1" applyAlignment="1">
      <x:alignment vertical="top" wrapText="1"/>
    </x:xf>
    <x:xf numFmtId="0" fontId="24" fillId="3" borderId="278" xfId="1" applyNumberFormat="1" applyFont="1" applyFill="1" applyBorder="1" applyAlignment="1">
      <x:alignment vertical="top" wrapText="1"/>
    </x:xf>
    <x:xf numFmtId="0" fontId="40" fillId="3" borderId="279" xfId="1" applyNumberFormat="1" applyFont="1" applyFill="1" applyBorder="1" applyAlignment="1">
      <x:alignment wrapText="0"/>
    </x:xf>
    <x:xf numFmtId="0" fontId="22" fillId="3" borderId="280" xfId="1" applyNumberFormat="1" applyFont="1" applyFill="1" applyBorder="1" applyAlignment="1">
      <x:alignment wrapText="0"/>
    </x:xf>
    <x:xf numFmtId="0" fontId="43" fillId="3" borderId="281" xfId="1" applyNumberFormat="1" applyFont="1" applyFill="1" applyBorder="1" applyAlignment="1">
      <x:alignment vertical="top" wrapText="1"/>
    </x:xf>
    <x:xf numFmtId="208" fontId="35" fillId="3" borderId="282" xfId="1" applyNumberFormat="1" applyFont="1" applyFill="1" applyBorder="1" applyAlignment="1">
      <x:alignment vertical="top" wrapText="1"/>
    </x:xf>
    <x:xf numFmtId="0" fontId="43" fillId="3" borderId="283" xfId="1" applyNumberFormat="1" applyFont="1" applyFill="1" applyBorder="1" applyAlignment="1">
      <x:alignment vertical="top" wrapText="1"/>
    </x:xf>
    <x:xf numFmtId="207" fontId="32" fillId="3" borderId="284" xfId="1" applyNumberFormat="1" applyFont="1" applyFill="1" applyBorder="1" applyAlignment="1">
      <x:alignment vertical="top" wrapText="1"/>
    </x:xf>
    <x:xf numFmtId="211" fontId="36" fillId="3" borderId="285" xfId="1" applyNumberFormat="1" applyFont="1" applyFill="1" applyBorder="1" applyAlignment="1">
      <x:alignment vertical="top" wrapText="1"/>
    </x:xf>
    <x:xf numFmtId="207" fontId="32" fillId="3" borderId="286" xfId="1" applyNumberFormat="1" applyFont="1" applyFill="1" applyBorder="1" applyAlignment="1">
      <x:alignment vertical="top" wrapText="1"/>
    </x:xf>
    <x:xf numFmtId="210" fontId="24" fillId="3" borderId="287" xfId="1" applyNumberFormat="1" applyFont="1" applyFill="1" applyBorder="1" applyAlignment="1">
      <x:alignment vertical="top" wrapText="1"/>
    </x:xf>
    <x:xf numFmtId="0" fontId="43" fillId="3" borderId="288" xfId="1" applyNumberFormat="1" applyFont="1" applyFill="1" applyBorder="1" applyAlignment="1">
      <x:alignment vertical="top" wrapText="1"/>
    </x:xf>
    <x:xf numFmtId="0" fontId="25" fillId="5" borderId="289" xfId="1" applyNumberFormat="1" applyFont="1" applyFill="1" applyBorder="1" applyAlignment="1">
      <x:alignment horizontal="center" vertical="top" wrapText="1"/>
    </x:xf>
    <x:xf numFmtId="0" fontId="24" fillId="3" borderId="290" xfId="1" applyNumberFormat="1" applyFont="1" applyFill="1" applyBorder="1" applyAlignment="1">
      <x:alignment vertical="top" wrapText="1"/>
    </x:xf>
    <x:xf numFmtId="0" fontId="24" fillId="3" borderId="291" xfId="1" applyNumberFormat="1" applyFont="1" applyFill="1" applyBorder="1" applyAlignment="1">
      <x:alignment vertical="top" wrapText="1"/>
    </x:xf>
    <x:xf numFmtId="208" fontId="36" fillId="3" borderId="292" xfId="1" applyNumberFormat="1" applyFont="1" applyFill="1" applyBorder="1" applyAlignment="1">
      <x:alignment vertical="top" wrapText="1"/>
    </x:xf>
    <x:xf numFmtId="211" fontId="32" fillId="3" borderId="293" xfId="1" applyNumberFormat="1" applyFont="1" applyFill="1" applyBorder="1" applyAlignment="1">
      <x:alignment vertical="top" wrapText="1"/>
    </x:xf>
    <x:xf numFmtId="0" fontId="24" fillId="3" borderId="294" xfId="1" applyNumberFormat="1" applyFont="1" applyFill="1" applyBorder="1"/>
    <x:xf numFmtId="0" fontId="25" fillId="5" borderId="295" xfId="1" applyNumberFormat="1" applyFont="1" applyFill="1" applyBorder="1" applyAlignment="1">
      <x:alignment horizontal="center" vertical="top" wrapText="1"/>
    </x:xf>
    <x:xf numFmtId="208" fontId="32" fillId="3" borderId="296" xfId="1" applyNumberFormat="1" applyFont="1" applyFill="1" applyBorder="1" applyAlignment="1">
      <x:alignment vertical="top" wrapText="1"/>
    </x:xf>
    <x:xf numFmtId="208" fontId="32" fillId="3" borderId="297" xfId="1" applyNumberFormat="1" applyFont="1" applyFill="1" applyBorder="1" applyAlignment="1">
      <x:alignment vertical="top" wrapText="1"/>
    </x:xf>
    <x:xf numFmtId="208" fontId="32" fillId="3" borderId="298" xfId="1" applyNumberFormat="1" applyFont="1" applyFill="1" applyBorder="1" applyAlignment="1">
      <x:alignment vertical="top" wrapText="1"/>
    </x:xf>
    <x:xf numFmtId="0" fontId="26" fillId="3" borderId="299" xfId="1" applyNumberFormat="1" applyFont="1" applyFill="1" applyBorder="1" applyAlignment="1">
      <x:alignment vertical="center" wrapText="0"/>
    </x:xf>
    <x:xf numFmtId="0" fontId="24" fillId="3" borderId="300" xfId="1" applyNumberFormat="1" applyFont="1" applyFill="1" applyBorder="1" applyAlignment="1">
      <x:alignment vertical="center" wrapText="0"/>
    </x:xf>
    <x:xf numFmtId="0" fontId="24" fillId="3" borderId="301" xfId="1" applyNumberFormat="1" applyFont="1" applyFill="1" applyBorder="1" applyAlignment="1">
      <x:alignment vertical="center" wrapText="0"/>
    </x:xf>
    <x:xf numFmtId="0" fontId="24" fillId="3" borderId="302" xfId="1" applyNumberFormat="1" applyFont="1" applyFill="1" applyBorder="1" applyAlignment="1">
      <x:alignment vertical="center" wrapText="0"/>
    </x:xf>
    <x:xf numFmtId="0" fontId="24" fillId="3" borderId="303" xfId="1" applyNumberFormat="1" applyFont="1" applyFill="1" applyBorder="1" applyAlignment="1">
      <x:alignment vertical="center" wrapText="0"/>
    </x:xf>
    <x:xf numFmtId="0" fontId="25" fillId="5" borderId="304" xfId="1" applyNumberFormat="1" applyFont="1" applyFill="1" applyBorder="1" applyAlignment="1">
      <x:alignment horizontal="center" vertical="center" wrapText="1"/>
    </x:xf>
    <x:xf numFmtId="0" fontId="25" fillId="5" borderId="305" xfId="1" applyNumberFormat="1" applyFont="1" applyFill="1" applyBorder="1" applyAlignment="1">
      <x:alignment horizontal="center" vertical="center" wrapText="1"/>
    </x:xf>
    <x:xf numFmtId="0" fontId="25" fillId="5" borderId="306" xfId="1" applyNumberFormat="1" applyFont="1" applyFill="1" applyBorder="1" applyAlignment="1">
      <x:alignment horizontal="center" vertical="center" wrapText="1"/>
    </x:xf>
    <x:xf numFmtId="0" fontId="24" fillId="3" borderId="307" xfId="1" applyNumberFormat="1" applyFont="1" applyFill="1" applyBorder="1" applyAlignment="1">
      <x:alignment vertical="center" wrapText="1"/>
    </x:xf>
    <x:xf numFmtId="0" fontId="24" fillId="3" borderId="308" xfId="1" applyNumberFormat="1" applyFont="1" applyFill="1" applyBorder="1" applyAlignment="1">
      <x:alignment vertical="center" wrapText="1"/>
    </x:xf>
    <x:xf numFmtId="0" fontId="24" fillId="3" borderId="309" xfId="1" applyNumberFormat="1" applyFont="1" applyFill="1" applyBorder="1" applyAlignment="1">
      <x:alignment vertical="center" wrapText="1"/>
    </x:xf>
    <x:xf numFmtId="208" fontId="32" fillId="3" borderId="310" xfId="1" applyNumberFormat="1" applyFont="1" applyFill="1" applyBorder="1" applyAlignment="1">
      <x:alignment vertical="center" wrapText="1"/>
    </x:xf>
    <x:xf numFmtId="0" fontId="24" fillId="3" borderId="311" xfId="1" applyNumberFormat="1" applyFont="1" applyFill="1" applyBorder="1" applyAlignment="1">
      <x:alignment vertical="center" wrapText="1"/>
    </x:xf>
    <x:xf numFmtId="0" fontId="24" fillId="3" borderId="312" xfId="1" applyNumberFormat="1" applyFont="1" applyFill="1" applyBorder="1" applyAlignment="1">
      <x:alignment vertical="center" wrapText="1"/>
    </x:xf>
    <x:xf numFmtId="0" fontId="24" fillId="3" borderId="313" xfId="1" applyNumberFormat="1" applyFont="1" applyFill="1" applyBorder="1" applyAlignment="1">
      <x:alignment vertical="center" wrapText="1"/>
    </x:xf>
    <x:xf numFmtId="208" fontId="32" fillId="3" borderId="314" xfId="1" applyNumberFormat="1" applyFont="1" applyFill="1" applyBorder="1" applyAlignment="1">
      <x:alignment vertical="center" wrapText="1"/>
    </x:xf>
    <x:xf numFmtId="0" fontId="24" fillId="3" borderId="315" xfId="1" applyNumberFormat="1" applyFont="1" applyFill="1" applyBorder="1" applyAlignment="1">
      <x:alignment vertical="center" wrapText="1"/>
    </x:xf>
    <x:xf numFmtId="0" fontId="24" fillId="3" borderId="316" xfId="1" applyNumberFormat="1" applyFont="1" applyFill="1" applyBorder="1" applyAlignment="1">
      <x:alignment vertical="center" wrapText="1"/>
    </x:xf>
    <x:xf numFmtId="0" fontId="24" fillId="3" borderId="317" xfId="1" applyNumberFormat="1" applyFont="1" applyFill="1" applyBorder="1" applyAlignment="1">
      <x:alignment vertical="center" wrapText="1"/>
    </x:xf>
    <x:xf numFmtId="0" fontId="24" fillId="3" borderId="318" xfId="1" applyNumberFormat="1" applyFont="1" applyFill="1" applyBorder="1" applyAlignment="1">
      <x:alignment vertical="center" wrapText="1"/>
    </x:xf>
    <x:xf numFmtId="0" fontId="24" fillId="3" borderId="319" xfId="1" applyNumberFormat="1" applyFont="1" applyFill="1" applyBorder="1" applyAlignment="1">
      <x:alignment vertical="center" wrapText="1"/>
    </x:xf>
    <x:xf numFmtId="0" fontId="25" fillId="5" borderId="320" xfId="1" applyNumberFormat="1" applyFont="1" applyFill="1" applyBorder="1" applyAlignment="1">
      <x:alignment horizontal="center" vertical="center" wrapText="1"/>
    </x:xf>
    <x:xf numFmtId="208" fontId="24" fillId="3" borderId="321" xfId="1" applyNumberFormat="1" applyFont="1" applyFill="1" applyBorder="1" applyAlignment="1">
      <x:alignment vertical="center" wrapText="1"/>
    </x:xf>
    <x:xf numFmtId="0" fontId="24" fillId="3" borderId="322" xfId="1" applyNumberFormat="1" applyFont="1" applyFill="1" applyBorder="1" applyAlignment="1">
      <x:alignment vertical="center" wrapText="1"/>
    </x:xf>
    <x:xf numFmtId="208" fontId="24" fillId="3" borderId="323" xfId="1" applyNumberFormat="1" applyFont="1" applyFill="1" applyBorder="1" applyAlignment="1">
      <x:alignment vertical="center" wrapText="1"/>
    </x:xf>
    <x:xf numFmtId="0" fontId="24" fillId="3" borderId="324" xfId="1" applyNumberFormat="1" applyFont="1" applyFill="1" applyBorder="1" applyAlignment="1">
      <x:alignment vertical="center" wrapText="1"/>
    </x:xf>
    <x:xf numFmtId="210" fontId="24" fillId="3" borderId="325" xfId="1" applyNumberFormat="1" applyFont="1" applyFill="1" applyBorder="1" applyAlignment="1">
      <x:alignment vertical="center" wrapText="1"/>
    </x:xf>
    <x:xf numFmtId="210" fontId="24" fillId="3" borderId="326" xfId="1" applyNumberFormat="1" applyFont="1" applyFill="1" applyBorder="1" applyAlignment="1">
      <x:alignment vertical="center" wrapText="1"/>
    </x:xf>
    <x:xf numFmtId="210" fontId="24" fillId="3" borderId="327" xfId="1" applyNumberFormat="1" applyFont="1" applyFill="1" applyBorder="1" applyAlignment="1">
      <x:alignment vertical="center" wrapText="1"/>
    </x:xf>
    <x:xf numFmtId="208" fontId="32" fillId="3" borderId="328" xfId="1" applyNumberFormat="1" applyFont="1" applyFill="1" applyBorder="1" applyAlignment="1">
      <x:alignment vertical="center" wrapText="1"/>
    </x:xf>
    <x:xf numFmtId="210" fontId="24" fillId="3" borderId="329" xfId="1" applyNumberFormat="1" applyFont="1" applyFill="1" applyBorder="1" applyAlignment="1">
      <x:alignment vertical="center" wrapText="1"/>
    </x:xf>
    <x:xf numFmtId="208" fontId="36" fillId="3" borderId="330" xfId="1" applyNumberFormat="1" applyFont="1" applyFill="1" applyBorder="1" applyAlignment="1">
      <x:alignment vertical="center" wrapText="1"/>
    </x:xf>
    <x:xf numFmtId="210" fontId="24" fillId="3" borderId="331" xfId="1" applyNumberFormat="1" applyFont="1" applyFill="1" applyBorder="1" applyAlignment="1">
      <x:alignment vertical="center" wrapText="1"/>
    </x:xf>
    <x:xf numFmtId="0" fontId="27" fillId="3" borderId="332" xfId="1" applyNumberFormat="1" applyFont="1" applyFill="1" applyBorder="1" applyAlignment="1">
      <x:alignment vertical="center" wrapText="0"/>
    </x:xf>
    <x:xf numFmtId="0" fontId="25" fillId="5" borderId="333" xfId="1" applyNumberFormat="1" applyFont="1" applyFill="1" applyBorder="1" applyAlignment="1">
      <x:alignment horizontal="center" vertical="center" wrapText="0"/>
    </x:xf>
    <x:xf numFmtId="0" fontId="25" fillId="5" borderId="334" xfId="1" applyNumberFormat="1" applyFont="1" applyFill="1" applyBorder="1" applyAlignment="1">
      <x:alignment horizontal="center" vertical="center" wrapText="0"/>
    </x:xf>
    <x:xf numFmtId="0" fontId="24" fillId="3" borderId="335" xfId="1" applyNumberFormat="1" applyFont="1" applyFill="1" applyBorder="1" applyAlignment="1">
      <x:alignment vertical="center" wrapText="0"/>
    </x:xf>
    <x:xf numFmtId="208" fontId="32" fillId="3" borderId="336" xfId="1" applyNumberFormat="1" applyFont="1" applyFill="1" applyBorder="1" applyAlignment="1">
      <x:alignment vertical="center" wrapText="0"/>
    </x:xf>
    <x:xf numFmtId="0" fontId="25" fillId="3" borderId="337" xfId="1" applyNumberFormat="1" applyFont="1" applyFill="1" applyBorder="1" applyAlignment="1">
      <x:alignment vertical="center" wrapText="1"/>
    </x:xf>
    <x:xf numFmtId="208" fontId="38" fillId="3" borderId="338" xfId="1" applyNumberFormat="1" applyFont="1" applyFill="1" applyBorder="1" applyAlignment="1">
      <x:alignment vertical="center" wrapText="0"/>
    </x:xf>
    <x:xf numFmtId="208" fontId="25" fillId="3" borderId="339" xfId="1" applyNumberFormat="1" applyFont="1" applyFill="1" applyBorder="1" applyAlignment="1">
      <x:alignment vertical="center" wrapText="0"/>
    </x:xf>
    <x:xf numFmtId="0" fontId="25" fillId="3" borderId="340" xfId="1" applyNumberFormat="1" applyFont="1" applyFill="1" applyBorder="1" applyAlignment="1">
      <x:alignment vertical="center" wrapText="1"/>
    </x:xf>
    <x:xf numFmtId="208" fontId="25" fillId="3" borderId="341" xfId="1" applyNumberFormat="1" applyFont="1" applyFill="1" applyBorder="1" applyAlignment="1">
      <x:alignment vertical="center" wrapText="0"/>
    </x:xf>
    <x:xf numFmtId="0" fontId="24" fillId="3" borderId="342" xfId="1" applyNumberFormat="1" applyFont="1" applyFill="1" applyBorder="1" applyAlignment="1">
      <x:alignment vertical="center" wrapText="1"/>
    </x:xf>
    <x:xf numFmtId="208" fontId="32" fillId="3" borderId="343" xfId="1" applyNumberFormat="1" applyFont="1" applyFill="1" applyBorder="1" applyAlignment="1">
      <x:alignment vertical="center" wrapText="0"/>
    </x:xf>
    <x:xf numFmtId="213" fontId="24" fillId="3" borderId="344" xfId="1" applyNumberFormat="1" applyFont="1" applyFill="1" applyBorder="1" applyAlignment="1">
      <x:alignment vertical="center" wrapText="0"/>
    </x:xf>
    <x:xf numFmtId="208" fontId="35" fillId="3" borderId="345" xfId="1" applyNumberFormat="1" applyFont="1" applyFill="1" applyBorder="1" applyAlignment="1">
      <x:alignment vertical="center" wrapText="0"/>
    </x:xf>
    <x:xf numFmtId="208" fontId="24" fillId="3" borderId="346" xfId="1" applyNumberFormat="1" applyFont="1" applyFill="1" applyBorder="1" applyAlignment="1">
      <x:alignment vertical="center" wrapText="0"/>
    </x:xf>
    <x:xf numFmtId="213" fontId="24" fillId="3" borderId="347" xfId="1" applyNumberFormat="1" applyFont="1" applyFill="1" applyBorder="1" applyAlignment="1">
      <x:alignment vertical="center" wrapText="0"/>
    </x:xf>
    <x:xf numFmtId="208" fontId="24" fillId="3" borderId="348" xfId="1" applyNumberFormat="1" applyFont="1" applyFill="1" applyBorder="1" applyAlignment="1">
      <x:alignment vertical="center" wrapText="0"/>
    </x:xf>
    <x:xf numFmtId="211" fontId="24" fillId="3" borderId="349" xfId="1" applyNumberFormat="1" applyFont="1" applyFill="1" applyBorder="1" applyAlignment="1">
      <x:alignment vertical="center" wrapText="0"/>
    </x:xf>
    <x:xf numFmtId="0" fontId="25" fillId="5" borderId="350" xfId="1" applyNumberFormat="1" applyFont="1" applyFill="1" applyBorder="1" applyAlignment="1">
      <x:alignment horizontal="center" vertical="center" wrapText="1"/>
    </x:xf>
    <x:xf numFmtId="0" fontId="24" fillId="3" borderId="351" xfId="1" applyNumberFormat="1" applyFont="1" applyFill="1" applyBorder="1" applyAlignment="1">
      <x:alignment vertical="center" wrapText="1"/>
    </x:xf>
    <x:xf numFmtId="208" fontId="24" fillId="3" borderId="352" xfId="1" applyNumberFormat="1" applyFont="1" applyFill="1" applyBorder="1" applyAlignment="1">
      <x:alignment vertical="center" wrapText="1"/>
    </x:xf>
    <x:xf numFmtId="0" fontId="24" fillId="3" borderId="353" xfId="1" applyNumberFormat="1" applyFont="1" applyFill="1" applyBorder="1" applyAlignment="1">
      <x:alignment vertical="center" wrapText="1"/>
    </x:xf>
    <x:xf numFmtId="208" fontId="24" fillId="3" borderId="354" xfId="1" applyNumberFormat="1" applyFont="1" applyFill="1" applyBorder="1" applyAlignment="1">
      <x:alignment vertical="center" wrapText="1"/>
    </x:xf>
    <x:xf numFmtId="0" fontId="24" fillId="3" borderId="355" xfId="1" applyNumberFormat="1" applyFont="1" applyFill="1" applyBorder="1" applyAlignment="1">
      <x:alignment vertical="center" wrapText="0"/>
    </x:xf>
    <x:xf numFmtId="208" fontId="32" fillId="3" borderId="356" xfId="1" applyNumberFormat="1" applyFont="1" applyFill="1" applyBorder="1" applyAlignment="1">
      <x:alignment vertical="center" wrapText="0"/>
    </x:xf>
    <x:xf numFmtId="208" fontId="36" fillId="3" borderId="357" xfId="1" applyNumberFormat="1" applyFont="1" applyFill="1" applyBorder="1" applyAlignment="1">
      <x:alignment vertical="center" wrapText="0"/>
    </x:xf>
    <x:xf numFmtId="0" fontId="24" fillId="3" borderId="358" xfId="1" applyNumberFormat="1" applyFont="1" applyFill="1" applyBorder="1" applyAlignment="1">
      <x:alignment vertical="center" wrapText="0"/>
    </x:xf>
    <x:xf numFmtId="208" fontId="32" fillId="3" borderId="359" xfId="1" applyNumberFormat="1" applyFont="1" applyFill="1" applyBorder="1" applyAlignment="1">
      <x:alignment vertical="center" wrapText="0"/>
    </x:xf>
    <x:xf numFmtId="208" fontId="36" fillId="3" borderId="360" xfId="1" applyNumberFormat="1" applyFont="1" applyFill="1" applyBorder="1" applyAlignment="1">
      <x:alignment vertical="center" wrapText="0"/>
    </x:xf>
    <x:xf numFmtId="0" fontId="37" fillId="3" borderId="361" xfId="1" applyNumberFormat="1" applyFont="1" applyFill="1" applyBorder="1" applyAlignment="1">
      <x:alignment vertical="center" wrapText="0"/>
    </x:xf>
    <x:xf numFmtId="207" fontId="37" fillId="3" borderId="362" xfId="1" applyNumberFormat="1" applyFont="1" applyFill="1" applyBorder="1" applyAlignment="1">
      <x:alignment vertical="center" wrapText="0"/>
    </x:xf>
    <x:xf numFmtId="208" fontId="25" fillId="5" borderId="363" xfId="1" applyNumberFormat="1" applyFont="1" applyFill="1" applyBorder="1" applyAlignment="1">
      <x:alignment horizontal="center" vertical="center" wrapText="0"/>
    </x:xf>
    <x:xf numFmtId="0" fontId="25" fillId="5" borderId="364" xfId="1" applyNumberFormat="1" applyFont="1" applyFill="1" applyBorder="1" applyAlignment="1">
      <x:alignment horizontal="center" vertical="center" wrapText="0"/>
    </x:xf>
    <x:xf numFmtId="0" fontId="25" fillId="5" borderId="365" xfId="1" applyNumberFormat="1" applyFont="1" applyFill="1" applyBorder="1" applyAlignment="1">
      <x:alignment horizontal="center" vertical="center" wrapText="0"/>
    </x:xf>
    <x:xf numFmtId="208" fontId="24" fillId="3" borderId="366" xfId="1" applyNumberFormat="1" applyFont="1" applyFill="1" applyBorder="1" applyAlignment="1">
      <x:alignment vertical="center" wrapText="0"/>
    </x:xf>
    <x:xf numFmtId="208" fontId="24" fillId="3" borderId="367" xfId="1" applyNumberFormat="1" applyFont="1" applyFill="1" applyBorder="1" applyAlignment="1">
      <x:alignment vertical="center" wrapText="1"/>
    </x:xf>
    <x:xf numFmtId="210" fontId="24" fillId="3" borderId="368" xfId="1" applyNumberFormat="1" applyFont="1" applyFill="1" applyBorder="1" applyAlignment="1">
      <x:alignment vertical="center" wrapText="0"/>
    </x:xf>
    <x:xf numFmtId="210" fontId="24" fillId="3" borderId="369" xfId="1" applyNumberFormat="1" applyFont="1" applyFill="1" applyBorder="1" applyAlignment="1">
      <x:alignment vertical="center" wrapText="0"/>
    </x:xf>
    <x:xf numFmtId="210" fontId="24" fillId="3" borderId="370" xfId="1" applyNumberFormat="1" applyFont="1" applyFill="1" applyBorder="1" applyAlignment="1">
      <x:alignment vertical="center" wrapText="0"/>
    </x:xf>
    <x:xf numFmtId="0" fontId="24" fillId="3" borderId="371" xfId="1" applyNumberFormat="1" applyFont="1" applyFill="1" applyBorder="1" applyAlignment="1">
      <x:alignment vertical="center" wrapText="0"/>
    </x:xf>
    <x:xf numFmtId="208" fontId="24" fillId="3" borderId="372" xfId="1" applyNumberFormat="1" applyFont="1" applyFill="1" applyBorder="1" applyAlignment="1">
      <x:alignment vertical="center" wrapText="0"/>
    </x:xf>
    <x:xf numFmtId="0" fontId="24" fillId="3" borderId="373" xfId="1" applyNumberFormat="1" applyFont="1" applyFill="1" applyBorder="1" applyAlignment="1">
      <x:alignment vertical="center" wrapText="0"/>
    </x:xf>
    <x:xf numFmtId="0" fontId="24" fillId="3" borderId="374" xfId="1" applyNumberFormat="1" applyFont="1" applyFill="1" applyBorder="1" applyAlignment="1">
      <x:alignment vertical="center" wrapText="0"/>
    </x:xf>
    <x:xf numFmtId="0" fontId="25" fillId="3" borderId="375" xfId="1" applyNumberFormat="1" applyFont="1" applyFill="1" applyBorder="1" applyAlignment="1">
      <x:alignment vertical="center" wrapText="0"/>
    </x:xf>
    <x:xf numFmtId="208" fontId="25" fillId="3" borderId="376" xfId="1" applyNumberFormat="1" applyFont="1" applyFill="1" applyBorder="1" applyAlignment="1">
      <x:alignment vertical="center" wrapText="0"/>
    </x:xf>
    <x:xf numFmtId="208" fontId="25" fillId="3" borderId="377" xfId="1" applyNumberFormat="1" applyFont="1" applyFill="1" applyBorder="1" applyAlignment="1">
      <x:alignment vertical="center" wrapText="1"/>
    </x:xf>
    <x:xf numFmtId="213" fontId="24" fillId="3" borderId="378" xfId="1" applyNumberFormat="1" applyFont="1" applyFill="1" applyBorder="1" applyAlignment="1">
      <x:alignment vertical="center" wrapText="0"/>
    </x:xf>
    <x:xf numFmtId="213" fontId="24" fillId="3" borderId="379" xfId="1" applyNumberFormat="1" applyFont="1" applyFill="1" applyBorder="1" applyAlignment="1">
      <x:alignment vertical="center" wrapText="1"/>
    </x:xf>
    <x:xf numFmtId="208" fontId="25" fillId="3" borderId="380" xfId="1" applyNumberFormat="1" applyFont="1" applyFill="1" applyBorder="1" applyAlignment="1">
      <x:alignment vertical="center" wrapText="1"/>
    </x:xf>
    <x:xf numFmtId="213" fontId="24" fillId="3" borderId="381" xfId="1" applyNumberFormat="1" applyFont="1" applyFill="1" applyBorder="1" applyAlignment="1">
      <x:alignment vertical="center" wrapText="0"/>
    </x:xf>
    <x:xf numFmtId="213" fontId="24" fillId="3" borderId="382" xfId="1" applyNumberFormat="1" applyFont="1" applyFill="1" applyBorder="1" applyAlignment="1">
      <x:alignment vertical="center" wrapText="1"/>
    </x:xf>
    <x:xf numFmtId="0" fontId="24" fillId="3" borderId="383" xfId="1" applyNumberFormat="1" applyFont="1" applyFill="1" applyBorder="1" applyAlignment="1">
      <x:alignment vertical="center" wrapText="0"/>
    </x:xf>
    <x:xf numFmtId="0" fontId="24" fillId="3" borderId="384" xfId="1" applyNumberFormat="1" applyFont="1" applyFill="1" applyBorder="1" applyAlignment="1">
      <x:alignment vertical="center" wrapText="0"/>
    </x:xf>
    <x:xf numFmtId="0" fontId="24" fillId="3" borderId="385" xfId="1" applyNumberFormat="1" applyFont="1" applyFill="1" applyBorder="1" applyAlignment="1">
      <x:alignment vertical="center" wrapText="0"/>
    </x:xf>
    <x:xf numFmtId="208" fontId="24" fillId="3" borderId="386" xfId="1" applyNumberFormat="1" applyFont="1" applyFill="1" applyBorder="1" applyAlignment="1">
      <x:alignment vertical="center" wrapText="0"/>
    </x:xf>
    <x:xf numFmtId="0" fontId="24" fillId="3" borderId="387" xfId="1" applyNumberFormat="1" applyFont="1" applyFill="1" applyBorder="1" applyAlignment="1">
      <x:alignment vertical="center" wrapText="0"/>
    </x:xf>
    <x:xf numFmtId="208" fontId="24" fillId="3" borderId="388" xfId="1" applyNumberFormat="1" applyFont="1" applyFill="1" applyBorder="1" applyAlignment="1">
      <x:alignment vertical="center" wrapText="0"/>
    </x:xf>
    <x:xf numFmtId="209" fontId="32" fillId="3" borderId="389" xfId="1" applyNumberFormat="1" applyFont="1" applyFill="1" applyBorder="1" applyAlignment="1">
      <x:alignment vertical="center" wrapText="0"/>
    </x:xf>
    <x:xf numFmtId="0" fontId="27" fillId="3" borderId="390" xfId="1" applyNumberFormat="1" applyFont="1" applyFill="1" applyBorder="1" applyAlignment="1">
      <x:alignment vertical="center" wrapText="0"/>
    </x:xf>
    <x:xf numFmtId="208" fontId="32" fillId="3" borderId="391" xfId="1" applyNumberFormat="1" applyFont="1" applyFill="1" applyBorder="1" applyAlignment="1">
      <x:alignment vertical="center" wrapText="0"/>
    </x:xf>
    <x:xf numFmtId="0" fontId="25" fillId="3" borderId="392" xfId="1" applyNumberFormat="1" applyFont="1" applyFill="1" applyBorder="1" applyAlignment="1">
      <x:alignment vertical="center" wrapText="0"/>
    </x:xf>
    <x:xf numFmtId="0" fontId="25" fillId="5" borderId="393" xfId="1" applyNumberFormat="1" applyFont="1" applyFill="1" applyBorder="1" applyAlignment="1">
      <x:alignment vertical="center" wrapText="1"/>
    </x:xf>
    <x:xf numFmtId="0" fontId="25" fillId="5" borderId="394" xfId="1" applyNumberFormat="1" applyFont="1" applyFill="1" applyBorder="1" applyAlignment="1">
      <x:alignment vertical="center" wrapText="1"/>
    </x:xf>
    <x:xf numFmtId="210" fontId="22" fillId="3" borderId="395" xfId="1" applyNumberFormat="1" applyFont="1" applyFill="1" applyBorder="1"/>
    <x:xf numFmtId="208" fontId="24" fillId="3" borderId="396" xfId="1" applyNumberFormat="1" applyFont="1" applyFill="1" applyBorder="1" applyAlignment="1">
      <x:alignment vertical="center" wrapText="0"/>
    </x:xf>
    <x:xf numFmtId="208" fontId="25" fillId="3" borderId="397" xfId="1" applyNumberFormat="1" applyFont="1" applyFill="1" applyBorder="1" applyAlignment="1">
      <x:alignment vertical="center" wrapText="0"/>
    </x:xf>
    <x:xf numFmtId="208" fontId="25" fillId="3" borderId="398" xfId="1" applyNumberFormat="1" applyFont="1" applyFill="1" applyBorder="1" applyAlignment="1">
      <x:alignment vertical="center" wrapText="0"/>
    </x:xf>
    <x:xf numFmtId="208" fontId="29" fillId="3" borderId="399" xfId="1" applyNumberFormat="1" applyFont="1" applyFill="1" applyBorder="1"/>
    <x:xf numFmtId="0" fontId="25" fillId="5" borderId="400" xfId="1" applyNumberFormat="1" applyFont="1" applyFill="1" applyBorder="1" applyAlignment="1">
      <x:alignment vertical="center" wrapText="1"/>
    </x:xf>
    <x:xf numFmtId="0" fontId="24" fillId="3" borderId="401" xfId="1" applyNumberFormat="1" applyFont="1" applyFill="1" applyBorder="1" applyAlignment="1">
      <x:alignment vertical="center" wrapText="0"/>
    </x:xf>
    <x:xf numFmtId="208" fontId="34" fillId="3" borderId="402" xfId="1" applyNumberFormat="1" applyFont="1" applyFill="1" applyBorder="1" applyAlignment="1">
      <x:alignment vertical="center" wrapText="1"/>
    </x:xf>
    <x:xf numFmtId="0" fontId="24" fillId="3" borderId="403" xfId="1" applyNumberFormat="1" applyFont="1" applyFill="1" applyBorder="1" applyAlignment="1">
      <x:alignment vertical="center" wrapText="1"/>
    </x:xf>
    <x:xf numFmtId="0" fontId="24" fillId="3" borderId="404" xfId="1" applyNumberFormat="1" applyFont="1" applyFill="1" applyBorder="1" applyAlignment="1">
      <x:alignment vertical="center" wrapText="1"/>
    </x:xf>
    <x:xf numFmtId="0" fontId="24" fillId="3" borderId="405" xfId="1" applyNumberFormat="1" applyFont="1" applyFill="1" applyBorder="1" applyAlignment="1">
      <x:alignment vertical="center" wrapText="1"/>
    </x:xf>
    <x:xf numFmtId="210" fontId="24" fillId="3" borderId="406" xfId="1" applyNumberFormat="1" applyFont="1" applyFill="1" applyBorder="1" applyAlignment="1">
      <x:alignment vertical="center" wrapText="1"/>
    </x:xf>
    <x:xf numFmtId="209" fontId="34" fillId="3" borderId="407" xfId="1" applyNumberFormat="1" applyFont="1" applyFill="1" applyBorder="1" applyAlignment="1">
      <x:alignment vertical="center" wrapText="1"/>
    </x:xf>
    <x:xf numFmtId="208" fontId="34" fillId="3" borderId="408" xfId="1" applyNumberFormat="1" applyFont="1" applyFill="1" applyBorder="1" applyAlignment="1">
      <x:alignment vertical="center" wrapText="1"/>
    </x:xf>
    <x:xf numFmtId="208" fontId="34" fillId="3" borderId="409" xfId="1" applyNumberFormat="1" applyFont="1" applyFill="1" applyBorder="1" applyAlignment="1">
      <x:alignment vertical="center" wrapText="1"/>
    </x:xf>
    <x:xf numFmtId="0" fontId="24" fillId="3" borderId="410" xfId="1" applyNumberFormat="1" applyFont="1" applyFill="1" applyBorder="1" applyAlignment="1">
      <x:alignment vertical="center" wrapText="1"/>
    </x:xf>
    <x:xf numFmtId="0" fontId="24" fillId="3" borderId="411" xfId="1" applyNumberFormat="1" applyFont="1" applyFill="1" applyBorder="1" applyAlignment="1">
      <x:alignment vertical="center" wrapText="1"/>
    </x:xf>
    <x:xf numFmtId="0" fontId="25" fillId="5" borderId="412" xfId="1" applyNumberFormat="1" applyFont="1" applyFill="1" applyBorder="1" applyAlignment="1">
      <x:alignment horizontal="center" vertical="top" wrapText="1"/>
    </x:xf>
    <x:xf numFmtId="0" fontId="24" fillId="3" borderId="413" xfId="1" applyNumberFormat="1" applyFont="1" applyFill="1" applyBorder="1" applyAlignment="1">
      <x:alignment vertical="top" wrapText="1"/>
    </x:xf>
    <x:xf numFmtId="0" fontId="24" fillId="3" borderId="414" xfId="1" applyNumberFormat="1" applyFont="1" applyFill="1" applyBorder="1" applyAlignment="1">
      <x:alignment vertical="top" wrapText="1"/>
    </x:xf>
    <x:xf numFmtId="0" fontId="24" fillId="3" borderId="415" xfId="1" applyNumberFormat="1" applyFont="1" applyFill="1" applyBorder="1" applyAlignment="1">
      <x:alignment vertical="top" wrapText="1"/>
    </x:xf>
    <x:xf numFmtId="0" fontId="24" fillId="3" borderId="416" xfId="1" applyNumberFormat="1" applyFont="1" applyFill="1" applyBorder="1" applyAlignment="1">
      <x:alignment vertical="top" wrapText="1"/>
    </x:xf>
    <x:xf numFmtId="0" fontId="24" fillId="3" borderId="417" xfId="1" applyNumberFormat="1" applyFont="1" applyFill="1" applyBorder="1" applyAlignment="1">
      <x:alignment vertical="top" wrapText="1"/>
    </x:xf>
    <x:xf numFmtId="208" fontId="34" fillId="3" borderId="418" xfId="1" applyNumberFormat="1" applyFont="1" applyFill="1" applyBorder="1" applyAlignment="1">
      <x:alignment vertical="top" wrapText="1"/>
    </x:xf>
    <x:xf numFmtId="0" fontId="24" fillId="3" borderId="419" xfId="1" applyNumberFormat="1" applyFont="1" applyFill="1" applyBorder="1" applyAlignment="1">
      <x:alignment vertical="top" wrapText="1"/>
    </x:xf>
    <x:xf numFmtId="208" fontId="34" fillId="3" borderId="420" xfId="1" applyNumberFormat="1" applyFont="1" applyFill="1" applyBorder="1" applyAlignment="1">
      <x:alignment vertical="top" wrapText="1"/>
    </x:xf>
    <x:xf numFmtId="0" fontId="24" fillId="3" borderId="421" xfId="1" applyNumberFormat="1" applyFont="1" applyFill="1" applyBorder="1" applyAlignment="1">
      <x:alignment vertical="top" wrapText="1"/>
    </x:xf>
    <x:xf numFmtId="210" fontId="24" fillId="3" borderId="422" xfId="1" applyNumberFormat="1" applyFont="1" applyFill="1" applyBorder="1" applyAlignment="1">
      <x:alignment vertical="top" wrapText="1"/>
    </x:xf>
    <x:xf numFmtId="0" fontId="24" fillId="3" borderId="423" xfId="1" applyNumberFormat="1" applyFont="1" applyFill="1" applyBorder="1" applyAlignment="1">
      <x:alignment wrapText="1"/>
    </x:xf>
    <x:xf numFmtId="0" fontId="24" fillId="3" borderId="424" xfId="1" applyNumberFormat="1" applyFont="1" applyFill="1" applyBorder="1" applyAlignment="1">
      <x:alignment wrapText="1"/>
    </x:xf>
    <x:xf numFmtId="0" fontId="24" fillId="3" borderId="425" xfId="1" applyNumberFormat="1" applyFont="1" applyFill="1" applyBorder="1" applyAlignment="1">
      <x:alignment wrapText="1"/>
    </x:xf>
    <x:xf numFmtId="0" fontId="44" fillId="3" borderId="213" xfId="1" applyNumberFormat="1" applyFont="1" applyFill="1" applyBorder="1" applyAlignment="1">
      <x:alignment vertical="top" wrapText="1"/>
    </x:xf>
    <x:xf numFmtId="214" fontId="24" fillId="3" borderId="213" xfId="1" applyNumberFormat="1" applyFont="1" applyFill="1" applyBorder="1" applyAlignment="1">
      <x:alignment vertical="top" wrapText="1"/>
    </x:xf>
    <x:xf numFmtId="0" fontId="24" fillId="6" borderId="213" xfId="1" applyNumberFormat="1" applyFont="1" applyFill="1" applyBorder="1" applyAlignment="1">
      <x:alignment vertical="top" wrapText="1"/>
    </x:xf>
    <x:xf numFmtId="0" fontId="25" fillId="6" borderId="213" xfId="1" applyNumberFormat="1" applyFont="1" applyFill="1" applyBorder="1" applyAlignment="1">
      <x:alignment vertical="top" wrapText="1"/>
    </x:xf>
    <x:xf numFmtId="0" fontId="25" fillId="6" borderId="213" xfId="1" applyNumberFormat="1" applyFont="1" applyFill="1" applyBorder="1" applyAlignment="1">
      <x:alignment horizontal="center" vertical="top" wrapText="1"/>
    </x:xf>
    <x:xf numFmtId="0" fontId="25" fillId="6" borderId="214" xfId="1" applyNumberFormat="1" applyFont="1" applyFill="1" applyBorder="1" applyAlignment="1">
      <x:alignment horizontal="center" vertical="top" wrapText="1"/>
    </x:xf>
    <x:xf numFmtId="0" fontId="36" fillId="3" borderId="213" xfId="1" applyNumberFormat="1" applyFont="1" applyFill="1" applyBorder="1" applyAlignment="1">
      <x:alignment vertical="top" wrapText="1"/>
    </x:xf>
    <x:xf numFmtId="215" fontId="32" fillId="3" borderId="213" xfId="1" applyNumberFormat="1" applyFont="1" applyFill="1" applyBorder="1" applyAlignment="1">
      <x:alignment vertical="top" wrapText="1"/>
    </x:xf>
    <x:xf numFmtId="215" fontId="36" fillId="3" borderId="213" xfId="1" applyNumberFormat="1" applyFont="1" applyFill="1" applyBorder="1" applyAlignment="1">
      <x:alignment vertical="top" wrapText="1"/>
    </x:xf>
    <x:xf numFmtId="0" fontId="25" fillId="6" borderId="215" xfId="1" applyNumberFormat="1" applyFont="1" applyFill="1" applyBorder="1" applyAlignment="1">
      <x:alignment horizontal="center" vertical="top" wrapText="1"/>
    </x:xf>
    <x:xf numFmtId="0" fontId="25" fillId="6" borderId="229" xfId="1" applyNumberFormat="1" applyFont="1" applyFill="1" applyBorder="1" applyAlignment="1">
      <x:alignment horizontal="center" vertical="top" wrapText="1"/>
    </x:xf>
    <x:xf numFmtId="0" fontId="25" fillId="6" borderId="216" xfId="1" applyNumberFormat="1" applyFont="1" applyFill="1" applyBorder="1" applyAlignment="1">
      <x:alignment horizontal="center" vertical="top" wrapText="1"/>
    </x:xf>
    <x:xf numFmtId="215" fontId="32" fillId="3" borderId="227" xfId="1" applyNumberFormat="1" applyFont="1" applyFill="1" applyBorder="1" applyAlignment="1">
      <x:alignment vertical="top" wrapText="1"/>
    </x:xf>
    <x:xf numFmtId="215" fontId="32" fillId="3" borderId="218" xfId="1" applyNumberFormat="1" applyFont="1" applyFill="1" applyBorder="1" applyAlignment="1">
      <x:alignment vertical="top" wrapText="1"/>
    </x:xf>
    <x:xf numFmtId="215" fontId="36" fillId="3" borderId="228" xfId="1" applyNumberFormat="1" applyFont="1" applyFill="1" applyBorder="1" applyAlignment="1">
      <x:alignment vertical="top" wrapText="1"/>
    </x:xf>
    <x:xf numFmtId="215" fontId="36" fillId="3" borderId="220" xfId="1" applyNumberFormat="1" applyFont="1" applyFill="1" applyBorder="1" applyAlignment="1">
      <x:alignment vertical="top" wrapText="1"/>
    </x:xf>
    <x:xf numFmtId="215" fontId="36" fillId="3" borderId="229" xfId="1" applyNumberFormat="1" applyFont="1" applyFill="1" applyBorder="1" applyAlignment="1">
      <x:alignment vertical="top" wrapText="1"/>
    </x:xf>
    <x:xf numFmtId="215" fontId="36" fillId="3" borderId="216" xfId="1" applyNumberFormat="1" applyFont="1" applyFill="1" applyBorder="1" applyAlignment="1">
      <x:alignment vertical="top" wrapText="1"/>
    </x:xf>
    <x:xf numFmtId="215" fontId="24" fillId="3" borderId="213" xfId="1" applyNumberFormat="1" applyFont="1" applyFill="1" applyBorder="1" applyAlignment="1">
      <x:alignment vertical="top" wrapText="1"/>
    </x:xf>
    <x:xf numFmtId="215" fontId="34" fillId="3" borderId="213" xfId="1" applyNumberFormat="1" applyFont="1" applyFill="1" applyBorder="1" applyAlignment="1">
      <x:alignment vertical="top" wrapText="1"/>
    </x:xf>
    <x:xf numFmtId="215" fontId="34" fillId="3" borderId="227" xfId="1" applyNumberFormat="1" applyFont="1" applyFill="1" applyBorder="1" applyAlignment="1">
      <x:alignment vertical="top" wrapText="1"/>
    </x:xf>
    <x:xf numFmtId="214" fontId="24" fillId="3" borderId="227" xfId="1" applyNumberFormat="1" applyFont="1" applyFill="1" applyBorder="1" applyAlignment="1">
      <x:alignment vertical="top" wrapText="1"/>
    </x:xf>
    <x:xf numFmtId="215" fontId="34" fillId="3" borderId="228" xfId="1" applyNumberFormat="1" applyFont="1" applyFill="1" applyBorder="1" applyAlignment="1">
      <x:alignment vertical="top" wrapText="1"/>
    </x:xf>
    <x:xf numFmtId="214" fontId="24" fillId="3" borderId="228" xfId="1" applyNumberFormat="1" applyFont="1" applyFill="1" applyBorder="1" applyAlignment="1">
      <x:alignment vertical="top" wrapText="1"/>
    </x:xf>
    <x:xf numFmtId="0" fontId="24" fillId="6" borderId="224" xfId="1" applyNumberFormat="1" applyFont="1" applyFill="1" applyBorder="1" applyAlignment="1">
      <x:alignment vertical="top" wrapText="1"/>
    </x:xf>
    <x:xf numFmtId="0" fontId="24" fillId="6" borderId="230" xfId="1" applyNumberFormat="1" applyFont="1" applyFill="1" applyBorder="1" applyAlignment="1">
      <x:alignment vertical="top" wrapText="1"/>
    </x:xf>
    <x:xf numFmtId="0" fontId="24" fillId="6" borderId="225" xfId="1" applyNumberFormat="1" applyFont="1" applyFill="1" applyBorder="1" applyAlignment="1">
      <x:alignment vertical="top" wrapText="1"/>
    </x:xf>
    <x:xf numFmtId="0" fontId="25" fillId="6" borderId="224" xfId="1" applyNumberFormat="1" applyFont="1" applyFill="1" applyBorder="1" applyAlignment="1">
      <x:alignment vertical="top" wrapText="1"/>
    </x:xf>
    <x:xf numFmtId="0" fontId="25" fillId="6" borderId="230" xfId="1" applyNumberFormat="1" applyFont="1" applyFill="1" applyBorder="1" applyAlignment="1">
      <x:alignment vertical="top" wrapText="1"/>
    </x:xf>
    <x:xf numFmtId="0" fontId="25" fillId="6" borderId="225" xfId="1" applyNumberFormat="1" applyFont="1" applyFill="1" applyBorder="1" applyAlignment="1">
      <x:alignment vertical="top" wrapText="1"/>
    </x:xf>
    <x:xf numFmtId="0" fontId="25" fillId="6" borderId="224" xfId="1" applyNumberFormat="1" applyFont="1" applyFill="1" applyBorder="1" applyAlignment="1">
      <x:alignment horizontal="center" vertical="top" wrapText="1"/>
    </x:xf>
    <x:xf numFmtId="0" fontId="25" fillId="6" borderId="230" xfId="1" applyNumberFormat="1" applyFont="1" applyFill="1" applyBorder="1" applyAlignment="1">
      <x:alignment horizontal="center" vertical="top" wrapText="1"/>
    </x:xf>
    <x:xf numFmtId="0" fontId="25" fillId="6" borderId="225" xfId="1" applyNumberFormat="1" applyFont="1" applyFill="1" applyBorder="1" applyAlignment="1">
      <x:alignment horizontal="center" vertical="top" wrapText="1"/>
    </x:xf>
    <x:xf numFmtId="0" fontId="22" fillId="3" borderId="213" xfId="1" applyNumberFormat="1" applyFont="1" applyFill="1" applyBorder="1" applyAlignment="1">
      <x:alignment wrapText="1"/>
    </x:xf>
    <x:xf numFmtId="0" fontId="22" fillId="3" borderId="219" xfId="1" applyNumberFormat="1" applyFont="1" applyFill="1" applyBorder="1" applyAlignment="1">
      <x:alignment wrapText="1"/>
    </x:xf>
    <x:xf numFmtId="0" fontId="22" fillId="3" borderId="220" xfId="1" applyNumberFormat="1" applyFont="1" applyFill="1" applyBorder="1" applyAlignment="1">
      <x:alignment wrapText="1"/>
    </x:xf>
    <x:xf numFmtId="0" fontId="22" fillId="3" borderId="219" xfId="1" applyNumberFormat="1" applyFont="1" applyFill="1" applyBorder="1"/>
    <x:xf numFmtId="0" fontId="22" fillId="3" borderId="220" xfId="1" applyNumberFormat="1" applyFont="1" applyFill="1" applyBorder="1"/>
    <x:xf numFmtId="0" fontId="45" fillId="7" borderId="426" xfId="2"/>
    <x:xf numFmtId="0" fontId="46" fillId="7" borderId="426" xfId="2" applyNumberFormat="1" applyFont="1" applyFill="1" applyBorder="1"/>
    <x:xf numFmtId="0" fontId="47" fillId="7" borderId="426" xfId="2" applyNumberFormat="1" applyFont="1" applyFill="1" applyBorder="1"/>
    <x:xf numFmtId="0" fontId="47" fillId="7" borderId="426" xfId="2" applyNumberFormat="1" applyFont="1" applyFill="1" applyBorder="1" applyAlignment="1">
      <x:alignment vertical="top"/>
    </x:xf>
    <x:xf numFmtId="0" fontId="47" fillId="7" borderId="426" xfId="2" applyNumberFormat="1" applyFont="1" applyFill="1" applyBorder="1" applyAlignment="1">
      <x:alignment vertical="top" wrapText="1"/>
    </x:xf>
    <x:xf numFmtId="0" fontId="48" fillId="7" borderId="426" xfId="2" applyNumberFormat="1" applyFont="1" applyFill="1" applyBorder="1" applyAlignment="1">
      <x:alignment vertical="top" wrapText="1"/>
    </x:xf>
    <x:xf numFmtId="0" fontId="49" fillId="7" borderId="426" xfId="2" applyNumberFormat="1" applyFont="1" applyFill="1" applyBorder="1" applyAlignment="1">
      <x:alignment vertical="top" wrapText="1"/>
    </x:xf>
    <x:xf numFmtId="0" fontId="49" fillId="7" borderId="426" xfId="2" applyNumberFormat="1" applyFont="1" applyFill="1" applyBorder="1" applyAlignment="1">
      <x:alignment vertical="top" wrapText="0"/>
    </x:xf>
    <x:xf numFmtId="0" fontId="47" fillId="7" borderId="426" xfId="2" applyNumberFormat="1" applyFont="1" applyFill="1" applyBorder="1" applyAlignment="1">
      <x:alignment vertical="top" wrapText="0"/>
    </x:xf>
    <x:xf numFmtId="0" fontId="47" fillId="9" borderId="426" xfId="2" applyNumberFormat="1" applyFont="1" applyFill="1" applyBorder="1" applyAlignment="1">
      <x:alignment vertical="top" wrapText="1"/>
    </x:xf>
    <x:xf numFmtId="0" fontId="48" fillId="9" borderId="426" xfId="2" applyNumberFormat="1" applyFont="1" applyFill="1" applyBorder="1" applyAlignment="1">
      <x:alignment vertical="top" wrapText="1"/>
    </x:xf>
    <x:xf numFmtId="0" fontId="48" fillId="9" borderId="426" xfId="2" applyNumberFormat="1" applyFont="1" applyFill="1" applyBorder="1" applyAlignment="1">
      <x:alignment horizontal="center" vertical="top" wrapText="1"/>
    </x:xf>
    <x:xf numFmtId="0" fontId="48" fillId="9" borderId="427" xfId="2" applyNumberFormat="1" applyFont="1" applyFill="1" applyBorder="1" applyAlignment="1">
      <x:alignment horizontal="center" vertical="top" wrapText="1"/>
    </x:xf>
    <x:xf numFmtId="0" fontId="48" fillId="9" borderId="428" xfId="2" applyNumberFormat="1" applyFont="1" applyFill="1" applyBorder="1" applyAlignment="1">
      <x:alignment horizontal="center" vertical="top" wrapText="1"/>
    </x:xf>
    <x:xf numFmtId="0" fontId="48" fillId="9" borderId="429" xfId="2" applyNumberFormat="1" applyFont="1" applyFill="1" applyBorder="1" applyAlignment="1">
      <x:alignment horizontal="center" vertical="top" wrapText="1"/>
    </x:xf>
    <x:xf numFmtId="0" fontId="48" fillId="7" borderId="430" xfId="2" applyNumberFormat="1" applyFont="1" applyFill="1" applyBorder="1" applyAlignment="1">
      <x:alignment vertical="top" wrapText="1"/>
    </x:xf>
    <x:xf numFmtId="0" fontId="47" fillId="7" borderId="431" xfId="2" applyNumberFormat="1" applyFont="1" applyFill="1" applyBorder="1" applyAlignment="1">
      <x:alignment vertical="top" wrapText="1"/>
    </x:xf>
    <x:xf numFmtId="0" fontId="48" fillId="7" borderId="432" xfId="2" applyNumberFormat="1" applyFont="1" applyFill="1" applyBorder="1" applyAlignment="1">
      <x:alignment vertical="top" wrapText="1"/>
    </x:xf>
    <x:xf numFmtId="0" fontId="47" fillId="7" borderId="433" xfId="2" applyNumberFormat="1" applyFont="1" applyFill="1" applyBorder="1" applyAlignment="1">
      <x:alignment vertical="top" wrapText="1"/>
    </x:xf>
    <x:xf numFmtId="216" fontId="47" fillId="7" borderId="426" xfId="2" applyNumberFormat="1" applyFont="1" applyFill="1" applyBorder="1" applyAlignment="1">
      <x:alignment vertical="top" wrapText="1"/>
    </x:xf>
    <x:xf numFmtId="0" fontId="50" fillId="7" borderId="426" xfId="2" applyNumberFormat="1" applyFont="1" applyFill="1" applyBorder="1" applyAlignment="1">
      <x:alignment vertical="top" wrapText="1"/>
    </x:xf>
    <x:xf numFmtId="216" fontId="50" fillId="7" borderId="426" xfId="2" applyNumberFormat="1" applyFont="1" applyFill="1" applyBorder="1" applyAlignment="1">
      <x:alignment vertical="top" wrapText="1"/>
    </x:xf>
    <x:xf numFmtId="216" fontId="51" fillId="7" borderId="426" xfId="2" applyNumberFormat="1" applyFont="1" applyFill="1" applyBorder="1" applyAlignment="1">
      <x:alignment vertical="top" wrapText="1"/>
    </x:xf>
    <x:xf numFmtId="0" fontId="50" fillId="7" borderId="430" xfId="2" applyNumberFormat="1" applyFont="1" applyFill="1" applyBorder="1" applyAlignment="1">
      <x:alignment vertical="top" wrapText="1"/>
    </x:xf>
    <x:xf numFmtId="216" fontId="51" fillId="7" borderId="431" xfId="2" applyNumberFormat="1" applyFont="1" applyFill="1" applyBorder="1" applyAlignment="1">
      <x:alignment vertical="top" wrapText="1"/>
    </x:xf>
    <x:xf numFmtId="0" fontId="47" fillId="7" borderId="430" xfId="2" applyNumberFormat="1" applyFont="1" applyFill="1" applyBorder="1" applyAlignment="1">
      <x:alignment vertical="top" wrapText="1"/>
    </x:xf>
    <x:xf numFmtId="0" fontId="47" fillId="7" borderId="432" xfId="2" applyNumberFormat="1" applyFont="1" applyFill="1" applyBorder="1" applyAlignment="1">
      <x:alignment vertical="top" wrapText="1"/>
    </x:xf>
    <x:xf numFmtId="217" fontId="45" fillId="7" borderId="426" xfId="2" applyNumberFormat="1" applyFont="1" applyFill="1" applyBorder="1"/>
    <x:xf numFmtId="218" fontId="45" fillId="7" borderId="426" xfId="2" applyNumberFormat="1" applyFont="1" applyFill="1" applyBorder="1"/>
    <x:xf numFmtId="217" fontId="52" fillId="7" borderId="426" xfId="2" applyNumberFormat="1" applyFont="1" applyFill="1" applyBorder="1"/>
    <x:xf numFmtId="218" fontId="52" fillId="7" borderId="426" xfId="2" applyNumberFormat="1" applyFont="1" applyFill="1" applyBorder="1"/>
    <x:xf numFmtId="219" fontId="45" fillId="7" borderId="426" xfId="2" applyNumberFormat="1" applyFont="1" applyFill="1" applyBorder="1"/>
    <x:xf numFmtId="0" fontId="53" fillId="7" borderId="426" xfId="2" applyNumberFormat="1" applyFont="1" applyFill="1" applyBorder="1"/>
    <x:xf numFmtId="220" fontId="45" fillId="7" borderId="426" xfId="2" applyNumberFormat="1" applyFont="1" applyFill="1" applyBorder="1"/>
    <x:xf numFmtId="221" fontId="45" fillId="7" borderId="426" xfId="2" applyNumberFormat="1" applyFont="1" applyFill="1" applyBorder="1"/>
    <x:xf numFmtId="218" fontId="53" fillId="7" borderId="426" xfId="2" applyNumberFormat="1" applyFont="1" applyFill="1" applyBorder="1"/>
    <x:xf numFmtId="219" fontId="46" fillId="7" borderId="426" xfId="2" applyNumberFormat="1" applyFont="1" applyFill="1" applyBorder="1"/>
    <x:xf numFmtId="219" fontId="47" fillId="7" borderId="426" xfId="2" applyNumberFormat="1" applyFont="1" applyFill="1" applyBorder="1"/>
    <x:xf numFmtId="0" fontId="47" fillId="7" borderId="426" xfId="2" applyNumberFormat="1" applyFont="1" applyFill="1" applyBorder="1" applyAlignment="1">
      <x:alignment vertical="center"/>
    </x:xf>
    <x:xf numFmtId="219" fontId="47" fillId="7" borderId="426" xfId="2" applyNumberFormat="1" applyFont="1" applyFill="1" applyBorder="1" applyAlignment="1">
      <x:alignment vertical="center"/>
    </x:xf>
    <x:xf numFmtId="0" fontId="47" fillId="7" borderId="426" xfId="2" applyNumberFormat="1" applyFont="1" applyFill="1" applyBorder="1" applyAlignment="1">
      <x:alignment vertical="center" wrapText="0"/>
    </x:xf>
    <x:xf numFmtId="219" fontId="47" fillId="7" borderId="426" xfId="2" applyNumberFormat="1" applyFont="1" applyFill="1" applyBorder="1" applyAlignment="1">
      <x:alignment vertical="center" wrapText="0"/>
    </x:xf>
    <x:xf numFmtId="0" fontId="54" fillId="7" borderId="426" xfId="2" applyNumberFormat="1" applyFont="1" applyFill="1" applyBorder="1"/>
    <x:xf numFmtId="221" fontId="46" fillId="7" borderId="426" xfId="2" applyNumberFormat="1" applyFont="1" applyFill="1" applyBorder="1"/>
    <x:xf numFmtId="220" fontId="46" fillId="7" borderId="426" xfId="2" applyNumberFormat="1" applyFont="1" applyFill="1" applyBorder="1"/>
    <x:xf numFmtId="217" fontId="46" fillId="7" borderId="426" xfId="2" applyNumberFormat="1" applyFont="1" applyFill="1" applyBorder="1"/>
    <x:xf numFmtId="0" fontId="55" fillId="7" borderId="426" xfId="2" applyNumberFormat="1" applyFont="1" applyFill="1" applyBorder="1"/>
    <x:xf numFmtId="221" fontId="47" fillId="7" borderId="426" xfId="2" applyNumberFormat="1" applyFont="1" applyFill="1" applyBorder="1"/>
    <x:xf numFmtId="220" fontId="47" fillId="7" borderId="426" xfId="2" applyNumberFormat="1" applyFont="1" applyFill="1" applyBorder="1"/>
    <x:xf numFmtId="217" fontId="47" fillId="7" borderId="426" xfId="2" applyNumberFormat="1" applyFont="1" applyFill="1" applyBorder="1"/>
    <x:xf numFmtId="0" fontId="55" fillId="7" borderId="426" xfId="2" applyNumberFormat="1" applyFont="1" applyFill="1" applyBorder="1" applyAlignment="1">
      <x:alignment vertical="center"/>
    </x:xf>
    <x:xf numFmtId="221" fontId="47" fillId="7" borderId="426" xfId="2" applyNumberFormat="1" applyFont="1" applyFill="1" applyBorder="1" applyAlignment="1">
      <x:alignment vertical="center"/>
    </x:xf>
    <x:xf numFmtId="220" fontId="47" fillId="7" borderId="426" xfId="2" applyNumberFormat="1" applyFont="1" applyFill="1" applyBorder="1" applyAlignment="1">
      <x:alignment vertical="center"/>
    </x:xf>
    <x:xf numFmtId="217" fontId="47" fillId="7" borderId="426" xfId="2" applyNumberFormat="1" applyFont="1" applyFill="1" applyBorder="1" applyAlignment="1">
      <x:alignment vertical="center"/>
    </x:xf>
    <x:xf numFmtId="0" fontId="55" fillId="7" borderId="426" xfId="2" applyNumberFormat="1" applyFont="1" applyFill="1" applyBorder="1" applyAlignment="1">
      <x:alignment vertical="center" wrapText="0"/>
    </x:xf>
    <x:xf numFmtId="221" fontId="47" fillId="7" borderId="426" xfId="2" applyNumberFormat="1" applyFont="1" applyFill="1" applyBorder="1" applyAlignment="1">
      <x:alignment vertical="center" wrapText="0"/>
    </x:xf>
    <x:xf numFmtId="220" fontId="47" fillId="7" borderId="426" xfId="2" applyNumberFormat="1" applyFont="1" applyFill="1" applyBorder="1" applyAlignment="1">
      <x:alignment vertical="center" wrapText="0"/>
    </x:xf>
    <x:xf numFmtId="217" fontId="47" fillId="7" borderId="426" xfId="2" applyNumberFormat="1" applyFont="1" applyFill="1" applyBorder="1" applyAlignment="1">
      <x:alignment vertical="center" wrapText="0"/>
    </x:xf>
    <x:xf numFmtId="218" fontId="54" fillId="7" borderId="426" xfId="2" applyNumberFormat="1" applyFont="1" applyFill="1" applyBorder="1"/>
    <x:xf numFmtId="218" fontId="55" fillId="7" borderId="426" xfId="2" applyNumberFormat="1" applyFont="1" applyFill="1" applyBorder="1"/>
    <x:xf numFmtId="218" fontId="55" fillId="7" borderId="426" xfId="2" applyNumberFormat="1" applyFont="1" applyFill="1" applyBorder="1" applyAlignment="1">
      <x:alignment vertical="center"/>
    </x:xf>
    <x:xf numFmtId="218" fontId="55" fillId="7" borderId="426" xfId="2" applyNumberFormat="1" applyFont="1" applyFill="1" applyBorder="1" applyAlignment="1">
      <x:alignment vertical="center" wrapText="0"/>
    </x:xf>
    <x:xf numFmtId="217" fontId="56" fillId="7" borderId="426" xfId="2" applyNumberFormat="1" applyFont="1" applyFill="1" applyBorder="1"/>
    <x:xf numFmtId="218" fontId="56" fillId="7" borderId="426" xfId="2" applyNumberFormat="1" applyFont="1" applyFill="1" applyBorder="1"/>
    <x:xf numFmtId="217" fontId="57" fillId="7" borderId="426" xfId="2" applyNumberFormat="1" applyFont="1" applyFill="1" applyBorder="1"/>
    <x:xf numFmtId="218" fontId="57" fillId="7" borderId="426" xfId="2" applyNumberFormat="1" applyFont="1" applyFill="1" applyBorder="1"/>
    <x:xf numFmtId="217" fontId="57" fillId="7" borderId="426" xfId="2" applyNumberFormat="1" applyFont="1" applyFill="1" applyBorder="1" applyAlignment="1">
      <x:alignment vertical="center"/>
    </x:xf>
    <x:xf numFmtId="218" fontId="57" fillId="7" borderId="426" xfId="2" applyNumberFormat="1" applyFont="1" applyFill="1" applyBorder="1" applyAlignment="1">
      <x:alignment vertical="center"/>
    </x:xf>
    <x:xf numFmtId="217" fontId="57" fillId="7" borderId="426" xfId="2" applyNumberFormat="1" applyFont="1" applyFill="1" applyBorder="1" applyAlignment="1">
      <x:alignment vertical="center" wrapText="0"/>
    </x:xf>
    <x:xf numFmtId="218" fontId="57" fillId="7" borderId="426" xfId="2" applyNumberFormat="1" applyFont="1" applyFill="1" applyBorder="1" applyAlignment="1">
      <x:alignment vertical="center" wrapText="0"/>
    </x:xf>
    <x:xf numFmtId="0" fontId="48" fillId="7" borderId="426" xfId="2" applyNumberFormat="1" applyFont="1" applyFill="1" applyBorder="1" applyAlignment="1">
      <x:alignment vertical="center" wrapText="0"/>
    </x:xf>
    <x:xf numFmtId="0" fontId="49" fillId="7" borderId="426" xfId="2" applyNumberFormat="1" applyFont="1" applyFill="1" applyBorder="1" applyAlignment="1">
      <x:alignment vertical="center" wrapText="0"/>
    </x:xf>
    <x:xf numFmtId="0" fontId="50" fillId="7" borderId="426" xfId="2" applyNumberFormat="1" applyFont="1" applyFill="1" applyBorder="1" applyAlignment="1">
      <x:alignment vertical="center" wrapText="0"/>
    </x:xf>
    <x:xf numFmtId="217" fontId="55" fillId="7" borderId="426" xfId="2" applyNumberFormat="1" applyFont="1" applyFill="1" applyBorder="1" applyAlignment="1">
      <x:alignment vertical="center" wrapText="0"/>
    </x:xf>
    <x:xf numFmtId="0" fontId="47" fillId="7" borderId="426" xfId="2" applyNumberFormat="1" applyFont="1" applyFill="1" applyBorder="1" applyAlignment="1">
      <x:alignment vertical="center" wrapText="1"/>
    </x:xf>
    <x:xf numFmtId="217" fontId="47" fillId="7" borderId="426" xfId="2" applyNumberFormat="1" applyFont="1" applyFill="1" applyBorder="1" applyAlignment="1">
      <x:alignment vertical="center" wrapText="1"/>
    </x:xf>
    <x:xf numFmtId="0" fontId="48" fillId="7" borderId="434" xfId="2" applyNumberFormat="1" applyFont="1" applyFill="1" applyBorder="1" applyAlignment="1">
      <x:alignment vertical="center" wrapText="0"/>
    </x:xf>
    <x:xf numFmtId="217" fontId="48" fillId="7" borderId="426" xfId="2" applyNumberFormat="1" applyFont="1" applyFill="1" applyBorder="1" applyAlignment="1">
      <x:alignment vertical="center" wrapText="0"/>
    </x:xf>
    <x:xf numFmtId="0" fontId="48" fillId="7" borderId="426" xfId="2" applyNumberFormat="1" applyFont="1" applyFill="1" applyBorder="1" applyAlignment="1">
      <x:alignment vertical="center" wrapText="1"/>
    </x:xf>
    <x:xf numFmtId="217" fontId="48" fillId="7" borderId="434" xfId="2" applyNumberFormat="1" applyFont="1" applyFill="1" applyBorder="1" applyAlignment="1">
      <x:alignment vertical="center" wrapText="0"/>
    </x:xf>
    <x:xf numFmtId="0" fontId="48" fillId="7" borderId="434" xfId="2" applyNumberFormat="1" applyFont="1" applyFill="1" applyBorder="1" applyAlignment="1">
      <x:alignment vertical="center" wrapText="1"/>
    </x:xf>
    <x:xf numFmtId="217" fontId="58" fillId="7" borderId="426" xfId="2" applyNumberFormat="1" applyFont="1" applyFill="1" applyBorder="1" applyAlignment="1">
      <x:alignment vertical="center" wrapText="0"/>
    </x:xf>
    <x:xf numFmtId="222" fontId="47" fillId="7" borderId="426" xfId="2" applyNumberFormat="1" applyFont="1" applyFill="1" applyBorder="1" applyAlignment="1">
      <x:alignment vertical="center" wrapText="0"/>
    </x:xf>
    <x:xf numFmtId="222" fontId="47" fillId="7" borderId="426" xfId="2" applyNumberFormat="1" applyFont="1" applyFill="1" applyBorder="1" applyAlignment="1">
      <x:alignment vertical="center" wrapText="1"/>
    </x:xf>
    <x:xf numFmtId="217" fontId="57" fillId="7" borderId="426" xfId="2" applyNumberFormat="1" applyFont="1" applyFill="1" applyBorder="1" applyAlignment="1">
      <x:alignment vertical="center" wrapText="1"/>
    </x:xf>
    <x:xf numFmtId="219" fontId="47" fillId="7" borderId="426" xfId="2" applyNumberFormat="1" applyFont="1" applyFill="1" applyBorder="1" applyAlignment="1">
      <x:alignment vertical="center" wrapText="1"/>
    </x:xf>
    <x:xf numFmtId="218" fontId="57" fillId="7" borderId="426" xfId="2" applyNumberFormat="1" applyFont="1" applyFill="1" applyBorder="1" applyAlignment="1">
      <x:alignment vertical="center" wrapText="1"/>
    </x:xf>
    <x:xf numFmtId="0" fontId="48" fillId="7" borderId="435" xfId="2" applyNumberFormat="1" applyFont="1" applyFill="1" applyBorder="1" applyAlignment="1">
      <x:alignment vertical="center" wrapText="0"/>
    </x:xf>
    <x:xf numFmtId="0" fontId="48" fillId="7" borderId="436" xfId="2" applyNumberFormat="1" applyFont="1" applyFill="1" applyBorder="1" applyAlignment="1">
      <x:alignment vertical="center" wrapText="0"/>
    </x:xf>
    <x:xf numFmtId="0" fontId="47" fillId="7" borderId="430" xfId="2" applyNumberFormat="1" applyFont="1" applyFill="1" applyBorder="1" applyAlignment="1">
      <x:alignment vertical="center" wrapText="1"/>
    </x:xf>
    <x:xf numFmtId="217" fontId="55" fillId="7" borderId="431" xfId="2" applyNumberFormat="1" applyFont="1" applyFill="1" applyBorder="1" applyAlignment="1">
      <x:alignment vertical="center" wrapText="0"/>
    </x:xf>
    <x:xf numFmtId="217" fontId="47" fillId="7" borderId="431" xfId="2" applyNumberFormat="1" applyFont="1" applyFill="1" applyBorder="1" applyAlignment="1">
      <x:alignment vertical="center" wrapText="0"/>
    </x:xf>
    <x:xf numFmtId="0" fontId="48" fillId="7" borderId="430" xfId="2" applyNumberFormat="1" applyFont="1" applyFill="1" applyBorder="1" applyAlignment="1">
      <x:alignment vertical="center" wrapText="1"/>
    </x:xf>
    <x:xf numFmtId="217" fontId="48" fillId="7" borderId="431" xfId="2" applyNumberFormat="1" applyFont="1" applyFill="1" applyBorder="1" applyAlignment="1">
      <x:alignment vertical="center" wrapText="0"/>
    </x:xf>
    <x:xf numFmtId="0" fontId="48" fillId="7" borderId="432" xfId="2" applyNumberFormat="1" applyFont="1" applyFill="1" applyBorder="1" applyAlignment="1">
      <x:alignment vertical="center" wrapText="1"/>
    </x:xf>
    <x:xf numFmtId="217" fontId="48" fillId="7" borderId="433" xfId="2" applyNumberFormat="1" applyFont="1" applyFill="1" applyBorder="1" applyAlignment="1">
      <x:alignment vertical="center" wrapText="0"/>
    </x:xf>
    <x:xf numFmtId="0" fontId="47" fillId="7" borderId="437" xfId="2" applyNumberFormat="1" applyFont="1" applyFill="1" applyBorder="1" applyAlignment="1">
      <x:alignment vertical="center" wrapText="1"/>
    </x:xf>
    <x:xf numFmtId="217" fontId="55" fillId="7" borderId="438" xfId="2" applyNumberFormat="1" applyFont="1" applyFill="1" applyBorder="1" applyAlignment="1">
      <x:alignment vertical="center" wrapText="0"/>
    </x:xf>
    <x:xf numFmtId="222" fontId="47" fillId="7" borderId="431" xfId="2" applyNumberFormat="1" applyFont="1" applyFill="1" applyBorder="1" applyAlignment="1">
      <x:alignment vertical="center" wrapText="0"/>
    </x:xf>
    <x:xf numFmtId="217" fontId="58" fillId="7" borderId="431" xfId="2" applyNumberFormat="1" applyFont="1" applyFill="1" applyBorder="1" applyAlignment="1">
      <x:alignment vertical="center" wrapText="0"/>
    </x:xf>
    <x:xf numFmtId="0" fontId="47" fillId="7" borderId="432" xfId="2" applyNumberFormat="1" applyFont="1" applyFill="1" applyBorder="1" applyAlignment="1">
      <x:alignment vertical="center" wrapText="1"/>
    </x:xf>
    <x:xf numFmtId="222" fontId="47" fillId="7" borderId="433" xfId="2" applyNumberFormat="1" applyFont="1" applyFill="1" applyBorder="1" applyAlignment="1">
      <x:alignment vertical="center" wrapText="0"/>
    </x:xf>
    <x:xf numFmtId="0" fontId="48" fillId="7" borderId="437" xfId="2" applyNumberFormat="1" applyFont="1" applyFill="1" applyBorder="1" applyAlignment="1">
      <x:alignment vertical="center" wrapText="1"/>
    </x:xf>
    <x:xf numFmtId="217" fontId="48" fillId="7" borderId="438" xfId="2" applyNumberFormat="1" applyFont="1" applyFill="1" applyBorder="1" applyAlignment="1">
      <x:alignment vertical="center" wrapText="0"/>
    </x:xf>
    <x:xf numFmtId="220" fontId="47" fillId="7" borderId="433" xfId="2" applyNumberFormat="1" applyFont="1" applyFill="1" applyBorder="1" applyAlignment="1">
      <x:alignment vertical="center" wrapText="0"/>
    </x:xf>
    <x:xf numFmtId="0" fontId="47" fillId="7" borderId="438" xfId="2" applyNumberFormat="1" applyFont="1" applyFill="1" applyBorder="1" applyAlignment="1">
      <x:alignment vertical="center" wrapText="1"/>
    </x:xf>
    <x:xf numFmtId="217" fontId="47" fillId="7" borderId="431" xfId="2" applyNumberFormat="1" applyFont="1" applyFill="1" applyBorder="1" applyAlignment="1">
      <x:alignment vertical="center" wrapText="1"/>
    </x:xf>
    <x:xf numFmtId="217" fontId="47" fillId="7" borderId="433" xfId="2" applyNumberFormat="1" applyFont="1" applyFill="1" applyBorder="1" applyAlignment="1">
      <x:alignment vertical="center" wrapText="1"/>
    </x:xf>
    <x:xf numFmtId="217" fontId="48" fillId="7" borderId="439" xfId="2" applyNumberFormat="1" applyFont="1" applyFill="1" applyBorder="1" applyAlignment="1">
      <x:alignment vertical="center" wrapText="0"/>
    </x:xf>
    <x:xf numFmtId="0" fontId="48" fillId="7" borderId="439" xfId="2" applyNumberFormat="1" applyFont="1" applyFill="1" applyBorder="1" applyAlignment="1">
      <x:alignment vertical="center" wrapText="0"/>
    </x:xf>
    <x:xf numFmtId="0" fontId="48" fillId="7" borderId="439" xfId="2" applyNumberFormat="1" applyFont="1" applyFill="1" applyBorder="1" applyAlignment="1">
      <x:alignment vertical="center" wrapText="1"/>
    </x:xf>
    <x:xf numFmtId="0" fontId="47" fillId="7" borderId="430" xfId="2" applyNumberFormat="1" applyFont="1" applyFill="1" applyBorder="1" applyAlignment="1">
      <x:alignment vertical="center" wrapText="0"/>
    </x:xf>
    <x:xf numFmtId="217" fontId="47" fillId="7" borderId="440" xfId="2" applyNumberFormat="1" applyFont="1" applyFill="1" applyBorder="1" applyAlignment="1">
      <x:alignment vertical="center" wrapText="0"/>
    </x:xf>
    <x:xf numFmtId="217" fontId="47" fillId="7" borderId="440" xfId="2" applyNumberFormat="1" applyFont="1" applyFill="1" applyBorder="1" applyAlignment="1">
      <x:alignment vertical="center" wrapText="1"/>
    </x:xf>
    <x:xf numFmtId="219" fontId="47" fillId="7" borderId="440" xfId="2" applyNumberFormat="1" applyFont="1" applyFill="1" applyBorder="1" applyAlignment="1">
      <x:alignment vertical="center" wrapText="0"/>
    </x:xf>
    <x:xf numFmtId="219" fontId="47" fillId="7" borderId="431" xfId="2" applyNumberFormat="1" applyFont="1" applyFill="1" applyBorder="1" applyAlignment="1">
      <x:alignment vertical="center" wrapText="0"/>
    </x:xf>
    <x:xf numFmtId="0" fontId="47" fillId="7" borderId="440" xfId="2" applyNumberFormat="1" applyFont="1" applyFill="1" applyBorder="1" applyAlignment="1">
      <x:alignment vertical="center" wrapText="0"/>
    </x:xf>
    <x:xf numFmtId="0" fontId="47" fillId="7" borderId="431" xfId="2" applyNumberFormat="1" applyFont="1" applyFill="1" applyBorder="1" applyAlignment="1">
      <x:alignment vertical="center" wrapText="0"/>
    </x:xf>
    <x:xf numFmtId="222" fontId="47" fillId="7" borderId="440" xfId="2" applyNumberFormat="1" applyFont="1" applyFill="1" applyBorder="1" applyAlignment="1">
      <x:alignment vertical="center" wrapText="0"/>
    </x:xf>
    <x:xf numFmtId="222" fontId="47" fillId="7" borderId="440" xfId="2" applyNumberFormat="1" applyFont="1" applyFill="1" applyBorder="1" applyAlignment="1">
      <x:alignment vertical="center" wrapText="1"/>
    </x:xf>
    <x:xf numFmtId="0" fontId="47" fillId="7" borderId="432" xfId="2" applyNumberFormat="1" applyFont="1" applyFill="1" applyBorder="1" applyAlignment="1">
      <x:alignment vertical="center" wrapText="0"/>
    </x:xf>
    <x:xf numFmtId="222" fontId="47" fillId="7" borderId="441" xfId="2" applyNumberFormat="1" applyFont="1" applyFill="1" applyBorder="1" applyAlignment="1">
      <x:alignment vertical="center" wrapText="0"/>
    </x:xf>
    <x:xf numFmtId="222" fontId="47" fillId="7" borderId="441" xfId="2" applyNumberFormat="1" applyFont="1" applyFill="1" applyBorder="1" applyAlignment="1">
      <x:alignment vertical="center" wrapText="1"/>
    </x:xf>
    <x:xf numFmtId="0" fontId="47" fillId="7" borderId="441" xfId="2" applyNumberFormat="1" applyFont="1" applyFill="1" applyBorder="1" applyAlignment="1">
      <x:alignment vertical="center" wrapText="0"/>
    </x:xf>
    <x:xf numFmtId="0" fontId="47" fillId="7" borderId="433" xfId="2" applyNumberFormat="1" applyFont="1" applyFill="1" applyBorder="1" applyAlignment="1">
      <x:alignment vertical="center" wrapText="0"/>
    </x:xf>
    <x:xf numFmtId="0" fontId="47" fillId="7" borderId="428" xfId="2" applyNumberFormat="1" applyFont="1" applyFill="1" applyBorder="1" applyAlignment="1">
      <x:alignment vertical="center" wrapText="0"/>
    </x:xf>
    <x:xf numFmtId="217" fontId="47" fillId="7" borderId="429" xfId="2" applyNumberFormat="1" applyFont="1" applyFill="1" applyBorder="1" applyAlignment="1">
      <x:alignment vertical="center" wrapText="0"/>
    </x:xf>
    <x:xf numFmtId="0" fontId="47" fillId="7" borderId="437" xfId="2" applyNumberFormat="1" applyFont="1" applyFill="1" applyBorder="1" applyAlignment="1">
      <x:alignment vertical="center" wrapText="0"/>
    </x:xf>
    <x:xf numFmtId="218" fontId="55" fillId="7" borderId="433" xfId="2" applyNumberFormat="1" applyFont="1" applyFill="1" applyBorder="1" applyAlignment="1">
      <x:alignment vertical="center" wrapText="0"/>
    </x:xf>
    <x:xf numFmtId="217" fontId="55" fillId="7" borderId="429" xfId="2" applyNumberFormat="1" applyFont="1" applyFill="1" applyBorder="1" applyAlignment="1">
      <x:alignment vertical="center" wrapText="0"/>
    </x:xf>
    <x:xf numFmtId="0" fontId="48" fillId="9" borderId="435" xfId="2" applyNumberFormat="1" applyFont="1" applyFill="1" applyBorder="1" applyAlignment="1">
      <x:alignment vertical="center" wrapText="0"/>
    </x:xf>
    <x:xf numFmtId="0" fontId="48" fillId="9" borderId="436" xfId="2" applyNumberFormat="1" applyFont="1" applyFill="1" applyBorder="1" applyAlignment="1">
      <x:alignment vertical="center" wrapText="0"/>
    </x:xf>
    <x:xf numFmtId="0" fontId="48" fillId="9" borderId="435" xfId="2" applyNumberFormat="1" applyFont="1" applyFill="1" applyBorder="1" applyAlignment="1">
      <x:alignment horizontal="center" vertical="center" wrapText="0"/>
    </x:xf>
    <x:xf numFmtId="0" fontId="48" fillId="9" borderId="436" xfId="2" applyNumberFormat="1" applyFont="1" applyFill="1" applyBorder="1" applyAlignment="1">
      <x:alignment horizontal="center" vertical="center" wrapText="0"/>
    </x:xf>
    <x:xf numFmtId="0" fontId="48" fillId="9" borderId="428" xfId="2" applyNumberFormat="1" applyFont="1" applyFill="1" applyBorder="1" applyAlignment="1">
      <x:alignment horizontal="center" vertical="center" wrapText="0"/>
    </x:xf>
    <x:xf numFmtId="0" fontId="48" fillId="9" borderId="429" xfId="2" applyNumberFormat="1" applyFont="1" applyFill="1" applyBorder="1" applyAlignment="1">
      <x:alignment horizontal="center" vertical="center" wrapText="0"/>
    </x:xf>
    <x:xf numFmtId="0" fontId="47" fillId="9" borderId="437" xfId="2" applyNumberFormat="1" applyFont="1" applyFill="1" applyBorder="1" applyAlignment="1">
      <x:alignment vertical="center" wrapText="1"/>
    </x:xf>
    <x:xf numFmtId="0" fontId="47" fillId="9" borderId="438" xfId="2" applyNumberFormat="1" applyFont="1" applyFill="1" applyBorder="1" applyAlignment="1">
      <x:alignment vertical="center" wrapText="1"/>
    </x:xf>
    <x:xf numFmtId="0" fontId="48" fillId="9" borderId="437" xfId="2" applyNumberFormat="1" applyFont="1" applyFill="1" applyBorder="1" applyAlignment="1">
      <x:alignment vertical="center" wrapText="1"/>
    </x:xf>
    <x:xf numFmtId="0" fontId="48" fillId="9" borderId="438" xfId="2" applyNumberFormat="1" applyFont="1" applyFill="1" applyBorder="1" applyAlignment="1">
      <x:alignment vertical="center" wrapText="1"/>
    </x:xf>
    <x:xf numFmtId="0" fontId="48" fillId="9" borderId="437" xfId="2" applyNumberFormat="1" applyFont="1" applyFill="1" applyBorder="1" applyAlignment="1">
      <x:alignment horizontal="center" vertical="center" wrapText="1"/>
    </x:xf>
    <x:xf numFmtId="0" fontId="48" fillId="9" borderId="438" xfId="2" applyNumberFormat="1" applyFont="1" applyFill="1" applyBorder="1" applyAlignment="1">
      <x:alignment horizontal="center" vertical="center" wrapText="1"/>
    </x:xf>
    <x:xf numFmtId="0" fontId="48" fillId="9" borderId="428" xfId="2" applyNumberFormat="1" applyFont="1" applyFill="1" applyBorder="1" applyAlignment="1">
      <x:alignment horizontal="center" vertical="center" wrapText="1"/>
    </x:xf>
    <x:xf numFmtId="0" fontId="48" fillId="9" borderId="429" xfId="2" applyNumberFormat="1" applyFont="1" applyFill="1" applyBorder="1" applyAlignment="1">
      <x:alignment horizontal="center" vertical="center" wrapText="1"/>
    </x:xf>
    <x:xf numFmtId="217" fontId="48" fillId="9" borderId="439" xfId="2" applyNumberFormat="1" applyFont="1" applyFill="1" applyBorder="1" applyAlignment="1">
      <x:alignment vertical="center" wrapText="0"/>
    </x:xf>
    <x:xf numFmtId="0" fontId="48" fillId="9" borderId="439" xfId="2" applyNumberFormat="1" applyFont="1" applyFill="1" applyBorder="1" applyAlignment="1">
      <x:alignment vertical="center" wrapText="0"/>
    </x:xf>
    <x:xf numFmtId="0" fontId="48" fillId="9" borderId="439" xfId="2" applyNumberFormat="1" applyFont="1" applyFill="1" applyBorder="1" applyAlignment="1">
      <x:alignment vertical="center" wrapText="1"/>
    </x:xf>
    <x:xf numFmtId="217" fontId="48" fillId="9" borderId="439" xfId="2" applyNumberFormat="1" applyFont="1" applyFill="1" applyBorder="1" applyAlignment="1">
      <x:alignment horizontal="center" vertical="center" wrapText="0"/>
    </x:xf>
    <x:xf numFmtId="0" fontId="48" fillId="9" borderId="439" xfId="2" applyNumberFormat="1" applyFont="1" applyFill="1" applyBorder="1" applyAlignment="1">
      <x:alignment horizontal="center" vertical="center" wrapText="0"/>
    </x:xf>
    <x:xf numFmtId="0" fontId="48" fillId="9" borderId="439" xfId="2" applyNumberFormat="1" applyFont="1" applyFill="1" applyBorder="1" applyAlignment="1">
      <x:alignment horizontal="center" vertical="center" wrapText="1"/>
    </x:xf>
    <x:xf numFmtId="217" fontId="48" fillId="9" borderId="442" xfId="2" applyNumberFormat="1" applyFont="1" applyFill="1" applyBorder="1" applyAlignment="1">
      <x:alignment horizontal="center" vertical="center" wrapText="0"/>
    </x:xf>
    <x:xf numFmtId="0" fontId="48" fillId="9" borderId="442" xfId="2" applyNumberFormat="1" applyFont="1" applyFill="1" applyBorder="1" applyAlignment="1">
      <x:alignment horizontal="center" vertical="center" wrapText="0"/>
    </x:xf>
    <x:xf numFmtId="0" fontId="48" fillId="9" borderId="442" xfId="2" applyNumberFormat="1" applyFont="1" applyFill="1" applyBorder="1" applyAlignment="1">
      <x:alignment horizontal="center" vertical="center" wrapText="1"/>
    </x:xf>
    <x:xf numFmtId="0" fontId="48" fillId="9" borderId="434" xfId="2" applyNumberFormat="1" applyFont="1" applyFill="1" applyBorder="1" applyAlignment="1">
      <x:alignment vertical="center" wrapText="1"/>
    </x:xf>
    <x:xf numFmtId="0" fontId="48" fillId="9" borderId="434" xfId="2" applyNumberFormat="1" applyFont="1" applyFill="1" applyBorder="1" applyAlignment="1">
      <x:alignment horizontal="center" vertical="center" wrapText="1"/>
    </x:xf>
    <x:xf numFmtId="0" fontId="48" fillId="9" borderId="427" xfId="2" applyNumberFormat="1" applyFont="1" applyFill="1" applyBorder="1" applyAlignment="1">
      <x:alignment horizontal="center" vertical="center" wrapText="1"/>
    </x:xf>
    <x:xf numFmtId="0" fontId="48" fillId="7" borderId="428" xfId="2" applyNumberFormat="1" applyFont="1" applyFill="1" applyBorder="1" applyAlignment="1">
      <x:alignment vertical="center" wrapText="1"/>
    </x:xf>
    <x:xf numFmtId="217" fontId="48" fillId="7" borderId="429" xfId="2" applyNumberFormat="1" applyFont="1" applyFill="1" applyBorder="1" applyAlignment="1">
      <x:alignment vertical="center" wrapText="0"/>
    </x:xf>
    <x:xf numFmtId="217" fontId="58" fillId="7" borderId="438" xfId="2" applyNumberFormat="1" applyFont="1" applyFill="1" applyBorder="1" applyAlignment="1">
      <x:alignment vertical="center" wrapText="0"/>
    </x:xf>
    <x:xf numFmtId="0" fontId="48" fillId="7" borderId="430" xfId="2" applyNumberFormat="1" applyFont="1" applyFill="1" applyBorder="1" applyAlignment="1">
      <x:alignment vertical="center" wrapText="0"/>
    </x:xf>
    <x:xf numFmtId="217" fontId="48" fillId="7" borderId="440" xfId="2" applyNumberFormat="1" applyFont="1" applyFill="1" applyBorder="1" applyAlignment="1">
      <x:alignment vertical="center" wrapText="0"/>
    </x:xf>
    <x:xf numFmtId="217" fontId="48" fillId="7" borderId="440" xfId="2" applyNumberFormat="1" applyFont="1" applyFill="1" applyBorder="1" applyAlignment="1">
      <x:alignment vertical="center" wrapText="1"/>
    </x:xf>
    <x:xf numFmtId="0" fontId="48" fillId="7" borderId="437" xfId="2" applyNumberFormat="1" applyFont="1" applyFill="1" applyBorder="1" applyAlignment="1">
      <x:alignment vertical="center" wrapText="0"/>
    </x:xf>
    <x:xf numFmtId="217" fontId="48" fillId="7" borderId="443" xfId="2" applyNumberFormat="1" applyFont="1" applyFill="1" applyBorder="1" applyAlignment="1">
      <x:alignment vertical="center" wrapText="0"/>
    </x:xf>
    <x:xf numFmtId="217" fontId="48" fillId="7" borderId="443" xfId="2" applyNumberFormat="1" applyFont="1" applyFill="1" applyBorder="1" applyAlignment="1">
      <x:alignment vertical="center" wrapText="1"/>
    </x:xf>
    <x:xf numFmtId="0" fontId="47" fillId="7" borderId="443" xfId="2" applyNumberFormat="1" applyFont="1" applyFill="1" applyBorder="1" applyAlignment="1">
      <x:alignment vertical="center" wrapText="1"/>
    </x:xf>
    <x:xf numFmtId="217" fontId="57" fillId="7" borderId="440" xfId="2" applyNumberFormat="1" applyFont="1" applyFill="1" applyBorder="1" applyAlignment="1">
      <x:alignment vertical="center" wrapText="1"/>
    </x:xf>
    <x:xf numFmtId="0" fontId="47" fillId="7" borderId="440" xfId="2" applyNumberFormat="1" applyFont="1" applyFill="1" applyBorder="1" applyAlignment="1">
      <x:alignment vertical="center" wrapText="1"/>
    </x:xf>
    <x:xf numFmtId="219" fontId="47" fillId="7" borderId="440" xfId="2" applyNumberFormat="1" applyFont="1" applyFill="1" applyBorder="1" applyAlignment="1">
      <x:alignment vertical="center" wrapText="1"/>
    </x:xf>
    <x:xf numFmtId="0" fontId="47" fillId="7" borderId="431" xfId="2" applyNumberFormat="1" applyFont="1" applyFill="1" applyBorder="1" applyAlignment="1">
      <x:alignment vertical="center" wrapText="1"/>
    </x:xf>
    <x:xf numFmtId="218" fontId="57" fillId="7" borderId="440" xfId="2" applyNumberFormat="1" applyFont="1" applyFill="1" applyBorder="1" applyAlignment="1">
      <x:alignment vertical="center" wrapText="1"/>
    </x:xf>
    <x:xf numFmtId="217" fontId="57" fillId="7" borderId="441" xfId="2" applyNumberFormat="1" applyFont="1" applyFill="1" applyBorder="1" applyAlignment="1">
      <x:alignment vertical="center" wrapText="1"/>
    </x:xf>
    <x:xf numFmtId="0" fontId="47" fillId="7" borderId="441" xfId="2" applyNumberFormat="1" applyFont="1" applyFill="1" applyBorder="1" applyAlignment="1">
      <x:alignment vertical="center" wrapText="1"/>
    </x:xf>
    <x:xf numFmtId="219" fontId="47" fillId="7" borderId="441" xfId="2" applyNumberFormat="1" applyFont="1" applyFill="1" applyBorder="1" applyAlignment="1">
      <x:alignment vertical="center" wrapText="1"/>
    </x:xf>
    <x:xf numFmtId="0" fontId="47" fillId="7" borderId="433" xfId="2" applyNumberFormat="1" applyFont="1" applyFill="1" applyBorder="1" applyAlignment="1">
      <x:alignment vertical="center" wrapText="1"/>
    </x:xf>
    <x:xf numFmtId="0" fontId="47" fillId="9" borderId="443" xfId="2" applyNumberFormat="1" applyFont="1" applyFill="1" applyBorder="1" applyAlignment="1">
      <x:alignment vertical="center" wrapText="1"/>
    </x:xf>
    <x:xf numFmtId="0" fontId="48" fillId="9" borderId="443" xfId="2" applyNumberFormat="1" applyFont="1" applyFill="1" applyBorder="1" applyAlignment="1">
      <x:alignment vertical="center" wrapText="1"/>
    </x:xf>
    <x:xf numFmtId="0" fontId="48" fillId="9" borderId="443" xfId="2" applyNumberFormat="1" applyFont="1" applyFill="1" applyBorder="1" applyAlignment="1">
      <x:alignment horizontal="center" vertical="center" wrapText="1"/>
    </x:xf>
    <x:xf numFmtId="217" fontId="59" fillId="7" borderId="426" xfId="2" applyNumberFormat="1" applyFont="1" applyFill="1" applyBorder="1" applyAlignment="1">
      <x:alignment vertical="center" wrapText="0"/>
    </x:xf>
    <x:xf numFmtId="216" fontId="47" fillId="7" borderId="426" xfId="2" applyNumberFormat="1" applyFont="1" applyFill="1" applyBorder="1" applyAlignment="1">
      <x:alignment vertical="center" wrapText="0"/>
    </x:xf>
    <x:xf numFmtId="216" fontId="50" fillId="7" borderId="426" xfId="2" applyNumberFormat="1" applyFont="1" applyFill="1" applyBorder="1" applyAlignment="1">
      <x:alignment vertical="center" wrapText="0"/>
    </x:xf>
    <x:xf numFmtId="0" fontId="47" fillId="9" borderId="426" xfId="2" applyNumberFormat="1" applyFont="1" applyFill="1" applyBorder="1" applyAlignment="1">
      <x:alignment vertical="center" wrapText="1"/>
    </x:xf>
    <x:xf numFmtId="0" fontId="48" fillId="9" borderId="426" xfId="2" applyNumberFormat="1" applyFont="1" applyFill="1" applyBorder="1" applyAlignment="1">
      <x:alignment vertical="center" wrapText="1"/>
    </x:xf>
    <x:xf numFmtId="0" fontId="48" fillId="9" borderId="426" xfId="2" applyNumberFormat="1" applyFont="1" applyFill="1" applyBorder="1" applyAlignment="1">
      <x:alignment horizontal="center" vertical="center" wrapText="1"/>
    </x:xf>
    <x:xf numFmtId="217" fontId="55" fillId="7" borderId="440" xfId="2" applyNumberFormat="1" applyFont="1" applyFill="1" applyBorder="1" applyAlignment="1">
      <x:alignment vertical="center" wrapText="0"/>
    </x:xf>
    <x:xf numFmtId="217" fontId="59" fillId="7" borderId="431" xfId="2" applyNumberFormat="1" applyFont="1" applyFill="1" applyBorder="1" applyAlignment="1">
      <x:alignment vertical="center" wrapText="0"/>
    </x:xf>
    <x:xf numFmtId="217" fontId="55" fillId="7" borderId="441" xfId="2" applyNumberFormat="1" applyFont="1" applyFill="1" applyBorder="1" applyAlignment="1">
      <x:alignment vertical="center" wrapText="0"/>
    </x:xf>
    <x:xf numFmtId="217" fontId="59" fillId="7" borderId="433" xfId="2" applyNumberFormat="1" applyFont="1" applyFill="1" applyBorder="1" applyAlignment="1">
      <x:alignment vertical="center" wrapText="0"/>
    </x:xf>
    <x:xf numFmtId="0" fontId="60" fillId="7" borderId="426" xfId="2" applyNumberFormat="1" applyFont="1" applyFill="1" applyBorder="1" applyAlignment="1">
      <x:alignment vertical="center" wrapText="0"/>
    </x:xf>
    <x:xf numFmtId="216" fontId="60" fillId="7" borderId="426" xfId="2" applyNumberFormat="1" applyFont="1" applyFill="1" applyBorder="1" applyAlignment="1">
      <x:alignment vertical="center" wrapText="0"/>
    </x:xf>
    <x:xf numFmtId="0" fontId="60" fillId="7" borderId="444" xfId="2" applyNumberFormat="1" applyFont="1" applyFill="1" applyBorder="1" applyAlignment="1">
      <x:alignment vertical="center" wrapText="0"/>
    </x:xf>
    <x:xf numFmtId="216" fontId="60" fillId="7" borderId="444" xfId="2" applyNumberFormat="1" applyFont="1" applyFill="1" applyBorder="1" applyAlignment="1">
      <x:alignment vertical="center" wrapText="0"/>
    </x:xf>
    <x:xf numFmtId="217" fontId="55" fillId="7" borderId="426" xfId="2" applyNumberFormat="1" applyFont="1" applyFill="1" applyBorder="1" applyAlignment="1">
      <x:alignment vertical="center" wrapText="1"/>
    </x:xf>
    <x:xf numFmtId="217" fontId="55" fillId="7" borderId="440" xfId="2" applyNumberFormat="1" applyFont="1" applyFill="1" applyBorder="1" applyAlignment="1">
      <x:alignment vertical="center" wrapText="1"/>
    </x:xf>
    <x:xf numFmtId="217" fontId="55" fillId="7" borderId="441" xfId="2" applyNumberFormat="1" applyFont="1" applyFill="1" applyBorder="1" applyAlignment="1">
      <x:alignment vertical="center" wrapText="1"/>
    </x:xf>
    <x:xf numFmtId="217" fontId="47" fillId="7" borderId="441" xfId="2" applyNumberFormat="1" applyFont="1" applyFill="1" applyBorder="1" applyAlignment="1">
      <x:alignment vertical="center" wrapText="1"/>
    </x:xf>
    <x:xf numFmtId="217" fontId="59" fillId="7" borderId="426" xfId="2" applyNumberFormat="1" applyFont="1" applyFill="1" applyBorder="1" applyAlignment="1">
      <x:alignment vertical="center" wrapText="1"/>
    </x:xf>
    <x:xf numFmtId="219" fontId="47" fillId="7" borderId="430" xfId="2" applyNumberFormat="1" applyFont="1" applyFill="1" applyBorder="1" applyAlignment="1">
      <x:alignment vertical="center" wrapText="1"/>
    </x:xf>
    <x:xf numFmtId="217" fontId="59" fillId="7" borderId="440" xfId="2" applyNumberFormat="1" applyFont="1" applyFill="1" applyBorder="1" applyAlignment="1">
      <x:alignment vertical="center" wrapText="1"/>
    </x:xf>
    <x:xf numFmtId="219" fontId="47" fillId="7" borderId="432" xfId="2" applyNumberFormat="1" applyFont="1" applyFill="1" applyBorder="1" applyAlignment="1">
      <x:alignment vertical="center" wrapText="1"/>
    </x:xf>
    <x:xf numFmtId="217" fontId="61" fillId="7" borderId="438" xfId="2" applyNumberFormat="1" applyFont="1" applyFill="1" applyBorder="1" applyAlignment="1">
      <x:alignment vertical="center" wrapText="0"/>
    </x:xf>
    <x:xf numFmtId="0" fontId="47" fillId="7" borderId="426" xfId="2" applyNumberFormat="1" applyFont="1" applyFill="1" applyBorder="1" applyAlignment="1">
      <x:alignment wrapText="1"/>
    </x:xf>
    <x:xf numFmtId="0" fontId="47" fillId="7" borderId="437" xfId="2" applyNumberFormat="1" applyFont="1" applyFill="1" applyBorder="1" applyAlignment="1">
      <x:alignment vertical="top" wrapText="1"/>
    </x:xf>
    <x:xf numFmtId="0" fontId="47" fillId="7" borderId="443" xfId="2" applyNumberFormat="1" applyFont="1" applyFill="1" applyBorder="1" applyAlignment="1">
      <x:alignment vertical="top" wrapText="1"/>
    </x:xf>
    <x:xf numFmtId="0" fontId="47" fillId="7" borderId="438" xfId="2" applyNumberFormat="1" applyFont="1" applyFill="1" applyBorder="1" applyAlignment="1">
      <x:alignment vertical="top" wrapText="1"/>
    </x:xf>
    <x:xf numFmtId="0" fontId="47" fillId="7" borderId="440" xfId="2" applyNumberFormat="1" applyFont="1" applyFill="1" applyBorder="1" applyAlignment="1">
      <x:alignment vertical="top" wrapText="1"/>
    </x:xf>
    <x:xf numFmtId="0" fontId="47" fillId="7" borderId="441" xfId="2" applyNumberFormat="1" applyFont="1" applyFill="1" applyBorder="1" applyAlignment="1">
      <x:alignment vertical="top" wrapText="1"/>
    </x:xf>
    <x:xf numFmtId="0" fontId="47" fillId="7" borderId="445" xfId="2" applyNumberFormat="1" applyFont="1" applyFill="1" applyBorder="1" applyAlignment="1">
      <x:alignment vertical="top" wrapText="1"/>
    </x:xf>
    <x:xf numFmtId="0" fontId="47" fillId="7" borderId="446" xfId="2" applyNumberFormat="1" applyFont="1" applyFill="1" applyBorder="1" applyAlignment="1">
      <x:alignment vertical="top" wrapText="1"/>
    </x:xf>
    <x:xf numFmtId="0" fontId="47" fillId="7" borderId="447" xfId="2" applyNumberFormat="1" applyFont="1" applyFill="1" applyBorder="1" applyAlignment="1">
      <x:alignment vertical="top" wrapText="1"/>
    </x:xf>
    <x:xf numFmtId="0" fontId="47" fillId="9" borderId="437" xfId="2" applyNumberFormat="1" applyFont="1" applyFill="1" applyBorder="1" applyAlignment="1">
      <x:alignment vertical="top" wrapText="1"/>
    </x:xf>
    <x:xf numFmtId="0" fontId="47" fillId="9" borderId="443" xfId="2" applyNumberFormat="1" applyFont="1" applyFill="1" applyBorder="1" applyAlignment="1">
      <x:alignment vertical="top" wrapText="1"/>
    </x:xf>
    <x:xf numFmtId="0" fontId="47" fillId="9" borderId="438" xfId="2" applyNumberFormat="1" applyFont="1" applyFill="1" applyBorder="1" applyAlignment="1">
      <x:alignment vertical="top" wrapText="1"/>
    </x:xf>
    <x:xf numFmtId="0" fontId="48" fillId="9" borderId="437" xfId="2" applyNumberFormat="1" applyFont="1" applyFill="1" applyBorder="1" applyAlignment="1">
      <x:alignment vertical="top" wrapText="1"/>
    </x:xf>
    <x:xf numFmtId="0" fontId="48" fillId="9" borderId="443" xfId="2" applyNumberFormat="1" applyFont="1" applyFill="1" applyBorder="1" applyAlignment="1">
      <x:alignment vertical="top" wrapText="1"/>
    </x:xf>
    <x:xf numFmtId="0" fontId="48" fillId="9" borderId="438" xfId="2" applyNumberFormat="1" applyFont="1" applyFill="1" applyBorder="1" applyAlignment="1">
      <x:alignment vertical="top" wrapText="1"/>
    </x:xf>
    <x:xf numFmtId="0" fontId="48" fillId="9" borderId="437" xfId="2" applyNumberFormat="1" applyFont="1" applyFill="1" applyBorder="1" applyAlignment="1">
      <x:alignment horizontal="center" vertical="top" wrapText="1"/>
    </x:xf>
    <x:xf numFmtId="0" fontId="48" fillId="9" borderId="443" xfId="2" applyNumberFormat="1" applyFont="1" applyFill="1" applyBorder="1" applyAlignment="1">
      <x:alignment horizontal="center" vertical="top" wrapText="1"/>
    </x:xf>
    <x:xf numFmtId="0" fontId="48" fillId="9" borderId="438" xfId="2" applyNumberFormat="1" applyFont="1" applyFill="1" applyBorder="1" applyAlignment="1">
      <x:alignment horizontal="center" vertical="top" wrapText="1"/>
    </x:xf>
    <x:xf numFmtId="0" fontId="48" fillId="9" borderId="442" xfId="2" applyNumberFormat="1" applyFont="1" applyFill="1" applyBorder="1" applyAlignment="1">
      <x:alignment horizontal="center" vertical="top" wrapText="1"/>
    </x:xf>
    <x:xf numFmtId="0" fontId="47" fillId="9" borderId="445" xfId="2" applyNumberFormat="1" applyFont="1" applyFill="1" applyBorder="1" applyAlignment="1">
      <x:alignment vertical="top" wrapText="1"/>
    </x:xf>
    <x:xf numFmtId="0" fontId="48" fillId="9" borderId="445" xfId="2" applyNumberFormat="1" applyFont="1" applyFill="1" applyBorder="1" applyAlignment="1">
      <x:alignment vertical="top" wrapText="1"/>
    </x:xf>
    <x:xf numFmtId="0" fontId="48" fillId="9" borderId="445" xfId="2" applyNumberFormat="1" applyFont="1" applyFill="1" applyBorder="1" applyAlignment="1">
      <x:alignment horizontal="center" vertical="top" wrapText="1"/>
    </x:xf>
    <x:xf numFmtId="0" fontId="48" fillId="9" borderId="448" xfId="2" applyNumberFormat="1" applyFont="1" applyFill="1" applyBorder="1" applyAlignment="1">
      <x:alignment horizontal="center" vertical="top" wrapText="1"/>
    </x:xf>
    <x:xf numFmtId="217" fontId="47" fillId="7" borderId="426" xfId="2" applyNumberFormat="1" applyFont="1" applyFill="1" applyBorder="1" applyAlignment="1">
      <x:alignment vertical="top" wrapText="1"/>
    </x:xf>
    <x:xf numFmtId="217" fontId="57" fillId="7" borderId="426" xfId="2" applyNumberFormat="1" applyFont="1" applyFill="1" applyBorder="1" applyAlignment="1">
      <x:alignment vertical="top" wrapText="1"/>
    </x:xf>
    <x:xf numFmtId="219" fontId="47" fillId="7" borderId="426" xfId="2" applyNumberFormat="1" applyFont="1" applyFill="1" applyBorder="1" applyAlignment="1">
      <x:alignment vertical="top" wrapText="1"/>
    </x:xf>
    <x:xf numFmtId="217" fontId="57" fillId="7" borderId="440" xfId="2" applyNumberFormat="1" applyFont="1" applyFill="1" applyBorder="1" applyAlignment="1">
      <x:alignment vertical="top" wrapText="1"/>
    </x:xf>
    <x:xf numFmtId="219" fontId="47" fillId="7" borderId="440" xfId="2" applyNumberFormat="1" applyFont="1" applyFill="1" applyBorder="1" applyAlignment="1">
      <x:alignment vertical="top" wrapText="1"/>
    </x:xf>
    <x:xf numFmtId="217" fontId="57" fillId="7" borderId="441" xfId="2" applyNumberFormat="1" applyFont="1" applyFill="1" applyBorder="1" applyAlignment="1">
      <x:alignment vertical="top" wrapText="1"/>
    </x:xf>
    <x:xf numFmtId="219" fontId="47" fillId="7" borderId="441" xfId="2" applyNumberFormat="1" applyFont="1" applyFill="1" applyBorder="1" applyAlignment="1">
      <x:alignment vertical="top" wrapText="1"/>
    </x:xf>
    <x:xf numFmtId="217" fontId="55" fillId="7" borderId="426" xfId="2" applyNumberFormat="1" applyFont="1" applyFill="1" applyBorder="1" applyAlignment="1">
      <x:alignment vertical="top" wrapText="1"/>
    </x:xf>
    <x:xf numFmtId="217" fontId="59" fillId="7" borderId="426" xfId="2" applyNumberFormat="1" applyFont="1" applyFill="1" applyBorder="1" applyAlignment="1">
      <x:alignment vertical="top" wrapText="1"/>
    </x:xf>
    <x:xf numFmtId="217" fontId="47" fillId="9" borderId="426" xfId="2" applyNumberFormat="1" applyFont="1" applyFill="1" applyBorder="1" applyAlignment="1">
      <x:alignment vertical="top" wrapText="1"/>
    </x:xf>
    <x:xf numFmtId="219" fontId="47" fillId="9" borderId="426" xfId="2" applyNumberFormat="1" applyFont="1" applyFill="1" applyBorder="1" applyAlignment="1">
      <x:alignment vertical="top" wrapText="1"/>
    </x:xf>
    <x:xf numFmtId="217" fontId="48" fillId="9" borderId="426" xfId="2" applyNumberFormat="1" applyFont="1" applyFill="1" applyBorder="1" applyAlignment="1">
      <x:alignment vertical="top" wrapText="1"/>
    </x:xf>
    <x:xf numFmtId="219" fontId="48" fillId="9" borderId="426" xfId="2" applyNumberFormat="1" applyFont="1" applyFill="1" applyBorder="1" applyAlignment="1">
      <x:alignment vertical="top" wrapText="1"/>
    </x:xf>
    <x:xf numFmtId="217" fontId="48" fillId="9" borderId="426" xfId="2" applyNumberFormat="1" applyFont="1" applyFill="1" applyBorder="1" applyAlignment="1">
      <x:alignment horizontal="center" vertical="top" wrapText="1"/>
    </x:xf>
    <x:xf numFmtId="219" fontId="48" fillId="9" borderId="426" xfId="2" applyNumberFormat="1" applyFont="1" applyFill="1" applyBorder="1" applyAlignment="1">
      <x:alignment horizontal="center" vertical="top" wrapText="1"/>
    </x:xf>
    <x:xf numFmtId="217" fontId="48" fillId="9" borderId="427" xfId="2" applyNumberFormat="1" applyFont="1" applyFill="1" applyBorder="1" applyAlignment="1">
      <x:alignment horizontal="center" vertical="top" wrapText="1"/>
    </x:xf>
    <x:xf numFmtId="219" fontId="48" fillId="9" borderId="427" xfId="2" applyNumberFormat="1" applyFont="1" applyFill="1" applyBorder="1" applyAlignment="1">
      <x:alignment horizontal="center" vertical="top" wrapText="1"/>
    </x:xf>
    <x:xf numFmtId="217" fontId="55" fillId="7" borderId="440" xfId="2" applyNumberFormat="1" applyFont="1" applyFill="1" applyBorder="1" applyAlignment="1">
      <x:alignment vertical="top" wrapText="1"/>
    </x:xf>
    <x:xf numFmtId="217" fontId="59" fillId="7" borderId="441" xfId="2" applyNumberFormat="1" applyFont="1" applyFill="1" applyBorder="1" applyAlignment="1">
      <x:alignment vertical="top" wrapText="1"/>
    </x:xf>
    <x:xf numFmtId="217" fontId="48" fillId="9" borderId="442" xfId="2" applyNumberFormat="1" applyFont="1" applyFill="1" applyBorder="1" applyAlignment="1">
      <x:alignment horizontal="center" vertical="top" wrapText="1"/>
    </x:xf>
    <x:xf numFmtId="219" fontId="48" fillId="9" borderId="442" xfId="2" applyNumberFormat="1" applyFont="1" applyFill="1" applyBorder="1" applyAlignment="1">
      <x:alignment horizontal="center" vertical="top" wrapText="1"/>
    </x:xf>
    <x:xf numFmtId="217" fontId="59" fillId="7" borderId="440" xfId="2" applyNumberFormat="1" applyFont="1" applyFill="1" applyBorder="1" applyAlignment="1">
      <x:alignment vertical="top" wrapText="1"/>
    </x:xf>
    <x:xf numFmtId="0" fontId="47" fillId="7" borderId="428" xfId="2" applyNumberFormat="1" applyFont="1" applyFill="1" applyBorder="1" applyAlignment="1">
      <x:alignment vertical="top" wrapText="1"/>
    </x:xf>
    <x:xf numFmtId="217" fontId="55" fillId="7" borderId="442" xfId="2" applyNumberFormat="1" applyFont="1" applyFill="1" applyBorder="1" applyAlignment="1">
      <x:alignment vertical="top" wrapText="1"/>
    </x:xf>
    <x:xf numFmtId="219" fontId="47" fillId="7" borderId="442" xfId="2" applyNumberFormat="1" applyFont="1" applyFill="1" applyBorder="1" applyAlignment="1">
      <x:alignment vertical="top" wrapText="1"/>
    </x:xf>
    <x:xf numFmtId="0" fontId="47" fillId="7" borderId="442" xfId="2" applyNumberFormat="1" applyFont="1" applyFill="1" applyBorder="1" applyAlignment="1">
      <x:alignment vertical="top" wrapText="1"/>
    </x:xf>
    <x:xf numFmtId="0" fontId="47" fillId="7" borderId="429" xfId="2" applyNumberFormat="1" applyFont="1" applyFill="1" applyBorder="1" applyAlignment="1">
      <x:alignment vertical="top" wrapText="1"/>
    </x:xf>
    <x:xf numFmtId="217" fontId="61" fillId="7" borderId="441" xfId="2" applyNumberFormat="1" applyFont="1" applyFill="1" applyBorder="1" applyAlignment="1">
      <x:alignment vertical="top" wrapText="1"/>
    </x:xf>
    <x:xf numFmtId="219" fontId="48" fillId="7" borderId="441" xfId="2" applyNumberFormat="1" applyFont="1" applyFill="1" applyBorder="1" applyAlignment="1">
      <x:alignment vertical="top" wrapText="1"/>
    </x:xf>
    <x:xf numFmtId="0" fontId="48" fillId="7" borderId="441" xfId="2" applyNumberFormat="1" applyFont="1" applyFill="1" applyBorder="1" applyAlignment="1">
      <x:alignment vertical="top" wrapText="1"/>
    </x:xf>
    <x:xf numFmtId="0" fontId="48" fillId="7" borderId="433" xfId="2" applyNumberFormat="1" applyFont="1" applyFill="1" applyBorder="1" applyAlignment="1">
      <x:alignment vertical="top" wrapText="1"/>
    </x:xf>
    <x:xf numFmtId="0" fontId="48" fillId="7" borderId="428" xfId="2" applyNumberFormat="1" applyFont="1" applyFill="1" applyBorder="1" applyAlignment="1">
      <x:alignment vertical="top" wrapText="1"/>
    </x:xf>
    <x:xf numFmtId="217" fontId="61" fillId="7" borderId="442" xfId="2" applyNumberFormat="1" applyFont="1" applyFill="1" applyBorder="1" applyAlignment="1">
      <x:alignment vertical="top" wrapText="1"/>
    </x:xf>
    <x:xf numFmtId="219" fontId="48" fillId="7" borderId="442" xfId="2" applyNumberFormat="1" applyFont="1" applyFill="1" applyBorder="1" applyAlignment="1">
      <x:alignment vertical="top" wrapText="1"/>
    </x:xf>
    <x:xf numFmtId="0" fontId="48" fillId="7" borderId="442" xfId="2" applyNumberFormat="1" applyFont="1" applyFill="1" applyBorder="1" applyAlignment="1">
      <x:alignment vertical="top" wrapText="1"/>
    </x:xf>
    <x:xf numFmtId="0" fontId="48" fillId="7" borderId="429" xfId="2" applyNumberFormat="1" applyFont="1" applyFill="1" applyBorder="1" applyAlignment="1">
      <x:alignment vertical="top" wrapText="1"/>
    </x:xf>
    <x:xf numFmtId="217" fontId="61" fillId="7" borderId="440" xfId="2" applyNumberFormat="1" applyFont="1" applyFill="1" applyBorder="1" applyAlignment="1">
      <x:alignment vertical="top" wrapText="1"/>
    </x:xf>
    <x:xf numFmtId="219" fontId="48" fillId="7" borderId="440" xfId="2" applyNumberFormat="1" applyFont="1" applyFill="1" applyBorder="1" applyAlignment="1">
      <x:alignment vertical="top" wrapText="1"/>
    </x:xf>
    <x:xf numFmtId="0" fontId="48" fillId="7" borderId="440" xfId="2" applyNumberFormat="1" applyFont="1" applyFill="1" applyBorder="1" applyAlignment="1">
      <x:alignment vertical="top" wrapText="1"/>
    </x:xf>
    <x:xf numFmtId="0" fontId="48" fillId="7" borderId="431" xfId="2" applyNumberFormat="1" applyFont="1" applyFill="1" applyBorder="1" applyAlignment="1">
      <x:alignment vertical="top" wrapText="1"/>
    </x:xf>
    <x:xf numFmtId="0" fontId="48" fillId="7" borderId="437" xfId="2" applyNumberFormat="1" applyFont="1" applyFill="1" applyBorder="1" applyAlignment="1">
      <x:alignment vertical="top" wrapText="1"/>
    </x:xf>
    <x:xf numFmtId="217" fontId="61" fillId="7" borderId="443" xfId="2" applyNumberFormat="1" applyFont="1" applyFill="1" applyBorder="1" applyAlignment="1">
      <x:alignment vertical="top" wrapText="1"/>
    </x:xf>
    <x:xf numFmtId="219" fontId="48" fillId="7" borderId="443" xfId="2" applyNumberFormat="1" applyFont="1" applyFill="1" applyBorder="1" applyAlignment="1">
      <x:alignment vertical="top" wrapText="1"/>
    </x:xf>
    <x:xf numFmtId="0" fontId="48" fillId="7" borderId="443" xfId="2" applyNumberFormat="1" applyFont="1" applyFill="1" applyBorder="1" applyAlignment="1">
      <x:alignment vertical="top" wrapText="1"/>
    </x:xf>
    <x:xf numFmtId="0" fontId="48" fillId="7" borderId="438" xfId="2" applyNumberFormat="1" applyFont="1" applyFill="1" applyBorder="1" applyAlignment="1">
      <x:alignment vertical="top" wrapText="1"/>
    </x:xf>
    <x:xf numFmtId="0" fontId="45" fillId="7" borderId="426" xfId="2" applyNumberFormat="1" applyFont="1" applyFill="1" applyBorder="1" applyAlignment="1">
      <x:alignment wrapText="0"/>
    </x:xf>
    <x:xf numFmtId="0" fontId="62" fillId="7" borderId="426" xfId="2" applyNumberFormat="1" applyFont="1" applyFill="1" applyBorder="1" applyAlignment="1">
      <x:alignment wrapText="0"/>
    </x:xf>
    <x:xf numFmtId="0" fontId="63" fillId="7" borderId="426" xfId="2" applyNumberFormat="1" applyFont="1" applyFill="1" applyBorder="1" applyAlignment="1">
      <x:alignment wrapText="0"/>
    </x:xf>
    <x:xf numFmtId="217" fontId="53" fillId="7" borderId="426" xfId="2" applyNumberFormat="1" applyFont="1" applyFill="1" applyBorder="1"/>
    <x:xf numFmtId="217" fontId="64" fillId="7" borderId="426" xfId="2" applyNumberFormat="1" applyFont="1" applyFill="1" applyBorder="1"/>
    <x:xf numFmtId="216" fontId="45" fillId="7" borderId="426" xfId="2" applyNumberFormat="1" applyFont="1" applyFill="1" applyBorder="1"/>
    <x:xf numFmtId="216" fontId="53" fillId="7" borderId="426" xfId="2" applyNumberFormat="1" applyFont="1" applyFill="1" applyBorder="1"/>
    <x:xf numFmtId="220" fontId="64" fillId="7" borderId="426" xfId="2" applyNumberFormat="1" applyFont="1" applyFill="1" applyBorder="1"/>
    <x:xf numFmtId="217" fontId="54" fillId="7" borderId="426" xfId="2" applyNumberFormat="1" applyFont="1" applyFill="1" applyBorder="1"/>
    <x:xf numFmtId="217" fontId="65" fillId="7" borderId="426" xfId="2" applyNumberFormat="1" applyFont="1" applyFill="1" applyBorder="1"/>
    <x:xf numFmtId="216" fontId="54" fillId="7" borderId="426" xfId="2" applyNumberFormat="1" applyFont="1" applyFill="1" applyBorder="1"/>
    <x:xf numFmtId="220" fontId="65" fillId="7" borderId="426" xfId="2" applyNumberFormat="1" applyFont="1" applyFill="1" applyBorder="1"/>
    <x:xf numFmtId="217" fontId="55" fillId="7" borderId="426" xfId="2" applyNumberFormat="1" applyFont="1" applyFill="1" applyBorder="1"/>
    <x:xf numFmtId="217" fontId="59" fillId="7" borderId="426" xfId="2" applyNumberFormat="1" applyFont="1" applyFill="1" applyBorder="1"/>
    <x:xf numFmtId="216" fontId="55" fillId="7" borderId="426" xfId="2" applyNumberFormat="1" applyFont="1" applyFill="1" applyBorder="1"/>
    <x:xf numFmtId="220" fontId="59" fillId="7" borderId="426" xfId="2" applyNumberFormat="1" applyFont="1" applyFill="1" applyBorder="1"/>
    <x:xf numFmtId="217" fontId="55" fillId="7" borderId="426" xfId="2" applyNumberFormat="1" applyFont="1" applyFill="1" applyBorder="1" applyAlignment="1">
      <x:alignment wrapText="1"/>
    </x:xf>
    <x:xf numFmtId="217" fontId="59" fillId="7" borderId="426" xfId="2" applyNumberFormat="1" applyFont="1" applyFill="1" applyBorder="1" applyAlignment="1">
      <x:alignment wrapText="1"/>
    </x:xf>
    <x:xf numFmtId="216" fontId="55" fillId="7" borderId="426" xfId="2" applyNumberFormat="1" applyFont="1" applyFill="1" applyBorder="1" applyAlignment="1">
      <x:alignment wrapText="1"/>
    </x:xf>
    <x:xf numFmtId="220" fontId="59" fillId="7" borderId="426" xfId="2" applyNumberFormat="1" applyFont="1" applyFill="1" applyBorder="1" applyAlignment="1">
      <x:alignment wrapText="1"/>
    </x:xf>
    <x:xf numFmtId="216" fontId="55" fillId="7" borderId="426" xfId="2" applyNumberFormat="1" applyFont="1" applyFill="1" applyBorder="1" applyAlignment="1">
      <x:alignment vertical="top" wrapText="1"/>
    </x:xf>
    <x:xf numFmtId="220" fontId="59" fillId="7" borderId="426" xfId="2" applyNumberFormat="1" applyFont="1" applyFill="1" applyBorder="1" applyAlignment="1">
      <x:alignment vertical="top" wrapText="1"/>
    </x:xf>
    <x:xf numFmtId="216" fontId="55" fillId="7" borderId="440" xfId="2" applyNumberFormat="1" applyFont="1" applyFill="1" applyBorder="1" applyAlignment="1">
      <x:alignment vertical="top" wrapText="1"/>
    </x:xf>
    <x:xf numFmtId="220" fontId="59" fillId="7" borderId="440" xfId="2" applyNumberFormat="1" applyFont="1" applyFill="1" applyBorder="1" applyAlignment="1">
      <x:alignment vertical="top" wrapText="1"/>
    </x:xf>
    <x:xf numFmtId="216" fontId="55" fillId="7" borderId="441" xfId="2" applyNumberFormat="1" applyFont="1" applyFill="1" applyBorder="1" applyAlignment="1">
      <x:alignment vertical="top" wrapText="1"/>
    </x:xf>
    <x:xf numFmtId="217" fontId="58" fillId="7" borderId="440" xfId="2" applyNumberFormat="1" applyFont="1" applyFill="1" applyBorder="1" applyAlignment="1">
      <x:alignment vertical="top" wrapText="1"/>
    </x:xf>
    <x:xf numFmtId="217" fontId="58" fillId="7" borderId="443" xfId="2" applyNumberFormat="1" applyFont="1" applyFill="1" applyBorder="1" applyAlignment="1">
      <x:alignment vertical="top" wrapText="1"/>
    </x:xf>
    <x:xf numFmtId="0" fontId="66" fillId="7" borderId="431" xfId="2" applyNumberFormat="1" applyFont="1" applyFill="1" applyBorder="1" applyAlignment="1">
      <x:alignment vertical="top" wrapText="1"/>
    </x:xf>
    <x:xf numFmtId="0" fontId="66" fillId="7" borderId="438" xfId="2" applyNumberFormat="1" applyFont="1" applyFill="1" applyBorder="1" applyAlignment="1">
      <x:alignment vertical="top" wrapText="1"/>
    </x:xf>
    <x:xf numFmtId="0" fontId="66" fillId="7" borderId="433" xfId="2" applyNumberFormat="1" applyFont="1" applyFill="1" applyBorder="1" applyAlignment="1">
      <x:alignment vertical="top" wrapText="1"/>
    </x:xf>
    <x:xf numFmtId="220" fontId="53" fillId="7" borderId="426" xfId="2" applyNumberFormat="1" applyFont="1" applyFill="1" applyBorder="1"/>
    <x:xf numFmtId="220" fontId="54" fillId="7" borderId="426" xfId="2" applyNumberFormat="1" applyFont="1" applyFill="1" applyBorder="1"/>
    <x:xf numFmtId="220" fontId="55" fillId="7" borderId="426" xfId="2" applyNumberFormat="1" applyFont="1" applyFill="1" applyBorder="1"/>
    <x:xf numFmtId="220" fontId="55" fillId="7" borderId="426" xfId="2" applyNumberFormat="1" applyFont="1" applyFill="1" applyBorder="1" applyAlignment="1">
      <x:alignment wrapText="1"/>
    </x:xf>
    <x:xf numFmtId="220" fontId="55" fillId="7" borderId="426" xfId="2" applyNumberFormat="1" applyFont="1" applyFill="1" applyBorder="1" applyAlignment="1">
      <x:alignment vertical="top" wrapText="1"/>
    </x:xf>
    <x:xf numFmtId="220" fontId="55" fillId="7" borderId="440" xfId="2" applyNumberFormat="1" applyFont="1" applyFill="1" applyBorder="1" applyAlignment="1">
      <x:alignment vertical="top" wrapText="1"/>
    </x:xf>
    <x:xf numFmtId="0" fontId="47" fillId="7" borderId="428" xfId="2" applyNumberFormat="1" applyFont="1" applyFill="1" applyBorder="1" applyAlignment="1">
      <x:alignment wrapText="1"/>
    </x:xf>
    <x:xf numFmtId="0" fontId="47" fillId="7" borderId="442" xfId="2" applyNumberFormat="1" applyFont="1" applyFill="1" applyBorder="1" applyAlignment="1">
      <x:alignment wrapText="1"/>
    </x:xf>
    <x:xf numFmtId="0" fontId="47" fillId="7" borderId="429" xfId="2" applyNumberFormat="1" applyFont="1" applyFill="1" applyBorder="1" applyAlignment="1">
      <x:alignment wrapText="1"/>
    </x:xf>
    <x:xf numFmtId="0" fontId="55" fillId="7" borderId="426" xfId="2" applyNumberFormat="1" applyFont="1" applyFill="1" applyBorder="1" applyAlignment="1">
      <x:alignment vertical="top" wrapText="1"/>
    </x:xf>
    <x:xf numFmtId="217" fontId="55" fillId="7" borderId="431" xfId="2" applyNumberFormat="1" applyFont="1" applyFill="1" applyBorder="1" applyAlignment="1">
      <x:alignment vertical="top" wrapText="1"/>
    </x:xf>
    <x:xf numFmtId="217" fontId="55" fillId="7" borderId="433" xfId="2" applyNumberFormat="1" applyFont="1" applyFill="1" applyBorder="1" applyAlignment="1">
      <x:alignment vertical="top" wrapText="1"/>
    </x:xf>
    <x:xf numFmtId="217" fontId="55" fillId="7" borderId="441" xfId="2" applyNumberFormat="1" applyFont="1" applyFill="1" applyBorder="1" applyAlignment="1">
      <x:alignment vertical="top" wrapText="1"/>
    </x:xf>
    <x:xf numFmtId="0" fontId="47" fillId="7" borderId="449" xfId="2" applyNumberFormat="1" applyFont="1" applyFill="1" applyBorder="1" applyAlignment="1">
      <x:alignment vertical="top" wrapText="1"/>
    </x:xf>
    <x:xf numFmtId="0" fontId="47" fillId="7" borderId="450" xfId="2" applyNumberFormat="1" applyFont="1" applyFill="1" applyBorder="1" applyAlignment="1">
      <x:alignment vertical="top" wrapText="1"/>
    </x:xf>
    <x:xf numFmtId="0" fontId="49" fillId="7" borderId="451" xfId="2" applyNumberFormat="1" applyFont="1" applyFill="1" applyBorder="1" applyAlignment="1">
      <x:alignment vertical="top" wrapText="0"/>
    </x:xf>
    <x:xf numFmtId="0" fontId="47" fillId="7" borderId="452" xfId="2" applyNumberFormat="1" applyFont="1" applyFill="1" applyBorder="1" applyAlignment="1">
      <x:alignment vertical="top" wrapText="0"/>
    </x:xf>
    <x:xf numFmtId="0" fontId="48" fillId="9" borderId="453" xfId="2" applyNumberFormat="1" applyFont="1" applyFill="1" applyBorder="1" applyAlignment="1">
      <x:alignment horizontal="center" vertical="top" wrapText="1"/>
    </x:xf>
    <x:xf numFmtId="0" fontId="48" fillId="9" borderId="454" xfId="2" applyNumberFormat="1" applyFont="1" applyFill="1" applyBorder="1" applyAlignment="1">
      <x:alignment horizontal="center" vertical="top" wrapText="1"/>
    </x:xf>
    <x:xf numFmtId="0" fontId="48" fillId="7" borderId="455" xfId="2" applyNumberFormat="1" applyFont="1" applyFill="1" applyBorder="1" applyAlignment="1">
      <x:alignment vertical="top" wrapText="1"/>
    </x:xf>
    <x:xf numFmtId="0" fontId="47" fillId="7" borderId="456" xfId="2" applyNumberFormat="1" applyFont="1" applyFill="1" applyBorder="1" applyAlignment="1">
      <x:alignment vertical="top" wrapText="1"/>
    </x:xf>
    <x:xf numFmtId="0" fontId="48" fillId="7" borderId="457" xfId="2" applyNumberFormat="1" applyFont="1" applyFill="1" applyBorder="1" applyAlignment="1">
      <x:alignment vertical="top" wrapText="1"/>
    </x:xf>
    <x:xf numFmtId="0" fontId="47" fillId="7" borderId="458" xfId="2" applyNumberFormat="1" applyFont="1" applyFill="1" applyBorder="1" applyAlignment="1">
      <x:alignment vertical="top" wrapText="1"/>
    </x:xf>
    <x:xf numFmtId="0" fontId="50" fillId="7" borderId="459" xfId="2" applyNumberFormat="1" applyFont="1" applyFill="1" applyBorder="1" applyAlignment="1">
      <x:alignment vertical="top" wrapText="1"/>
    </x:xf>
    <x:xf numFmtId="216" fontId="51" fillId="7" borderId="460" xfId="2" applyNumberFormat="1" applyFont="1" applyFill="1" applyBorder="1" applyAlignment="1">
      <x:alignment vertical="top" wrapText="1"/>
    </x:xf>
    <x:xf numFmtId="0" fontId="47" fillId="7" borderId="461" xfId="2" applyNumberFormat="1" applyFont="1" applyFill="1" applyBorder="1" applyAlignment="1">
      <x:alignment vertical="top" wrapText="1"/>
    </x:xf>
    <x:xf numFmtId="0" fontId="47" fillId="7" borderId="462" xfId="2" applyNumberFormat="1" applyFont="1" applyFill="1" applyBorder="1" applyAlignment="1">
      <x:alignment vertical="top" wrapText="1"/>
    </x:xf>
    <x:xf numFmtId="0" fontId="48" fillId="7" borderId="463" xfId="2" applyNumberFormat="1" applyFont="1" applyFill="1" applyBorder="1" applyAlignment="1">
      <x:alignment vertical="top" wrapText="1"/>
    </x:xf>
    <x:xf numFmtId="0" fontId="47" fillId="7" borderId="464" xfId="2" applyNumberFormat="1" applyFont="1" applyFill="1" applyBorder="1" applyAlignment="1">
      <x:alignment vertical="top" wrapText="1"/>
    </x:xf>
    <x:xf numFmtId="0" fontId="47" fillId="7" borderId="465" xfId="2" applyNumberFormat="1" applyFont="1" applyFill="1" applyBorder="1" applyAlignment="1">
      <x:alignment vertical="top" wrapText="1"/>
    </x:xf>
    <x:xf numFmtId="0" fontId="47" fillId="7" borderId="466" xfId="2" applyNumberFormat="1" applyFont="1" applyFill="1" applyBorder="1" applyAlignment="1">
      <x:alignment vertical="top" wrapText="1"/>
    </x:xf>
    <x:xf numFmtId="0" fontId="47" fillId="7" borderId="467" xfId="2" applyNumberFormat="1" applyFont="1" applyFill="1" applyBorder="1" applyAlignment="1">
      <x:alignment vertical="top" wrapText="1"/>
    </x:xf>
    <x:xf numFmtId="0" fontId="47" fillId="7" borderId="468" xfId="2" applyNumberFormat="1" applyFont="1" applyFill="1" applyBorder="1" applyAlignment="1">
      <x:alignment vertical="top" wrapText="1"/>
    </x:xf>
    <x:xf numFmtId="0" fontId="48" fillId="9" borderId="469" xfId="2" applyNumberFormat="1" applyFont="1" applyFill="1" applyBorder="1" applyAlignment="1">
      <x:alignment horizontal="center" vertical="top" wrapText="1"/>
    </x:xf>
    <x:xf numFmtId="217" fontId="55" fillId="7" borderId="470" xfId="2" applyNumberFormat="1" applyFont="1" applyFill="1" applyBorder="1" applyAlignment="1">
      <x:alignment vertical="top" wrapText="1"/>
    </x:xf>
    <x:xf numFmtId="219" fontId="47" fillId="7" borderId="471" xfId="2" applyNumberFormat="1" applyFont="1" applyFill="1" applyBorder="1" applyAlignment="1">
      <x:alignment vertical="top" wrapText="1"/>
    </x:xf>
    <x:xf numFmtId="0" fontId="47" fillId="7" borderId="472" xfId="2" applyNumberFormat="1" applyFont="1" applyFill="1" applyBorder="1" applyAlignment="1">
      <x:alignment vertical="top" wrapText="1"/>
    </x:xf>
    <x:xf numFmtId="0" fontId="48" fillId="7" borderId="473" xfId="2" applyNumberFormat="1" applyFont="1" applyFill="1" applyBorder="1" applyAlignment="1">
      <x:alignment vertical="top" wrapText="1"/>
    </x:xf>
    <x:xf numFmtId="217" fontId="61" fillId="7" borderId="474" xfId="2" applyNumberFormat="1" applyFont="1" applyFill="1" applyBorder="1" applyAlignment="1">
      <x:alignment vertical="top" wrapText="1"/>
    </x:xf>
    <x:xf numFmtId="219" fontId="48" fillId="7" borderId="475" xfId="2" applyNumberFormat="1" applyFont="1" applyFill="1" applyBorder="1" applyAlignment="1">
      <x:alignment vertical="top" wrapText="1"/>
    </x:xf>
    <x:xf numFmtId="0" fontId="48" fillId="7" borderId="476" xfId="2" applyNumberFormat="1" applyFont="1" applyFill="1" applyBorder="1" applyAlignment="1">
      <x:alignment vertical="top" wrapText="1"/>
    </x:xf>
    <x:xf numFmtId="0" fontId="48" fillId="7" borderId="477" xfId="2" applyNumberFormat="1" applyFont="1" applyFill="1" applyBorder="1" applyAlignment="1">
      <x:alignment vertical="top" wrapText="1"/>
    </x:xf>
    <x:xf numFmtId="217" fontId="47" fillId="7" borderId="478" xfId="2" applyNumberFormat="1" applyFont="1" applyFill="1" applyBorder="1" applyAlignment="1">
      <x:alignment vertical="top" wrapText="1"/>
    </x:xf>
    <x:xf numFmtId="219" fontId="47" fillId="7" borderId="479" xfId="2" applyNumberFormat="1" applyFont="1" applyFill="1" applyBorder="1" applyAlignment="1">
      <x:alignment vertical="top" wrapText="1"/>
    </x:xf>
    <x:xf numFmtId="217" fontId="48" fillId="9" borderId="480" xfId="2" applyNumberFormat="1" applyFont="1" applyFill="1" applyBorder="1" applyAlignment="1">
      <x:alignment horizontal="center" vertical="top" wrapText="1"/>
    </x:xf>
    <x:xf numFmtId="219" fontId="48" fillId="9" borderId="481" xfId="2" applyNumberFormat="1" applyFont="1" applyFill="1" applyBorder="1" applyAlignment="1">
      <x:alignment horizontal="center" vertical="top" wrapText="1"/>
    </x:xf>
    <x:xf numFmtId="0" fontId="48" fillId="7" borderId="482" xfId="2" applyNumberFormat="1" applyFont="1" applyFill="1" applyBorder="1" applyAlignment="1">
      <x:alignment vertical="top" wrapText="1"/>
    </x:xf>
    <x:xf numFmtId="217" fontId="61" fillId="7" borderId="483" xfId="2" applyNumberFormat="1" applyFont="1" applyFill="1" applyBorder="1" applyAlignment="1">
      <x:alignment vertical="top" wrapText="1"/>
    </x:xf>
    <x:xf numFmtId="219" fontId="48" fillId="7" borderId="484" xfId="2" applyNumberFormat="1" applyFont="1" applyFill="1" applyBorder="1" applyAlignment="1">
      <x:alignment vertical="top" wrapText="1"/>
    </x:xf>
    <x:xf numFmtId="0" fontId="48" fillId="7" borderId="485" xfId="2" applyNumberFormat="1" applyFont="1" applyFill="1" applyBorder="1" applyAlignment="1">
      <x:alignment vertical="top" wrapText="1"/>
    </x:xf>
    <x:xf numFmtId="0" fontId="48" fillId="7" borderId="486" xfId="2" applyNumberFormat="1" applyFont="1" applyFill="1" applyBorder="1" applyAlignment="1">
      <x:alignment vertical="top" wrapText="1"/>
    </x:xf>
    <x:xf numFmtId="0" fontId="47" fillId="7" borderId="487" xfId="2" applyNumberFormat="1" applyFont="1" applyFill="1" applyBorder="1" applyAlignment="1">
      <x:alignment vertical="top" wrapText="1"/>
    </x:xf>
    <x:xf numFmtId="217" fontId="55" fillId="7" borderId="488" xfId="2" applyNumberFormat="1" applyFont="1" applyFill="1" applyBorder="1" applyAlignment="1">
      <x:alignment vertical="top" wrapText="1"/>
    </x:xf>
    <x:xf numFmtId="219" fontId="47" fillId="7" borderId="489" xfId="2" applyNumberFormat="1" applyFont="1" applyFill="1" applyBorder="1" applyAlignment="1">
      <x:alignment vertical="top" wrapText="1"/>
    </x:xf>
    <x:xf numFmtId="0" fontId="47" fillId="7" borderId="490" xfId="2" applyNumberFormat="1" applyFont="1" applyFill="1" applyBorder="1" applyAlignment="1">
      <x:alignment vertical="top" wrapText="1"/>
    </x:xf>
    <x:xf numFmtId="0" fontId="47" fillId="7" borderId="491" xfId="2" applyNumberFormat="1" applyFont="1" applyFill="1" applyBorder="1" applyAlignment="1">
      <x:alignment vertical="top" wrapText="1"/>
    </x:xf>
    <x:xf numFmtId="0" fontId="63" fillId="7" borderId="492" xfId="2" applyNumberFormat="1" applyFont="1" applyFill="1" applyBorder="1" applyAlignment="1">
      <x:alignment wrapText="0"/>
    </x:xf>
    <x:xf numFmtId="0" fontId="45" fillId="7" borderId="493" xfId="2" applyNumberFormat="1" applyFont="1" applyFill="1" applyBorder="1" applyAlignment="1">
      <x:alignment wrapText="0"/>
    </x:xf>
    <x:xf numFmtId="0" fontId="66" fillId="7" borderId="494" xfId="2" applyNumberFormat="1" applyFont="1" applyFill="1" applyBorder="1" applyAlignment="1">
      <x:alignment vertical="top" wrapText="1"/>
    </x:xf>
    <x:xf numFmtId="217" fontId="58" fillId="7" borderId="495" xfId="2" applyNumberFormat="1" applyFont="1" applyFill="1" applyBorder="1" applyAlignment="1">
      <x:alignment vertical="top" wrapText="1"/>
    </x:xf>
    <x:xf numFmtId="0" fontId="66" fillId="7" borderId="496" xfId="2" applyNumberFormat="1" applyFont="1" applyFill="1" applyBorder="1" applyAlignment="1">
      <x:alignment vertical="top" wrapText="1"/>
    </x:xf>
    <x:xf numFmtId="216" fontId="55" fillId="7" borderId="497" xfId="2" applyNumberFormat="1" applyFont="1" applyFill="1" applyBorder="1" applyAlignment="1">
      <x:alignment vertical="top" wrapText="1"/>
    </x:xf>
    <x:xf numFmtId="220" fontId="59" fillId="7" borderId="498" xfId="2" applyNumberFormat="1" applyFont="1" applyFill="1" applyBorder="1" applyAlignment="1">
      <x:alignment vertical="top" wrapText="1"/>
    </x:xf>
    <x:xf numFmtId="216" fontId="55" fillId="7" borderId="499" xfId="2" applyNumberFormat="1" applyFont="1" applyFill="1" applyBorder="1" applyAlignment="1">
      <x:alignment vertical="top" wrapText="1"/>
    </x:xf>
    <x:xf numFmtId="219" fontId="47" fillId="7" borderId="500" xfId="2" applyNumberFormat="1" applyFont="1" applyFill="1" applyBorder="1" applyAlignment="1">
      <x:alignment vertical="top" wrapText="1"/>
    </x:xf>
    <x:xf numFmtId="0" fontId="66" fillId="7" borderId="501" xfId="2" applyNumberFormat="1" applyFont="1" applyFill="1" applyBorder="1" applyAlignment="1">
      <x:alignment vertical="top" wrapText="1"/>
    </x:xf>
    <x:xf numFmtId="0" fontId="48" fillId="9" borderId="502" xfId="2" applyNumberFormat="1" applyFont="1" applyFill="1" applyBorder="1" applyAlignment="1">
      <x:alignment horizontal="center" vertical="top" wrapText="1"/>
    </x:xf>
    <x:xf numFmtId="0" fontId="47" fillId="7" borderId="503" xfId="2" applyNumberFormat="1" applyFont="1" applyFill="1" applyBorder="1" applyAlignment="1">
      <x:alignment vertical="top" wrapText="1"/>
    </x:xf>
    <x:xf numFmtId="0" fontId="47" fillId="7" borderId="504" xfId="2" applyNumberFormat="1" applyFont="1" applyFill="1" applyBorder="1" applyAlignment="1">
      <x:alignment vertical="top" wrapText="1"/>
    </x:xf>
    <x:xf numFmtId="217" fontId="59" fillId="7" borderId="505" xfId="2" applyNumberFormat="1" applyFont="1" applyFill="1" applyBorder="1" applyAlignment="1">
      <x:alignment vertical="top" wrapText="1"/>
    </x:xf>
    <x:xf numFmtId="220" fontId="55" fillId="7" borderId="506" xfId="2" applyNumberFormat="1" applyFont="1" applyFill="1" applyBorder="1" applyAlignment="1">
      <x:alignment vertical="top" wrapText="1"/>
    </x:xf>
    <x:xf numFmtId="0" fontId="47" fillId="7" borderId="507" xfId="2" applyNumberFormat="1" applyFont="1" applyFill="1" applyBorder="1"/>
    <x:xf numFmtId="0" fontId="48" fillId="9" borderId="508" xfId="2" applyNumberFormat="1" applyFont="1" applyFill="1" applyBorder="1" applyAlignment="1">
      <x:alignment horizontal="center" vertical="top" wrapText="1"/>
    </x:xf>
    <x:xf numFmtId="217" fontId="55" fillId="7" borderId="509" xfId="2" applyNumberFormat="1" applyFont="1" applyFill="1" applyBorder="1" applyAlignment="1">
      <x:alignment vertical="top" wrapText="1"/>
    </x:xf>
    <x:xf numFmtId="217" fontId="55" fillId="7" borderId="510" xfId="2" applyNumberFormat="1" applyFont="1" applyFill="1" applyBorder="1" applyAlignment="1">
      <x:alignment vertical="top" wrapText="1"/>
    </x:xf>
    <x:xf numFmtId="217" fontId="55" fillId="7" borderId="511" xfId="2" applyNumberFormat="1" applyFont="1" applyFill="1" applyBorder="1" applyAlignment="1">
      <x:alignment vertical="top" wrapText="1"/>
    </x:xf>
    <x:xf numFmtId="0" fontId="49" fillId="7" borderId="512" xfId="2" applyNumberFormat="1" applyFont="1" applyFill="1" applyBorder="1" applyAlignment="1">
      <x:alignment vertical="center" wrapText="0"/>
    </x:xf>
    <x:xf numFmtId="0" fontId="47" fillId="7" borderId="513" xfId="2" applyNumberFormat="1" applyFont="1" applyFill="1" applyBorder="1" applyAlignment="1">
      <x:alignment vertical="center" wrapText="0"/>
    </x:xf>
    <x:xf numFmtId="0" fontId="47" fillId="7" borderId="514" xfId="2" applyNumberFormat="1" applyFont="1" applyFill="1" applyBorder="1" applyAlignment="1">
      <x:alignment vertical="center" wrapText="0"/>
    </x:xf>
    <x:xf numFmtId="0" fontId="47" fillId="7" borderId="515" xfId="2" applyNumberFormat="1" applyFont="1" applyFill="1" applyBorder="1" applyAlignment="1">
      <x:alignment vertical="center" wrapText="0"/>
    </x:xf>
    <x:xf numFmtId="0" fontId="47" fillId="7" borderId="516" xfId="2" applyNumberFormat="1" applyFont="1" applyFill="1" applyBorder="1" applyAlignment="1">
      <x:alignment vertical="center" wrapText="0"/>
    </x:xf>
    <x:xf numFmtId="0" fontId="48" fillId="9" borderId="517" xfId="2" applyNumberFormat="1" applyFont="1" applyFill="1" applyBorder="1" applyAlignment="1">
      <x:alignment horizontal="center" vertical="center" wrapText="1"/>
    </x:xf>
    <x:xf numFmtId="0" fontId="48" fillId="9" borderId="518" xfId="2" applyNumberFormat="1" applyFont="1" applyFill="1" applyBorder="1" applyAlignment="1">
      <x:alignment horizontal="center" vertical="center" wrapText="1"/>
    </x:xf>
    <x:xf numFmtId="0" fontId="48" fillId="9" borderId="519" xfId="2" applyNumberFormat="1" applyFont="1" applyFill="1" applyBorder="1" applyAlignment="1">
      <x:alignment horizontal="center" vertical="center" wrapText="1"/>
    </x:xf>
    <x:xf numFmtId="0" fontId="47" fillId="7" borderId="520" xfId="2" applyNumberFormat="1" applyFont="1" applyFill="1" applyBorder="1" applyAlignment="1">
      <x:alignment vertical="center" wrapText="1"/>
    </x:xf>
    <x:xf numFmtId="0" fontId="47" fillId="7" borderId="521" xfId="2" applyNumberFormat="1" applyFont="1" applyFill="1" applyBorder="1" applyAlignment="1">
      <x:alignment vertical="center" wrapText="1"/>
    </x:xf>
    <x:xf numFmtId="0" fontId="47" fillId="7" borderId="522" xfId="2" applyNumberFormat="1" applyFont="1" applyFill="1" applyBorder="1" applyAlignment="1">
      <x:alignment vertical="center" wrapText="1"/>
    </x:xf>
    <x:xf numFmtId="217" fontId="55" fillId="7" borderId="523" xfId="2" applyNumberFormat="1" applyFont="1" applyFill="1" applyBorder="1" applyAlignment="1">
      <x:alignment vertical="center" wrapText="1"/>
    </x:xf>
    <x:xf numFmtId="0" fontId="47" fillId="7" borderId="524" xfId="2" applyNumberFormat="1" applyFont="1" applyFill="1" applyBorder="1" applyAlignment="1">
      <x:alignment vertical="center" wrapText="1"/>
    </x:xf>
    <x:xf numFmtId="0" fontId="47" fillId="7" borderId="525" xfId="2" applyNumberFormat="1" applyFont="1" applyFill="1" applyBorder="1" applyAlignment="1">
      <x:alignment vertical="center" wrapText="1"/>
    </x:xf>
    <x:xf numFmtId="0" fontId="47" fillId="7" borderId="526" xfId="2" applyNumberFormat="1" applyFont="1" applyFill="1" applyBorder="1" applyAlignment="1">
      <x:alignment vertical="center" wrapText="1"/>
    </x:xf>
    <x:xf numFmtId="217" fontId="55" fillId="7" borderId="527" xfId="2" applyNumberFormat="1" applyFont="1" applyFill="1" applyBorder="1" applyAlignment="1">
      <x:alignment vertical="center" wrapText="1"/>
    </x:xf>
    <x:xf numFmtId="0" fontId="47" fillId="7" borderId="528" xfId="2" applyNumberFormat="1" applyFont="1" applyFill="1" applyBorder="1" applyAlignment="1">
      <x:alignment vertical="center" wrapText="1"/>
    </x:xf>
    <x:xf numFmtId="0" fontId="47" fillId="7" borderId="529" xfId="2" applyNumberFormat="1" applyFont="1" applyFill="1" applyBorder="1" applyAlignment="1">
      <x:alignment vertical="center" wrapText="1"/>
    </x:xf>
    <x:xf numFmtId="0" fontId="47" fillId="7" borderId="530" xfId="2" applyNumberFormat="1" applyFont="1" applyFill="1" applyBorder="1" applyAlignment="1">
      <x:alignment vertical="center" wrapText="1"/>
    </x:xf>
    <x:xf numFmtId="0" fontId="47" fillId="7" borderId="531" xfId="2" applyNumberFormat="1" applyFont="1" applyFill="1" applyBorder="1" applyAlignment="1">
      <x:alignment vertical="center" wrapText="1"/>
    </x:xf>
    <x:xf numFmtId="0" fontId="47" fillId="7" borderId="532" xfId="2" applyNumberFormat="1" applyFont="1" applyFill="1" applyBorder="1" applyAlignment="1">
      <x:alignment vertical="center" wrapText="1"/>
    </x:xf>
    <x:xf numFmtId="0" fontId="48" fillId="9" borderId="533" xfId="2" applyNumberFormat="1" applyFont="1" applyFill="1" applyBorder="1" applyAlignment="1">
      <x:alignment horizontal="center" vertical="center" wrapText="1"/>
    </x:xf>
    <x:xf numFmtId="217" fontId="47" fillId="7" borderId="534" xfId="2" applyNumberFormat="1" applyFont="1" applyFill="1" applyBorder="1" applyAlignment="1">
      <x:alignment vertical="center" wrapText="1"/>
    </x:xf>
    <x:xf numFmtId="0" fontId="47" fillId="7" borderId="535" xfId="2" applyNumberFormat="1" applyFont="1" applyFill="1" applyBorder="1" applyAlignment="1">
      <x:alignment vertical="center" wrapText="1"/>
    </x:xf>
    <x:xf numFmtId="217" fontId="47" fillId="7" borderId="536" xfId="2" applyNumberFormat="1" applyFont="1" applyFill="1" applyBorder="1" applyAlignment="1">
      <x:alignment vertical="center" wrapText="1"/>
    </x:xf>
    <x:xf numFmtId="0" fontId="47" fillId="7" borderId="537" xfId="2" applyNumberFormat="1" applyFont="1" applyFill="1" applyBorder="1" applyAlignment="1">
      <x:alignment vertical="center" wrapText="1"/>
    </x:xf>
    <x:xf numFmtId="219" fontId="47" fillId="7" borderId="538" xfId="2" applyNumberFormat="1" applyFont="1" applyFill="1" applyBorder="1" applyAlignment="1">
      <x:alignment vertical="center" wrapText="1"/>
    </x:xf>
    <x:xf numFmtId="219" fontId="47" fillId="7" borderId="539" xfId="2" applyNumberFormat="1" applyFont="1" applyFill="1" applyBorder="1" applyAlignment="1">
      <x:alignment vertical="center" wrapText="1"/>
    </x:xf>
    <x:xf numFmtId="219" fontId="47" fillId="7" borderId="540" xfId="2" applyNumberFormat="1" applyFont="1" applyFill="1" applyBorder="1" applyAlignment="1">
      <x:alignment vertical="center" wrapText="1"/>
    </x:xf>
    <x:xf numFmtId="217" fontId="55" fillId="7" borderId="541" xfId="2" applyNumberFormat="1" applyFont="1" applyFill="1" applyBorder="1" applyAlignment="1">
      <x:alignment vertical="center" wrapText="1"/>
    </x:xf>
    <x:xf numFmtId="219" fontId="47" fillId="7" borderId="542" xfId="2" applyNumberFormat="1" applyFont="1" applyFill="1" applyBorder="1" applyAlignment="1">
      <x:alignment vertical="center" wrapText="1"/>
    </x:xf>
    <x:xf numFmtId="217" fontId="59" fillId="7" borderId="543" xfId="2" applyNumberFormat="1" applyFont="1" applyFill="1" applyBorder="1" applyAlignment="1">
      <x:alignment vertical="center" wrapText="1"/>
    </x:xf>
    <x:xf numFmtId="219" fontId="47" fillId="7" borderId="544" xfId="2" applyNumberFormat="1" applyFont="1" applyFill="1" applyBorder="1" applyAlignment="1">
      <x:alignment vertical="center" wrapText="1"/>
    </x:xf>
    <x:xf numFmtId="0" fontId="50" fillId="7" borderId="545" xfId="2" applyNumberFormat="1" applyFont="1" applyFill="1" applyBorder="1" applyAlignment="1">
      <x:alignment vertical="center" wrapText="0"/>
    </x:xf>
    <x:xf numFmtId="0" fontId="48" fillId="9" borderId="546" xfId="2" applyNumberFormat="1" applyFont="1" applyFill="1" applyBorder="1" applyAlignment="1">
      <x:alignment horizontal="center" vertical="center" wrapText="0"/>
    </x:xf>
    <x:xf numFmtId="0" fontId="48" fillId="9" borderId="547" xfId="2" applyNumberFormat="1" applyFont="1" applyFill="1" applyBorder="1" applyAlignment="1">
      <x:alignment horizontal="center" vertical="center" wrapText="0"/>
    </x:xf>
    <x:xf numFmtId="0" fontId="47" fillId="7" borderId="548" xfId="2" applyNumberFormat="1" applyFont="1" applyFill="1" applyBorder="1" applyAlignment="1">
      <x:alignment vertical="center" wrapText="0"/>
    </x:xf>
    <x:xf numFmtId="217" fontId="55" fillId="7" borderId="549" xfId="2" applyNumberFormat="1" applyFont="1" applyFill="1" applyBorder="1" applyAlignment="1">
      <x:alignment vertical="center" wrapText="0"/>
    </x:xf>
    <x:xf numFmtId="0" fontId="48" fillId="7" borderId="550" xfId="2" applyNumberFormat="1" applyFont="1" applyFill="1" applyBorder="1" applyAlignment="1">
      <x:alignment vertical="center" wrapText="1"/>
    </x:xf>
    <x:xf numFmtId="217" fontId="61" fillId="7" borderId="551" xfId="2" applyNumberFormat="1" applyFont="1" applyFill="1" applyBorder="1" applyAlignment="1">
      <x:alignment vertical="center" wrapText="0"/>
    </x:xf>
    <x:xf numFmtId="217" fontId="48" fillId="7" borderId="552" xfId="2" applyNumberFormat="1" applyFont="1" applyFill="1" applyBorder="1" applyAlignment="1">
      <x:alignment vertical="center" wrapText="0"/>
    </x:xf>
    <x:xf numFmtId="0" fontId="48" fillId="7" borderId="553" xfId="2" applyNumberFormat="1" applyFont="1" applyFill="1" applyBorder="1" applyAlignment="1">
      <x:alignment vertical="center" wrapText="1"/>
    </x:xf>
    <x:xf numFmtId="217" fontId="48" fillId="7" borderId="554" xfId="2" applyNumberFormat="1" applyFont="1" applyFill="1" applyBorder="1" applyAlignment="1">
      <x:alignment vertical="center" wrapText="0"/>
    </x:xf>
    <x:xf numFmtId="0" fontId="47" fillId="7" borderId="555" xfId="2" applyNumberFormat="1" applyFont="1" applyFill="1" applyBorder="1" applyAlignment="1">
      <x:alignment vertical="center" wrapText="1"/>
    </x:xf>
    <x:xf numFmtId="217" fontId="55" fillId="7" borderId="556" xfId="2" applyNumberFormat="1" applyFont="1" applyFill="1" applyBorder="1" applyAlignment="1">
      <x:alignment vertical="center" wrapText="0"/>
    </x:xf>
    <x:xf numFmtId="222" fontId="47" fillId="7" borderId="557" xfId="2" applyNumberFormat="1" applyFont="1" applyFill="1" applyBorder="1" applyAlignment="1">
      <x:alignment vertical="center" wrapText="0"/>
    </x:xf>
    <x:xf numFmtId="217" fontId="58" fillId="7" borderId="558" xfId="2" applyNumberFormat="1" applyFont="1" applyFill="1" applyBorder="1" applyAlignment="1">
      <x:alignment vertical="center" wrapText="0"/>
    </x:xf>
    <x:xf numFmtId="217" fontId="47" fillId="7" borderId="559" xfId="2" applyNumberFormat="1" applyFont="1" applyFill="1" applyBorder="1" applyAlignment="1">
      <x:alignment vertical="center" wrapText="0"/>
    </x:xf>
    <x:xf numFmtId="222" fontId="47" fillId="7" borderId="560" xfId="2" applyNumberFormat="1" applyFont="1" applyFill="1" applyBorder="1" applyAlignment="1">
      <x:alignment vertical="center" wrapText="0"/>
    </x:xf>
    <x:xf numFmtId="217" fontId="47" fillId="7" borderId="561" xfId="2" applyNumberFormat="1" applyFont="1" applyFill="1" applyBorder="1" applyAlignment="1">
      <x:alignment vertical="center" wrapText="0"/>
    </x:xf>
    <x:xf numFmtId="220" fontId="47" fillId="7" borderId="562" xfId="2" applyNumberFormat="1" applyFont="1" applyFill="1" applyBorder="1" applyAlignment="1">
      <x:alignment vertical="center" wrapText="0"/>
    </x:xf>
    <x:xf numFmtId="0" fontId="48" fillId="9" borderId="563" xfId="2" applyNumberFormat="1" applyFont="1" applyFill="1" applyBorder="1" applyAlignment="1">
      <x:alignment horizontal="center" vertical="center" wrapText="1"/>
    </x:xf>
    <x:xf numFmtId="0" fontId="47" fillId="7" borderId="564" xfId="2" applyNumberFormat="1" applyFont="1" applyFill="1" applyBorder="1" applyAlignment="1">
      <x:alignment vertical="center" wrapText="1"/>
    </x:xf>
    <x:xf numFmtId="217" fontId="47" fillId="7" borderId="565" xfId="2" applyNumberFormat="1" applyFont="1" applyFill="1" applyBorder="1" applyAlignment="1">
      <x:alignment vertical="center" wrapText="1"/>
    </x:xf>
    <x:xf numFmtId="0" fontId="47" fillId="7" borderId="566" xfId="2" applyNumberFormat="1" applyFont="1" applyFill="1" applyBorder="1" applyAlignment="1">
      <x:alignment vertical="center" wrapText="1"/>
    </x:xf>
    <x:xf numFmtId="217" fontId="47" fillId="7" borderId="567" xfId="2" applyNumberFormat="1" applyFont="1" applyFill="1" applyBorder="1" applyAlignment="1">
      <x:alignment vertical="center" wrapText="1"/>
    </x:xf>
    <x:xf numFmtId="0" fontId="47" fillId="7" borderId="568" xfId="2" applyNumberFormat="1" applyFont="1" applyFill="1" applyBorder="1" applyAlignment="1">
      <x:alignment vertical="center" wrapText="0"/>
    </x:xf>
    <x:xf numFmtId="217" fontId="55" fillId="7" borderId="569" xfId="2" applyNumberFormat="1" applyFont="1" applyFill="1" applyBorder="1" applyAlignment="1">
      <x:alignment vertical="center" wrapText="0"/>
    </x:xf>
    <x:xf numFmtId="217" fontId="59" fillId="7" borderId="570" xfId="2" applyNumberFormat="1" applyFont="1" applyFill="1" applyBorder="1" applyAlignment="1">
      <x:alignment vertical="center" wrapText="0"/>
    </x:xf>
    <x:xf numFmtId="0" fontId="47" fillId="7" borderId="571" xfId="2" applyNumberFormat="1" applyFont="1" applyFill="1" applyBorder="1" applyAlignment="1">
      <x:alignment vertical="center" wrapText="0"/>
    </x:xf>
    <x:xf numFmtId="217" fontId="55" fillId="7" borderId="572" xfId="2" applyNumberFormat="1" applyFont="1" applyFill="1" applyBorder="1" applyAlignment="1">
      <x:alignment vertical="center" wrapText="0"/>
    </x:xf>
    <x:xf numFmtId="217" fontId="59" fillId="7" borderId="573" xfId="2" applyNumberFormat="1" applyFont="1" applyFill="1" applyBorder="1" applyAlignment="1">
      <x:alignment vertical="center" wrapText="0"/>
    </x:xf>
    <x:xf numFmtId="0" fontId="60" fillId="7" borderId="574" xfId="2" applyNumberFormat="1" applyFont="1" applyFill="1" applyBorder="1" applyAlignment="1">
      <x:alignment vertical="center" wrapText="0"/>
    </x:xf>
    <x:xf numFmtId="216" fontId="60" fillId="7" borderId="575" xfId="2" applyNumberFormat="1" applyFont="1" applyFill="1" applyBorder="1" applyAlignment="1">
      <x:alignment vertical="center" wrapText="0"/>
    </x:xf>
    <x:xf numFmtId="217" fontId="48" fillId="9" borderId="576" xfId="2" applyNumberFormat="1" applyFont="1" applyFill="1" applyBorder="1" applyAlignment="1">
      <x:alignment horizontal="center" vertical="center" wrapText="0"/>
    </x:xf>
    <x:xf numFmtId="0" fontId="48" fillId="9" borderId="577" xfId="2" applyNumberFormat="1" applyFont="1" applyFill="1" applyBorder="1" applyAlignment="1">
      <x:alignment horizontal="center" vertical="center" wrapText="0"/>
    </x:xf>
    <x:xf numFmtId="0" fontId="48" fillId="9" borderId="578" xfId="2" applyNumberFormat="1" applyFont="1" applyFill="1" applyBorder="1" applyAlignment="1">
      <x:alignment horizontal="center" vertical="center" wrapText="0"/>
    </x:xf>
    <x:xf numFmtId="217" fontId="47" fillId="7" borderId="579" xfId="2" applyNumberFormat="1" applyFont="1" applyFill="1" applyBorder="1" applyAlignment="1">
      <x:alignment vertical="center" wrapText="0"/>
    </x:xf>
    <x:xf numFmtId="217" fontId="47" fillId="7" borderId="580" xfId="2" applyNumberFormat="1" applyFont="1" applyFill="1" applyBorder="1" applyAlignment="1">
      <x:alignment vertical="center" wrapText="1"/>
    </x:xf>
    <x:xf numFmtId="219" fontId="47" fillId="7" borderId="581" xfId="2" applyNumberFormat="1" applyFont="1" applyFill="1" applyBorder="1" applyAlignment="1">
      <x:alignment vertical="center" wrapText="0"/>
    </x:xf>
    <x:xf numFmtId="219" fontId="47" fillId="7" borderId="582" xfId="2" applyNumberFormat="1" applyFont="1" applyFill="1" applyBorder="1" applyAlignment="1">
      <x:alignment vertical="center" wrapText="0"/>
    </x:xf>
    <x:xf numFmtId="219" fontId="47" fillId="7" borderId="583" xfId="2" applyNumberFormat="1" applyFont="1" applyFill="1" applyBorder="1" applyAlignment="1">
      <x:alignment vertical="center" wrapText="0"/>
    </x:xf>
    <x:xf numFmtId="0" fontId="47" fillId="7" borderId="584" xfId="2" applyNumberFormat="1" applyFont="1" applyFill="1" applyBorder="1" applyAlignment="1">
      <x:alignment vertical="center" wrapText="0"/>
    </x:xf>
    <x:xf numFmtId="217" fontId="47" fillId="7" borderId="585" xfId="2" applyNumberFormat="1" applyFont="1" applyFill="1" applyBorder="1" applyAlignment="1">
      <x:alignment vertical="center" wrapText="0"/>
    </x:xf>
    <x:xf numFmtId="0" fontId="47" fillId="7" borderId="586" xfId="2" applyNumberFormat="1" applyFont="1" applyFill="1" applyBorder="1" applyAlignment="1">
      <x:alignment vertical="center" wrapText="0"/>
    </x:xf>
    <x:xf numFmtId="0" fontId="47" fillId="7" borderId="587" xfId="2" applyNumberFormat="1" applyFont="1" applyFill="1" applyBorder="1" applyAlignment="1">
      <x:alignment vertical="center" wrapText="0"/>
    </x:xf>
    <x:xf numFmtId="0" fontId="48" fillId="7" borderId="588" xfId="2" applyNumberFormat="1" applyFont="1" applyFill="1" applyBorder="1" applyAlignment="1">
      <x:alignment vertical="center" wrapText="0"/>
    </x:xf>
    <x:xf numFmtId="217" fontId="48" fillId="7" borderId="589" xfId="2" applyNumberFormat="1" applyFont="1" applyFill="1" applyBorder="1" applyAlignment="1">
      <x:alignment vertical="center" wrapText="0"/>
    </x:xf>
    <x:xf numFmtId="217" fontId="48" fillId="7" borderId="590" xfId="2" applyNumberFormat="1" applyFont="1" applyFill="1" applyBorder="1" applyAlignment="1">
      <x:alignment vertical="center" wrapText="1"/>
    </x:xf>
    <x:xf numFmtId="222" fontId="47" fillId="7" borderId="591" xfId="2" applyNumberFormat="1" applyFont="1" applyFill="1" applyBorder="1" applyAlignment="1">
      <x:alignment vertical="center" wrapText="0"/>
    </x:xf>
    <x:xf numFmtId="222" fontId="47" fillId="7" borderId="592" xfId="2" applyNumberFormat="1" applyFont="1" applyFill="1" applyBorder="1" applyAlignment="1">
      <x:alignment vertical="center" wrapText="1"/>
    </x:xf>
    <x:xf numFmtId="217" fontId="48" fillId="7" borderId="593" xfId="2" applyNumberFormat="1" applyFont="1" applyFill="1" applyBorder="1" applyAlignment="1">
      <x:alignment vertical="center" wrapText="1"/>
    </x:xf>
    <x:xf numFmtId="222" fontId="47" fillId="7" borderId="594" xfId="2" applyNumberFormat="1" applyFont="1" applyFill="1" applyBorder="1" applyAlignment="1">
      <x:alignment vertical="center" wrapText="0"/>
    </x:xf>
    <x:xf numFmtId="222" fontId="47" fillId="7" borderId="595" xfId="2" applyNumberFormat="1" applyFont="1" applyFill="1" applyBorder="1" applyAlignment="1">
      <x:alignment vertical="center" wrapText="1"/>
    </x:xf>
    <x:xf numFmtId="0" fontId="47" fillId="7" borderId="596" xfId="2" applyNumberFormat="1" applyFont="1" applyFill="1" applyBorder="1" applyAlignment="1">
      <x:alignment vertical="center" wrapText="0"/>
    </x:xf>
    <x:xf numFmtId="0" fontId="47" fillId="7" borderId="597" xfId="2" applyNumberFormat="1" applyFont="1" applyFill="1" applyBorder="1" applyAlignment="1">
      <x:alignment vertical="center" wrapText="0"/>
    </x:xf>
    <x:xf numFmtId="0" fontId="47" fillId="7" borderId="598" xfId="2" applyNumberFormat="1" applyFont="1" applyFill="1" applyBorder="1" applyAlignment="1">
      <x:alignment vertical="center" wrapText="0"/>
    </x:xf>
    <x:xf numFmtId="217" fontId="47" fillId="7" borderId="599" xfId="2" applyNumberFormat="1" applyFont="1" applyFill="1" applyBorder="1" applyAlignment="1">
      <x:alignment vertical="center" wrapText="0"/>
    </x:xf>
    <x:xf numFmtId="0" fontId="47" fillId="7" borderId="600" xfId="2" applyNumberFormat="1" applyFont="1" applyFill="1" applyBorder="1" applyAlignment="1">
      <x:alignment vertical="center" wrapText="0"/>
    </x:xf>
    <x:xf numFmtId="217" fontId="47" fillId="7" borderId="601" xfId="2" applyNumberFormat="1" applyFont="1" applyFill="1" applyBorder="1" applyAlignment="1">
      <x:alignment vertical="center" wrapText="0"/>
    </x:xf>
    <x:xf numFmtId="218" fontId="55" fillId="7" borderId="602" xfId="2" applyNumberFormat="1" applyFont="1" applyFill="1" applyBorder="1" applyAlignment="1">
      <x:alignment vertical="center" wrapText="0"/>
    </x:xf>
    <x:xf numFmtId="0" fontId="50" fillId="7" borderId="603" xfId="2" applyNumberFormat="1" applyFont="1" applyFill="1" applyBorder="1" applyAlignment="1">
      <x:alignment vertical="center" wrapText="0"/>
    </x:xf>
    <x:xf numFmtId="217" fontId="55" fillId="7" borderId="604" xfId="2" applyNumberFormat="1" applyFont="1" applyFill="1" applyBorder="1" applyAlignment="1">
      <x:alignment vertical="center" wrapText="0"/>
    </x:xf>
    <x:xf numFmtId="0" fontId="48" fillId="7" borderId="605" xfId="2" applyNumberFormat="1" applyFont="1" applyFill="1" applyBorder="1" applyAlignment="1">
      <x:alignment vertical="center" wrapText="0"/>
    </x:xf>
    <x:xf numFmtId="0" fontId="48" fillId="9" borderId="606" xfId="2" applyNumberFormat="1" applyFont="1" applyFill="1" applyBorder="1" applyAlignment="1">
      <x:alignment vertical="center" wrapText="1"/>
    </x:xf>
    <x:xf numFmtId="0" fontId="48" fillId="9" borderId="607" xfId="2" applyNumberFormat="1" applyFont="1" applyFill="1" applyBorder="1" applyAlignment="1">
      <x:alignment vertical="center" wrapText="1"/>
    </x:xf>
    <x:xf numFmtId="219" fontId="45" fillId="7" borderId="608" xfId="2" applyNumberFormat="1" applyFont="1" applyFill="1" applyBorder="1"/>
    <x:xf numFmtId="217" fontId="47" fillId="7" borderId="609" xfId="2" applyNumberFormat="1" applyFont="1" applyFill="1" applyBorder="1" applyAlignment="1">
      <x:alignment vertical="center" wrapText="0"/>
    </x:xf>
    <x:xf numFmtId="217" fontId="48" fillId="7" borderId="610" xfId="2" applyNumberFormat="1" applyFont="1" applyFill="1" applyBorder="1" applyAlignment="1">
      <x:alignment vertical="center" wrapText="0"/>
    </x:xf>
    <x:xf numFmtId="217" fontId="48" fillId="7" borderId="611" xfId="2" applyNumberFormat="1" applyFont="1" applyFill="1" applyBorder="1" applyAlignment="1">
      <x:alignment vertical="center" wrapText="0"/>
    </x:xf>
    <x:xf numFmtId="217" fontId="52" fillId="7" borderId="612" xfId="2" applyNumberFormat="1" applyFont="1" applyFill="1" applyBorder="1"/>
    <x:xf numFmtId="0" fontId="48" fillId="9" borderId="613" xfId="2" applyNumberFormat="1" applyFont="1" applyFill="1" applyBorder="1" applyAlignment="1">
      <x:alignment vertical="center" wrapText="1"/>
    </x:xf>
    <x:xf numFmtId="0" fontId="47" fillId="7" borderId="614" xfId="2" applyNumberFormat="1" applyFont="1" applyFill="1" applyBorder="1" applyAlignment="1">
      <x:alignment vertical="center" wrapText="0"/>
    </x:xf>
    <x:xf numFmtId="217" fontId="57" fillId="7" borderId="615" xfId="2" applyNumberFormat="1" applyFont="1" applyFill="1" applyBorder="1" applyAlignment="1">
      <x:alignment vertical="center" wrapText="1"/>
    </x:xf>
    <x:xf numFmtId="0" fontId="47" fillId="7" borderId="616" xfId="2" applyNumberFormat="1" applyFont="1" applyFill="1" applyBorder="1" applyAlignment="1">
      <x:alignment vertical="center" wrapText="1"/>
    </x:xf>
    <x:xf numFmtId="0" fontId="47" fillId="7" borderId="617" xfId="2" applyNumberFormat="1" applyFont="1" applyFill="1" applyBorder="1" applyAlignment="1">
      <x:alignment vertical="center" wrapText="1"/>
    </x:xf>
    <x:xf numFmtId="0" fontId="47" fillId="7" borderId="618" xfId="2" applyNumberFormat="1" applyFont="1" applyFill="1" applyBorder="1" applyAlignment="1">
      <x:alignment vertical="center" wrapText="1"/>
    </x:xf>
    <x:xf numFmtId="219" fontId="47" fillId="7" borderId="619" xfId="2" applyNumberFormat="1" applyFont="1" applyFill="1" applyBorder="1" applyAlignment="1">
      <x:alignment vertical="center" wrapText="1"/>
    </x:xf>
    <x:xf numFmtId="218" fontId="57" fillId="7" borderId="620" xfId="2" applyNumberFormat="1" applyFont="1" applyFill="1" applyBorder="1" applyAlignment="1">
      <x:alignment vertical="center" wrapText="1"/>
    </x:xf>
    <x:xf numFmtId="217" fontId="57" fillId="7" borderId="621" xfId="2" applyNumberFormat="1" applyFont="1" applyFill="1" applyBorder="1" applyAlignment="1">
      <x:alignment vertical="center" wrapText="1"/>
    </x:xf>
    <x:xf numFmtId="217" fontId="57" fillId="7" borderId="622" xfId="2" applyNumberFormat="1" applyFont="1" applyFill="1" applyBorder="1" applyAlignment="1">
      <x:alignment vertical="center" wrapText="1"/>
    </x:xf>
    <x:xf numFmtId="0" fontId="47" fillId="7" borderId="623" xfId="2" applyNumberFormat="1" applyFont="1" applyFill="1" applyBorder="1" applyAlignment="1">
      <x:alignment vertical="center" wrapText="1"/>
    </x:xf>
    <x:xf numFmtId="0" fontId="47" fillId="7" borderId="624" xfId="2" applyNumberFormat="1" applyFont="1" applyFill="1" applyBorder="1" applyAlignment="1">
      <x:alignment vertical="center" wrapText="1"/>
    </x:xf>
    <x:xf numFmtId="0" fontId="48" fillId="9" borderId="625" xfId="2" applyNumberFormat="1" applyFont="1" applyFill="1" applyBorder="1" applyAlignment="1">
      <x:alignment horizontal="center" vertical="top" wrapText="1"/>
    </x:xf>
    <x:xf numFmtId="0" fontId="47" fillId="7" borderId="626" xfId="2" applyNumberFormat="1" applyFont="1" applyFill="1" applyBorder="1" applyAlignment="1">
      <x:alignment vertical="top" wrapText="1"/>
    </x:xf>
    <x:xf numFmtId="0" fontId="47" fillId="7" borderId="627" xfId="2" applyNumberFormat="1" applyFont="1" applyFill="1" applyBorder="1" applyAlignment="1">
      <x:alignment vertical="top" wrapText="1"/>
    </x:xf>
    <x:xf numFmtId="0" fontId="47" fillId="7" borderId="628" xfId="2" applyNumberFormat="1" applyFont="1" applyFill="1" applyBorder="1" applyAlignment="1">
      <x:alignment vertical="top" wrapText="1"/>
    </x:xf>
    <x:xf numFmtId="0" fontId="47" fillId="7" borderId="629" xfId="2" applyNumberFormat="1" applyFont="1" applyFill="1" applyBorder="1" applyAlignment="1">
      <x:alignment vertical="top" wrapText="1"/>
    </x:xf>
    <x:xf numFmtId="0" fontId="47" fillId="7" borderId="630" xfId="2" applyNumberFormat="1" applyFont="1" applyFill="1" applyBorder="1" applyAlignment="1">
      <x:alignment vertical="top" wrapText="1"/>
    </x:xf>
    <x:xf numFmtId="217" fontId="57" fillId="7" borderId="631" xfId="2" applyNumberFormat="1" applyFont="1" applyFill="1" applyBorder="1" applyAlignment="1">
      <x:alignment vertical="top" wrapText="1"/>
    </x:xf>
    <x:xf numFmtId="0" fontId="47" fillId="7" borderId="632" xfId="2" applyNumberFormat="1" applyFont="1" applyFill="1" applyBorder="1" applyAlignment="1">
      <x:alignment vertical="top" wrapText="1"/>
    </x:xf>
    <x:xf numFmtId="217" fontId="57" fillId="7" borderId="633" xfId="2" applyNumberFormat="1" applyFont="1" applyFill="1" applyBorder="1" applyAlignment="1">
      <x:alignment vertical="top" wrapText="1"/>
    </x:xf>
    <x:xf numFmtId="0" fontId="47" fillId="7" borderId="634" xfId="2" applyNumberFormat="1" applyFont="1" applyFill="1" applyBorder="1" applyAlignment="1">
      <x:alignment vertical="top" wrapText="1"/>
    </x:xf>
    <x:xf numFmtId="219" fontId="47" fillId="7" borderId="635" xfId="2" applyNumberFormat="1" applyFont="1" applyFill="1" applyBorder="1" applyAlignment="1">
      <x:alignment vertical="top" wrapText="1"/>
    </x:xf>
    <x:xf numFmtId="0" fontId="47" fillId="7" borderId="636" xfId="2" applyNumberFormat="1" applyFont="1" applyFill="1" applyBorder="1" applyAlignment="1">
      <x:alignment wrapText="1"/>
    </x:xf>
    <x:xf numFmtId="0" fontId="47" fillId="7" borderId="637" xfId="2" applyNumberFormat="1" applyFont="1" applyFill="1" applyBorder="1" applyAlignment="1">
      <x:alignment wrapText="1"/>
    </x:xf>
    <x:xf numFmtId="0" fontId="47" fillId="7" borderId="638" xfId="2" applyNumberFormat="1" applyFont="1" applyFill="1" applyBorder="1" applyAlignment="1">
      <x:alignment wrapText="1"/>
    </x:xf>
    <x:xf numFmtId="0" fontId="67" fillId="10" borderId="639" xfId="3"/>
    <x:xf numFmtId="0" fontId="68" fillId="10" borderId="639" xfId="3" applyNumberFormat="1" applyFont="1" applyFill="1" applyBorder="1"/>
    <x:xf numFmtId="0" fontId="69" fillId="10" borderId="639" xfId="3" applyNumberFormat="1" applyFont="1" applyFill="1" applyBorder="1"/>
    <x:xf numFmtId="0" fontId="69" fillId="10" borderId="639" xfId="3" applyNumberFormat="1" applyFont="1" applyFill="1" applyBorder="1" applyAlignment="1">
      <x:alignment vertical="top"/>
    </x:xf>
    <x:xf numFmtId="0" fontId="69" fillId="10" borderId="639" xfId="3" applyNumberFormat="1" applyFont="1" applyFill="1" applyBorder="1" applyAlignment="1">
      <x:alignment vertical="top" wrapText="1"/>
    </x:xf>
    <x:xf numFmtId="0" fontId="70" fillId="10" borderId="639" xfId="3" applyNumberFormat="1" applyFont="1" applyFill="1" applyBorder="1" applyAlignment="1">
      <x:alignment vertical="top" wrapText="1"/>
    </x:xf>
    <x:xf numFmtId="0" fontId="71" fillId="10" borderId="639" xfId="3" applyNumberFormat="1" applyFont="1" applyFill="1" applyBorder="1" applyAlignment="1">
      <x:alignment vertical="top" wrapText="1"/>
    </x:xf>
    <x:xf numFmtId="0" fontId="71" fillId="10" borderId="639" xfId="3" applyNumberFormat="1" applyFont="1" applyFill="1" applyBorder="1" applyAlignment="1">
      <x:alignment vertical="top" wrapText="0"/>
    </x:xf>
    <x:xf numFmtId="0" fontId="69" fillId="10" borderId="639" xfId="3" applyNumberFormat="1" applyFont="1" applyFill="1" applyBorder="1" applyAlignment="1">
      <x:alignment vertical="top" wrapText="0"/>
    </x:xf>
    <x:xf numFmtId="0" fontId="69" fillId="12" borderId="639" xfId="3" applyNumberFormat="1" applyFont="1" applyFill="1" applyBorder="1" applyAlignment="1">
      <x:alignment vertical="top" wrapText="1"/>
    </x:xf>
    <x:xf numFmtId="0" fontId="70" fillId="12" borderId="639" xfId="3" applyNumberFormat="1" applyFont="1" applyFill="1" applyBorder="1" applyAlignment="1">
      <x:alignment vertical="top" wrapText="1"/>
    </x:xf>
    <x:xf numFmtId="0" fontId="70" fillId="12" borderId="639" xfId="3" applyNumberFormat="1" applyFont="1" applyFill="1" applyBorder="1" applyAlignment="1">
      <x:alignment horizontal="center" vertical="top" wrapText="1"/>
    </x:xf>
    <x:xf numFmtId="0" fontId="70" fillId="12" borderId="640" xfId="3" applyNumberFormat="1" applyFont="1" applyFill="1" applyBorder="1" applyAlignment="1">
      <x:alignment horizontal="center" vertical="top" wrapText="1"/>
    </x:xf>
    <x:xf numFmtId="0" fontId="70" fillId="12" borderId="641" xfId="3" applyNumberFormat="1" applyFont="1" applyFill="1" applyBorder="1" applyAlignment="1">
      <x:alignment horizontal="center" vertical="top" wrapText="1"/>
    </x:xf>
    <x:xf numFmtId="0" fontId="70" fillId="12" borderId="642" xfId="3" applyNumberFormat="1" applyFont="1" applyFill="1" applyBorder="1" applyAlignment="1">
      <x:alignment horizontal="center" vertical="top" wrapText="1"/>
    </x:xf>
    <x:xf numFmtId="0" fontId="70" fillId="10" borderId="643" xfId="3" applyNumberFormat="1" applyFont="1" applyFill="1" applyBorder="1" applyAlignment="1">
      <x:alignment vertical="top" wrapText="1"/>
    </x:xf>
    <x:xf numFmtId="0" fontId="69" fillId="10" borderId="644" xfId="3" applyNumberFormat="1" applyFont="1" applyFill="1" applyBorder="1" applyAlignment="1">
      <x:alignment vertical="top" wrapText="1"/>
    </x:xf>
    <x:xf numFmtId="0" fontId="70" fillId="10" borderId="645" xfId="3" applyNumberFormat="1" applyFont="1" applyFill="1" applyBorder="1" applyAlignment="1">
      <x:alignment vertical="top" wrapText="1"/>
    </x:xf>
    <x:xf numFmtId="0" fontId="69" fillId="10" borderId="646" xfId="3" applyNumberFormat="1" applyFont="1" applyFill="1" applyBorder="1" applyAlignment="1">
      <x:alignment vertical="top" wrapText="1"/>
    </x:xf>
    <x:xf numFmtId="223" fontId="69" fillId="10" borderId="639" xfId="3" applyNumberFormat="1" applyFont="1" applyFill="1" applyBorder="1" applyAlignment="1">
      <x:alignment vertical="top" wrapText="1"/>
    </x:xf>
    <x:xf numFmtId="0" fontId="72" fillId="10" borderId="639" xfId="3" applyNumberFormat="1" applyFont="1" applyFill="1" applyBorder="1" applyAlignment="1">
      <x:alignment vertical="top" wrapText="1"/>
    </x:xf>
    <x:xf numFmtId="223" fontId="72" fillId="10" borderId="639" xfId="3" applyNumberFormat="1" applyFont="1" applyFill="1" applyBorder="1" applyAlignment="1">
      <x:alignment vertical="top" wrapText="1"/>
    </x:xf>
    <x:xf numFmtId="223" fontId="73" fillId="10" borderId="639" xfId="3" applyNumberFormat="1" applyFont="1" applyFill="1" applyBorder="1" applyAlignment="1">
      <x:alignment vertical="top" wrapText="1"/>
    </x:xf>
    <x:xf numFmtId="0" fontId="72" fillId="10" borderId="643" xfId="3" applyNumberFormat="1" applyFont="1" applyFill="1" applyBorder="1" applyAlignment="1">
      <x:alignment vertical="top" wrapText="1"/>
    </x:xf>
    <x:xf numFmtId="223" fontId="73" fillId="10" borderId="644" xfId="3" applyNumberFormat="1" applyFont="1" applyFill="1" applyBorder="1" applyAlignment="1">
      <x:alignment vertical="top" wrapText="1"/>
    </x:xf>
    <x:xf numFmtId="0" fontId="69" fillId="10" borderId="643" xfId="3" applyNumberFormat="1" applyFont="1" applyFill="1" applyBorder="1" applyAlignment="1">
      <x:alignment vertical="top" wrapText="1"/>
    </x:xf>
    <x:xf numFmtId="0" fontId="69" fillId="10" borderId="645" xfId="3" applyNumberFormat="1" applyFont="1" applyFill="1" applyBorder="1" applyAlignment="1">
      <x:alignment vertical="top" wrapText="1"/>
    </x:xf>
    <x:xf numFmtId="224" fontId="67" fillId="10" borderId="639" xfId="3" applyNumberFormat="1" applyFont="1" applyFill="1" applyBorder="1"/>
    <x:xf numFmtId="225" fontId="67" fillId="10" borderId="639" xfId="3" applyNumberFormat="1" applyFont="1" applyFill="1" applyBorder="1"/>
    <x:xf numFmtId="224" fontId="74" fillId="10" borderId="639" xfId="3" applyNumberFormat="1" applyFont="1" applyFill="1" applyBorder="1"/>
    <x:xf numFmtId="225" fontId="74" fillId="10" borderId="639" xfId="3" applyNumberFormat="1" applyFont="1" applyFill="1" applyBorder="1"/>
    <x:xf numFmtId="226" fontId="67" fillId="10" borderId="639" xfId="3" applyNumberFormat="1" applyFont="1" applyFill="1" applyBorder="1"/>
    <x:xf numFmtId="0" fontId="75" fillId="10" borderId="639" xfId="3" applyNumberFormat="1" applyFont="1" applyFill="1" applyBorder="1"/>
    <x:xf numFmtId="227" fontId="67" fillId="10" borderId="639" xfId="3" applyNumberFormat="1" applyFont="1" applyFill="1" applyBorder="1"/>
    <x:xf numFmtId="228" fontId="67" fillId="10" borderId="639" xfId="3" applyNumberFormat="1" applyFont="1" applyFill="1" applyBorder="1"/>
    <x:xf numFmtId="225" fontId="75" fillId="10" borderId="639" xfId="3" applyNumberFormat="1" applyFont="1" applyFill="1" applyBorder="1"/>
    <x:xf numFmtId="226" fontId="68" fillId="10" borderId="639" xfId="3" applyNumberFormat="1" applyFont="1" applyFill="1" applyBorder="1"/>
    <x:xf numFmtId="226" fontId="69" fillId="10" borderId="639" xfId="3" applyNumberFormat="1" applyFont="1" applyFill="1" applyBorder="1"/>
    <x:xf numFmtId="0" fontId="69" fillId="10" borderId="639" xfId="3" applyNumberFormat="1" applyFont="1" applyFill="1" applyBorder="1" applyAlignment="1">
      <x:alignment vertical="center"/>
    </x:xf>
    <x:xf numFmtId="226" fontId="69" fillId="10" borderId="639" xfId="3" applyNumberFormat="1" applyFont="1" applyFill="1" applyBorder="1" applyAlignment="1">
      <x:alignment vertical="center"/>
    </x:xf>
    <x:xf numFmtId="0" fontId="69" fillId="10" borderId="639" xfId="3" applyNumberFormat="1" applyFont="1" applyFill="1" applyBorder="1" applyAlignment="1">
      <x:alignment vertical="center" wrapText="0"/>
    </x:xf>
    <x:xf numFmtId="226" fontId="69" fillId="10" borderId="639" xfId="3" applyNumberFormat="1" applyFont="1" applyFill="1" applyBorder="1" applyAlignment="1">
      <x:alignment vertical="center" wrapText="0"/>
    </x:xf>
    <x:xf numFmtId="0" fontId="76" fillId="10" borderId="639" xfId="3" applyNumberFormat="1" applyFont="1" applyFill="1" applyBorder="1"/>
    <x:xf numFmtId="228" fontId="68" fillId="10" borderId="639" xfId="3" applyNumberFormat="1" applyFont="1" applyFill="1" applyBorder="1"/>
    <x:xf numFmtId="227" fontId="68" fillId="10" borderId="639" xfId="3" applyNumberFormat="1" applyFont="1" applyFill="1" applyBorder="1"/>
    <x:xf numFmtId="224" fontId="68" fillId="10" borderId="639" xfId="3" applyNumberFormat="1" applyFont="1" applyFill="1" applyBorder="1"/>
    <x:xf numFmtId="0" fontId="77" fillId="10" borderId="639" xfId="3" applyNumberFormat="1" applyFont="1" applyFill="1" applyBorder="1"/>
    <x:xf numFmtId="228" fontId="69" fillId="10" borderId="639" xfId="3" applyNumberFormat="1" applyFont="1" applyFill="1" applyBorder="1"/>
    <x:xf numFmtId="227" fontId="69" fillId="10" borderId="639" xfId="3" applyNumberFormat="1" applyFont="1" applyFill="1" applyBorder="1"/>
    <x:xf numFmtId="224" fontId="69" fillId="10" borderId="639" xfId="3" applyNumberFormat="1" applyFont="1" applyFill="1" applyBorder="1"/>
    <x:xf numFmtId="0" fontId="77" fillId="10" borderId="639" xfId="3" applyNumberFormat="1" applyFont="1" applyFill="1" applyBorder="1" applyAlignment="1">
      <x:alignment vertical="center"/>
    </x:xf>
    <x:xf numFmtId="228" fontId="69" fillId="10" borderId="639" xfId="3" applyNumberFormat="1" applyFont="1" applyFill="1" applyBorder="1" applyAlignment="1">
      <x:alignment vertical="center"/>
    </x:xf>
    <x:xf numFmtId="227" fontId="69" fillId="10" borderId="639" xfId="3" applyNumberFormat="1" applyFont="1" applyFill="1" applyBorder="1" applyAlignment="1">
      <x:alignment vertical="center"/>
    </x:xf>
    <x:xf numFmtId="224" fontId="69" fillId="10" borderId="639" xfId="3" applyNumberFormat="1" applyFont="1" applyFill="1" applyBorder="1" applyAlignment="1">
      <x:alignment vertical="center"/>
    </x:xf>
    <x:xf numFmtId="0" fontId="77" fillId="10" borderId="639" xfId="3" applyNumberFormat="1" applyFont="1" applyFill="1" applyBorder="1" applyAlignment="1">
      <x:alignment vertical="center" wrapText="0"/>
    </x:xf>
    <x:xf numFmtId="228" fontId="69" fillId="10" borderId="639" xfId="3" applyNumberFormat="1" applyFont="1" applyFill="1" applyBorder="1" applyAlignment="1">
      <x:alignment vertical="center" wrapText="0"/>
    </x:xf>
    <x:xf numFmtId="227" fontId="69" fillId="10" borderId="639" xfId="3" applyNumberFormat="1" applyFont="1" applyFill="1" applyBorder="1" applyAlignment="1">
      <x:alignment vertical="center" wrapText="0"/>
    </x:xf>
    <x:xf numFmtId="224" fontId="69" fillId="10" borderId="639" xfId="3" applyNumberFormat="1" applyFont="1" applyFill="1" applyBorder="1" applyAlignment="1">
      <x:alignment vertical="center" wrapText="0"/>
    </x:xf>
    <x:xf numFmtId="225" fontId="76" fillId="10" borderId="639" xfId="3" applyNumberFormat="1" applyFont="1" applyFill="1" applyBorder="1"/>
    <x:xf numFmtId="225" fontId="77" fillId="10" borderId="639" xfId="3" applyNumberFormat="1" applyFont="1" applyFill="1" applyBorder="1"/>
    <x:xf numFmtId="225" fontId="77" fillId="10" borderId="639" xfId="3" applyNumberFormat="1" applyFont="1" applyFill="1" applyBorder="1" applyAlignment="1">
      <x:alignment vertical="center"/>
    </x:xf>
    <x:xf numFmtId="225" fontId="77" fillId="10" borderId="639" xfId="3" applyNumberFormat="1" applyFont="1" applyFill="1" applyBorder="1" applyAlignment="1">
      <x:alignment vertical="center" wrapText="0"/>
    </x:xf>
    <x:xf numFmtId="224" fontId="78" fillId="10" borderId="639" xfId="3" applyNumberFormat="1" applyFont="1" applyFill="1" applyBorder="1"/>
    <x:xf numFmtId="225" fontId="78" fillId="10" borderId="639" xfId="3" applyNumberFormat="1" applyFont="1" applyFill="1" applyBorder="1"/>
    <x:xf numFmtId="224" fontId="79" fillId="10" borderId="639" xfId="3" applyNumberFormat="1" applyFont="1" applyFill="1" applyBorder="1"/>
    <x:xf numFmtId="225" fontId="79" fillId="10" borderId="639" xfId="3" applyNumberFormat="1" applyFont="1" applyFill="1" applyBorder="1"/>
    <x:xf numFmtId="224" fontId="79" fillId="10" borderId="639" xfId="3" applyNumberFormat="1" applyFont="1" applyFill="1" applyBorder="1" applyAlignment="1">
      <x:alignment vertical="center"/>
    </x:xf>
    <x:xf numFmtId="225" fontId="79" fillId="10" borderId="639" xfId="3" applyNumberFormat="1" applyFont="1" applyFill="1" applyBorder="1" applyAlignment="1">
      <x:alignment vertical="center"/>
    </x:xf>
    <x:xf numFmtId="224" fontId="79" fillId="10" borderId="639" xfId="3" applyNumberFormat="1" applyFont="1" applyFill="1" applyBorder="1" applyAlignment="1">
      <x:alignment vertical="center" wrapText="0"/>
    </x:xf>
    <x:xf numFmtId="225" fontId="79" fillId="10" borderId="639" xfId="3" applyNumberFormat="1" applyFont="1" applyFill="1" applyBorder="1" applyAlignment="1">
      <x:alignment vertical="center" wrapText="0"/>
    </x:xf>
    <x:xf numFmtId="0" fontId="70" fillId="10" borderId="639" xfId="3" applyNumberFormat="1" applyFont="1" applyFill="1" applyBorder="1" applyAlignment="1">
      <x:alignment vertical="center" wrapText="0"/>
    </x:xf>
    <x:xf numFmtId="0" fontId="71" fillId="10" borderId="639" xfId="3" applyNumberFormat="1" applyFont="1" applyFill="1" applyBorder="1" applyAlignment="1">
      <x:alignment vertical="center" wrapText="0"/>
    </x:xf>
    <x:xf numFmtId="0" fontId="72" fillId="10" borderId="639" xfId="3" applyNumberFormat="1" applyFont="1" applyFill="1" applyBorder="1" applyAlignment="1">
      <x:alignment vertical="center" wrapText="0"/>
    </x:xf>
    <x:xf numFmtId="224" fontId="77" fillId="10" borderId="639" xfId="3" applyNumberFormat="1" applyFont="1" applyFill="1" applyBorder="1" applyAlignment="1">
      <x:alignment vertical="center" wrapText="0"/>
    </x:xf>
    <x:xf numFmtId="0" fontId="69" fillId="10" borderId="639" xfId="3" applyNumberFormat="1" applyFont="1" applyFill="1" applyBorder="1" applyAlignment="1">
      <x:alignment vertical="center" wrapText="1"/>
    </x:xf>
    <x:xf numFmtId="224" fontId="69" fillId="10" borderId="639" xfId="3" applyNumberFormat="1" applyFont="1" applyFill="1" applyBorder="1" applyAlignment="1">
      <x:alignment vertical="center" wrapText="1"/>
    </x:xf>
    <x:xf numFmtId="0" fontId="70" fillId="10" borderId="647" xfId="3" applyNumberFormat="1" applyFont="1" applyFill="1" applyBorder="1" applyAlignment="1">
      <x:alignment vertical="center" wrapText="0"/>
    </x:xf>
    <x:xf numFmtId="224" fontId="70" fillId="10" borderId="639" xfId="3" applyNumberFormat="1" applyFont="1" applyFill="1" applyBorder="1" applyAlignment="1">
      <x:alignment vertical="center" wrapText="0"/>
    </x:xf>
    <x:xf numFmtId="0" fontId="70" fillId="10" borderId="639" xfId="3" applyNumberFormat="1" applyFont="1" applyFill="1" applyBorder="1" applyAlignment="1">
      <x:alignment vertical="center" wrapText="1"/>
    </x:xf>
    <x:xf numFmtId="224" fontId="70" fillId="10" borderId="647" xfId="3" applyNumberFormat="1" applyFont="1" applyFill="1" applyBorder="1" applyAlignment="1">
      <x:alignment vertical="center" wrapText="0"/>
    </x:xf>
    <x:xf numFmtId="0" fontId="70" fillId="10" borderId="647" xfId="3" applyNumberFormat="1" applyFont="1" applyFill="1" applyBorder="1" applyAlignment="1">
      <x:alignment vertical="center" wrapText="1"/>
    </x:xf>
    <x:xf numFmtId="224" fontId="80" fillId="10" borderId="639" xfId="3" applyNumberFormat="1" applyFont="1" applyFill="1" applyBorder="1" applyAlignment="1">
      <x:alignment vertical="center" wrapText="0"/>
    </x:xf>
    <x:xf numFmtId="229" fontId="69" fillId="10" borderId="639" xfId="3" applyNumberFormat="1" applyFont="1" applyFill="1" applyBorder="1" applyAlignment="1">
      <x:alignment vertical="center" wrapText="0"/>
    </x:xf>
    <x:xf numFmtId="229" fontId="69" fillId="10" borderId="639" xfId="3" applyNumberFormat="1" applyFont="1" applyFill="1" applyBorder="1" applyAlignment="1">
      <x:alignment vertical="center" wrapText="1"/>
    </x:xf>
    <x:xf numFmtId="224" fontId="79" fillId="10" borderId="639" xfId="3" applyNumberFormat="1" applyFont="1" applyFill="1" applyBorder="1" applyAlignment="1">
      <x:alignment vertical="center" wrapText="1"/>
    </x:xf>
    <x:xf numFmtId="226" fontId="69" fillId="10" borderId="639" xfId="3" applyNumberFormat="1" applyFont="1" applyFill="1" applyBorder="1" applyAlignment="1">
      <x:alignment vertical="center" wrapText="1"/>
    </x:xf>
    <x:xf numFmtId="225" fontId="79" fillId="10" borderId="639" xfId="3" applyNumberFormat="1" applyFont="1" applyFill="1" applyBorder="1" applyAlignment="1">
      <x:alignment vertical="center" wrapText="1"/>
    </x:xf>
    <x:xf numFmtId="0" fontId="70" fillId="10" borderId="648" xfId="3" applyNumberFormat="1" applyFont="1" applyFill="1" applyBorder="1" applyAlignment="1">
      <x:alignment vertical="center" wrapText="0"/>
    </x:xf>
    <x:xf numFmtId="0" fontId="70" fillId="10" borderId="649" xfId="3" applyNumberFormat="1" applyFont="1" applyFill="1" applyBorder="1" applyAlignment="1">
      <x:alignment vertical="center" wrapText="0"/>
    </x:xf>
    <x:xf numFmtId="0" fontId="69" fillId="10" borderId="643" xfId="3" applyNumberFormat="1" applyFont="1" applyFill="1" applyBorder="1" applyAlignment="1">
      <x:alignment vertical="center" wrapText="1"/>
    </x:xf>
    <x:xf numFmtId="224" fontId="77" fillId="10" borderId="644" xfId="3" applyNumberFormat="1" applyFont="1" applyFill="1" applyBorder="1" applyAlignment="1">
      <x:alignment vertical="center" wrapText="0"/>
    </x:xf>
    <x:xf numFmtId="224" fontId="69" fillId="10" borderId="644" xfId="3" applyNumberFormat="1" applyFont="1" applyFill="1" applyBorder="1" applyAlignment="1">
      <x:alignment vertical="center" wrapText="0"/>
    </x:xf>
    <x:xf numFmtId="0" fontId="70" fillId="10" borderId="643" xfId="3" applyNumberFormat="1" applyFont="1" applyFill="1" applyBorder="1" applyAlignment="1">
      <x:alignment vertical="center" wrapText="1"/>
    </x:xf>
    <x:xf numFmtId="224" fontId="70" fillId="10" borderId="644" xfId="3" applyNumberFormat="1" applyFont="1" applyFill="1" applyBorder="1" applyAlignment="1">
      <x:alignment vertical="center" wrapText="0"/>
    </x:xf>
    <x:xf numFmtId="0" fontId="70" fillId="10" borderId="645" xfId="3" applyNumberFormat="1" applyFont="1" applyFill="1" applyBorder="1" applyAlignment="1">
      <x:alignment vertical="center" wrapText="1"/>
    </x:xf>
    <x:xf numFmtId="224" fontId="70" fillId="10" borderId="646" xfId="3" applyNumberFormat="1" applyFont="1" applyFill="1" applyBorder="1" applyAlignment="1">
      <x:alignment vertical="center" wrapText="0"/>
    </x:xf>
    <x:xf numFmtId="0" fontId="69" fillId="10" borderId="650" xfId="3" applyNumberFormat="1" applyFont="1" applyFill="1" applyBorder="1" applyAlignment="1">
      <x:alignment vertical="center" wrapText="1"/>
    </x:xf>
    <x:xf numFmtId="224" fontId="77" fillId="10" borderId="651" xfId="3" applyNumberFormat="1" applyFont="1" applyFill="1" applyBorder="1" applyAlignment="1">
      <x:alignment vertical="center" wrapText="0"/>
    </x:xf>
    <x:xf numFmtId="229" fontId="69" fillId="10" borderId="644" xfId="3" applyNumberFormat="1" applyFont="1" applyFill="1" applyBorder="1" applyAlignment="1">
      <x:alignment vertical="center" wrapText="0"/>
    </x:xf>
    <x:xf numFmtId="224" fontId="80" fillId="10" borderId="644" xfId="3" applyNumberFormat="1" applyFont="1" applyFill="1" applyBorder="1" applyAlignment="1">
      <x:alignment vertical="center" wrapText="0"/>
    </x:xf>
    <x:xf numFmtId="0" fontId="69" fillId="10" borderId="645" xfId="3" applyNumberFormat="1" applyFont="1" applyFill="1" applyBorder="1" applyAlignment="1">
      <x:alignment vertical="center" wrapText="1"/>
    </x:xf>
    <x:xf numFmtId="229" fontId="69" fillId="10" borderId="646" xfId="3" applyNumberFormat="1" applyFont="1" applyFill="1" applyBorder="1" applyAlignment="1">
      <x:alignment vertical="center" wrapText="0"/>
    </x:xf>
    <x:xf numFmtId="0" fontId="70" fillId="10" borderId="650" xfId="3" applyNumberFormat="1" applyFont="1" applyFill="1" applyBorder="1" applyAlignment="1">
      <x:alignment vertical="center" wrapText="1"/>
    </x:xf>
    <x:xf numFmtId="224" fontId="70" fillId="10" borderId="651" xfId="3" applyNumberFormat="1" applyFont="1" applyFill="1" applyBorder="1" applyAlignment="1">
      <x:alignment vertical="center" wrapText="0"/>
    </x:xf>
    <x:xf numFmtId="227" fontId="69" fillId="10" borderId="646" xfId="3" applyNumberFormat="1" applyFont="1" applyFill="1" applyBorder="1" applyAlignment="1">
      <x:alignment vertical="center" wrapText="0"/>
    </x:xf>
    <x:xf numFmtId="0" fontId="69" fillId="10" borderId="651" xfId="3" applyNumberFormat="1" applyFont="1" applyFill="1" applyBorder="1" applyAlignment="1">
      <x:alignment vertical="center" wrapText="1"/>
    </x:xf>
    <x:xf numFmtId="224" fontId="69" fillId="10" borderId="644" xfId="3" applyNumberFormat="1" applyFont="1" applyFill="1" applyBorder="1" applyAlignment="1">
      <x:alignment vertical="center" wrapText="1"/>
    </x:xf>
    <x:xf numFmtId="224" fontId="69" fillId="10" borderId="646" xfId="3" applyNumberFormat="1" applyFont="1" applyFill="1" applyBorder="1" applyAlignment="1">
      <x:alignment vertical="center" wrapText="1"/>
    </x:xf>
    <x:xf numFmtId="224" fontId="70" fillId="10" borderId="652" xfId="3" applyNumberFormat="1" applyFont="1" applyFill="1" applyBorder="1" applyAlignment="1">
      <x:alignment vertical="center" wrapText="0"/>
    </x:xf>
    <x:xf numFmtId="0" fontId="70" fillId="10" borderId="652" xfId="3" applyNumberFormat="1" applyFont="1" applyFill="1" applyBorder="1" applyAlignment="1">
      <x:alignment vertical="center" wrapText="0"/>
    </x:xf>
    <x:xf numFmtId="0" fontId="70" fillId="10" borderId="652" xfId="3" applyNumberFormat="1" applyFont="1" applyFill="1" applyBorder="1" applyAlignment="1">
      <x:alignment vertical="center" wrapText="1"/>
    </x:xf>
    <x:xf numFmtId="0" fontId="69" fillId="10" borderId="643" xfId="3" applyNumberFormat="1" applyFont="1" applyFill="1" applyBorder="1" applyAlignment="1">
      <x:alignment vertical="center" wrapText="0"/>
    </x:xf>
    <x:xf numFmtId="224" fontId="69" fillId="10" borderId="653" xfId="3" applyNumberFormat="1" applyFont="1" applyFill="1" applyBorder="1" applyAlignment="1">
      <x:alignment vertical="center" wrapText="0"/>
    </x:xf>
    <x:xf numFmtId="224" fontId="69" fillId="10" borderId="653" xfId="3" applyNumberFormat="1" applyFont="1" applyFill="1" applyBorder="1" applyAlignment="1">
      <x:alignment vertical="center" wrapText="1"/>
    </x:xf>
    <x:xf numFmtId="226" fontId="69" fillId="10" borderId="653" xfId="3" applyNumberFormat="1" applyFont="1" applyFill="1" applyBorder="1" applyAlignment="1">
      <x:alignment vertical="center" wrapText="0"/>
    </x:xf>
    <x:xf numFmtId="226" fontId="69" fillId="10" borderId="644" xfId="3" applyNumberFormat="1" applyFont="1" applyFill="1" applyBorder="1" applyAlignment="1">
      <x:alignment vertical="center" wrapText="0"/>
    </x:xf>
    <x:xf numFmtId="0" fontId="69" fillId="10" borderId="653" xfId="3" applyNumberFormat="1" applyFont="1" applyFill="1" applyBorder="1" applyAlignment="1">
      <x:alignment vertical="center" wrapText="0"/>
    </x:xf>
    <x:xf numFmtId="0" fontId="69" fillId="10" borderId="644" xfId="3" applyNumberFormat="1" applyFont="1" applyFill="1" applyBorder="1" applyAlignment="1">
      <x:alignment vertical="center" wrapText="0"/>
    </x:xf>
    <x:xf numFmtId="229" fontId="69" fillId="10" borderId="653" xfId="3" applyNumberFormat="1" applyFont="1" applyFill="1" applyBorder="1" applyAlignment="1">
      <x:alignment vertical="center" wrapText="0"/>
    </x:xf>
    <x:xf numFmtId="229" fontId="69" fillId="10" borderId="653" xfId="3" applyNumberFormat="1" applyFont="1" applyFill="1" applyBorder="1" applyAlignment="1">
      <x:alignment vertical="center" wrapText="1"/>
    </x:xf>
    <x:xf numFmtId="0" fontId="69" fillId="10" borderId="645" xfId="3" applyNumberFormat="1" applyFont="1" applyFill="1" applyBorder="1" applyAlignment="1">
      <x:alignment vertical="center" wrapText="0"/>
    </x:xf>
    <x:xf numFmtId="229" fontId="69" fillId="10" borderId="654" xfId="3" applyNumberFormat="1" applyFont="1" applyFill="1" applyBorder="1" applyAlignment="1">
      <x:alignment vertical="center" wrapText="0"/>
    </x:xf>
    <x:xf numFmtId="229" fontId="69" fillId="10" borderId="654" xfId="3" applyNumberFormat="1" applyFont="1" applyFill="1" applyBorder="1" applyAlignment="1">
      <x:alignment vertical="center" wrapText="1"/>
    </x:xf>
    <x:xf numFmtId="0" fontId="69" fillId="10" borderId="654" xfId="3" applyNumberFormat="1" applyFont="1" applyFill="1" applyBorder="1" applyAlignment="1">
      <x:alignment vertical="center" wrapText="0"/>
    </x:xf>
    <x:xf numFmtId="0" fontId="69" fillId="10" borderId="646" xfId="3" applyNumberFormat="1" applyFont="1" applyFill="1" applyBorder="1" applyAlignment="1">
      <x:alignment vertical="center" wrapText="0"/>
    </x:xf>
    <x:xf numFmtId="0" fontId="69" fillId="10" borderId="641" xfId="3" applyNumberFormat="1" applyFont="1" applyFill="1" applyBorder="1" applyAlignment="1">
      <x:alignment vertical="center" wrapText="0"/>
    </x:xf>
    <x:xf numFmtId="224" fontId="69" fillId="10" borderId="642" xfId="3" applyNumberFormat="1" applyFont="1" applyFill="1" applyBorder="1" applyAlignment="1">
      <x:alignment vertical="center" wrapText="0"/>
    </x:xf>
    <x:xf numFmtId="0" fontId="69" fillId="10" borderId="650" xfId="3" applyNumberFormat="1" applyFont="1" applyFill="1" applyBorder="1" applyAlignment="1">
      <x:alignment vertical="center" wrapText="0"/>
    </x:xf>
    <x:xf numFmtId="225" fontId="77" fillId="10" borderId="646" xfId="3" applyNumberFormat="1" applyFont="1" applyFill="1" applyBorder="1" applyAlignment="1">
      <x:alignment vertical="center" wrapText="0"/>
    </x:xf>
    <x:xf numFmtId="224" fontId="77" fillId="10" borderId="642" xfId="3" applyNumberFormat="1" applyFont="1" applyFill="1" applyBorder="1" applyAlignment="1">
      <x:alignment vertical="center" wrapText="0"/>
    </x:xf>
    <x:xf numFmtId="0" fontId="70" fillId="12" borderId="648" xfId="3" applyNumberFormat="1" applyFont="1" applyFill="1" applyBorder="1" applyAlignment="1">
      <x:alignment vertical="center" wrapText="0"/>
    </x:xf>
    <x:xf numFmtId="0" fontId="70" fillId="12" borderId="649" xfId="3" applyNumberFormat="1" applyFont="1" applyFill="1" applyBorder="1" applyAlignment="1">
      <x:alignment vertical="center" wrapText="0"/>
    </x:xf>
    <x:xf numFmtId="0" fontId="70" fillId="12" borderId="648" xfId="3" applyNumberFormat="1" applyFont="1" applyFill="1" applyBorder="1" applyAlignment="1">
      <x:alignment horizontal="center" vertical="center" wrapText="0"/>
    </x:xf>
    <x:xf numFmtId="0" fontId="70" fillId="12" borderId="649" xfId="3" applyNumberFormat="1" applyFont="1" applyFill="1" applyBorder="1" applyAlignment="1">
      <x:alignment horizontal="center" vertical="center" wrapText="0"/>
    </x:xf>
    <x:xf numFmtId="0" fontId="70" fillId="12" borderId="641" xfId="3" applyNumberFormat="1" applyFont="1" applyFill="1" applyBorder="1" applyAlignment="1">
      <x:alignment horizontal="center" vertical="center" wrapText="0"/>
    </x:xf>
    <x:xf numFmtId="0" fontId="70" fillId="12" borderId="642" xfId="3" applyNumberFormat="1" applyFont="1" applyFill="1" applyBorder="1" applyAlignment="1">
      <x:alignment horizontal="center" vertical="center" wrapText="0"/>
    </x:xf>
    <x:xf numFmtId="0" fontId="69" fillId="12" borderId="650" xfId="3" applyNumberFormat="1" applyFont="1" applyFill="1" applyBorder="1" applyAlignment="1">
      <x:alignment vertical="center" wrapText="1"/>
    </x:xf>
    <x:xf numFmtId="0" fontId="69" fillId="12" borderId="651" xfId="3" applyNumberFormat="1" applyFont="1" applyFill="1" applyBorder="1" applyAlignment="1">
      <x:alignment vertical="center" wrapText="1"/>
    </x:xf>
    <x:xf numFmtId="0" fontId="70" fillId="12" borderId="650" xfId="3" applyNumberFormat="1" applyFont="1" applyFill="1" applyBorder="1" applyAlignment="1">
      <x:alignment vertical="center" wrapText="1"/>
    </x:xf>
    <x:xf numFmtId="0" fontId="70" fillId="12" borderId="651" xfId="3" applyNumberFormat="1" applyFont="1" applyFill="1" applyBorder="1" applyAlignment="1">
      <x:alignment vertical="center" wrapText="1"/>
    </x:xf>
    <x:xf numFmtId="0" fontId="70" fillId="12" borderId="650" xfId="3" applyNumberFormat="1" applyFont="1" applyFill="1" applyBorder="1" applyAlignment="1">
      <x:alignment horizontal="center" vertical="center" wrapText="1"/>
    </x:xf>
    <x:xf numFmtId="0" fontId="70" fillId="12" borderId="651" xfId="3" applyNumberFormat="1" applyFont="1" applyFill="1" applyBorder="1" applyAlignment="1">
      <x:alignment horizontal="center" vertical="center" wrapText="1"/>
    </x:xf>
    <x:xf numFmtId="0" fontId="70" fillId="12" borderId="641" xfId="3" applyNumberFormat="1" applyFont="1" applyFill="1" applyBorder="1" applyAlignment="1">
      <x:alignment horizontal="center" vertical="center" wrapText="1"/>
    </x:xf>
    <x:xf numFmtId="0" fontId="70" fillId="12" borderId="642" xfId="3" applyNumberFormat="1" applyFont="1" applyFill="1" applyBorder="1" applyAlignment="1">
      <x:alignment horizontal="center" vertical="center" wrapText="1"/>
    </x:xf>
    <x:xf numFmtId="224" fontId="70" fillId="12" borderId="652" xfId="3" applyNumberFormat="1" applyFont="1" applyFill="1" applyBorder="1" applyAlignment="1">
      <x:alignment vertical="center" wrapText="0"/>
    </x:xf>
    <x:xf numFmtId="0" fontId="70" fillId="12" borderId="652" xfId="3" applyNumberFormat="1" applyFont="1" applyFill="1" applyBorder="1" applyAlignment="1">
      <x:alignment vertical="center" wrapText="0"/>
    </x:xf>
    <x:xf numFmtId="0" fontId="70" fillId="12" borderId="652" xfId="3" applyNumberFormat="1" applyFont="1" applyFill="1" applyBorder="1" applyAlignment="1">
      <x:alignment vertical="center" wrapText="1"/>
    </x:xf>
    <x:xf numFmtId="224" fontId="70" fillId="12" borderId="652" xfId="3" applyNumberFormat="1" applyFont="1" applyFill="1" applyBorder="1" applyAlignment="1">
      <x:alignment horizontal="center" vertical="center" wrapText="0"/>
    </x:xf>
    <x:xf numFmtId="0" fontId="70" fillId="12" borderId="652" xfId="3" applyNumberFormat="1" applyFont="1" applyFill="1" applyBorder="1" applyAlignment="1">
      <x:alignment horizontal="center" vertical="center" wrapText="0"/>
    </x:xf>
    <x:xf numFmtId="0" fontId="70" fillId="12" borderId="652" xfId="3" applyNumberFormat="1" applyFont="1" applyFill="1" applyBorder="1" applyAlignment="1">
      <x:alignment horizontal="center" vertical="center" wrapText="1"/>
    </x:xf>
    <x:xf numFmtId="224" fontId="70" fillId="12" borderId="655" xfId="3" applyNumberFormat="1" applyFont="1" applyFill="1" applyBorder="1" applyAlignment="1">
      <x:alignment horizontal="center" vertical="center" wrapText="0"/>
    </x:xf>
    <x:xf numFmtId="0" fontId="70" fillId="12" borderId="655" xfId="3" applyNumberFormat="1" applyFont="1" applyFill="1" applyBorder="1" applyAlignment="1">
      <x:alignment horizontal="center" vertical="center" wrapText="0"/>
    </x:xf>
    <x:xf numFmtId="0" fontId="70" fillId="12" borderId="655" xfId="3" applyNumberFormat="1" applyFont="1" applyFill="1" applyBorder="1" applyAlignment="1">
      <x:alignment horizontal="center" vertical="center" wrapText="1"/>
    </x:xf>
    <x:xf numFmtId="0" fontId="70" fillId="12" borderId="647" xfId="3" applyNumberFormat="1" applyFont="1" applyFill="1" applyBorder="1" applyAlignment="1">
      <x:alignment vertical="center" wrapText="1"/>
    </x:xf>
    <x:xf numFmtId="0" fontId="70" fillId="12" borderId="647" xfId="3" applyNumberFormat="1" applyFont="1" applyFill="1" applyBorder="1" applyAlignment="1">
      <x:alignment horizontal="center" vertical="center" wrapText="1"/>
    </x:xf>
    <x:xf numFmtId="0" fontId="70" fillId="12" borderId="640" xfId="3" applyNumberFormat="1" applyFont="1" applyFill="1" applyBorder="1" applyAlignment="1">
      <x:alignment horizontal="center" vertical="center" wrapText="1"/>
    </x:xf>
    <x:xf numFmtId="0" fontId="70" fillId="10" borderId="641" xfId="3" applyNumberFormat="1" applyFont="1" applyFill="1" applyBorder="1" applyAlignment="1">
      <x:alignment vertical="center" wrapText="1"/>
    </x:xf>
    <x:xf numFmtId="224" fontId="70" fillId="10" borderId="642" xfId="3" applyNumberFormat="1" applyFont="1" applyFill="1" applyBorder="1" applyAlignment="1">
      <x:alignment vertical="center" wrapText="0"/>
    </x:xf>
    <x:xf numFmtId="224" fontId="80" fillId="10" borderId="651" xfId="3" applyNumberFormat="1" applyFont="1" applyFill="1" applyBorder="1" applyAlignment="1">
      <x:alignment vertical="center" wrapText="0"/>
    </x:xf>
    <x:xf numFmtId="0" fontId="70" fillId="10" borderId="643" xfId="3" applyNumberFormat="1" applyFont="1" applyFill="1" applyBorder="1" applyAlignment="1">
      <x:alignment vertical="center" wrapText="0"/>
    </x:xf>
    <x:xf numFmtId="224" fontId="70" fillId="10" borderId="653" xfId="3" applyNumberFormat="1" applyFont="1" applyFill="1" applyBorder="1" applyAlignment="1">
      <x:alignment vertical="center" wrapText="0"/>
    </x:xf>
    <x:xf numFmtId="224" fontId="70" fillId="10" borderId="653" xfId="3" applyNumberFormat="1" applyFont="1" applyFill="1" applyBorder="1" applyAlignment="1">
      <x:alignment vertical="center" wrapText="1"/>
    </x:xf>
    <x:xf numFmtId="0" fontId="70" fillId="10" borderId="650" xfId="3" applyNumberFormat="1" applyFont="1" applyFill="1" applyBorder="1" applyAlignment="1">
      <x:alignment vertical="center" wrapText="0"/>
    </x:xf>
    <x:xf numFmtId="224" fontId="70" fillId="10" borderId="656" xfId="3" applyNumberFormat="1" applyFont="1" applyFill="1" applyBorder="1" applyAlignment="1">
      <x:alignment vertical="center" wrapText="0"/>
    </x:xf>
    <x:xf numFmtId="224" fontId="70" fillId="10" borderId="656" xfId="3" applyNumberFormat="1" applyFont="1" applyFill="1" applyBorder="1" applyAlignment="1">
      <x:alignment vertical="center" wrapText="1"/>
    </x:xf>
    <x:xf numFmtId="0" fontId="69" fillId="10" borderId="656" xfId="3" applyNumberFormat="1" applyFont="1" applyFill="1" applyBorder="1" applyAlignment="1">
      <x:alignment vertical="center" wrapText="1"/>
    </x:xf>
    <x:xf numFmtId="224" fontId="79" fillId="10" borderId="653" xfId="3" applyNumberFormat="1" applyFont="1" applyFill="1" applyBorder="1" applyAlignment="1">
      <x:alignment vertical="center" wrapText="1"/>
    </x:xf>
    <x:xf numFmtId="0" fontId="69" fillId="10" borderId="653" xfId="3" applyNumberFormat="1" applyFont="1" applyFill="1" applyBorder="1" applyAlignment="1">
      <x:alignment vertical="center" wrapText="1"/>
    </x:xf>
    <x:xf numFmtId="226" fontId="69" fillId="10" borderId="653" xfId="3" applyNumberFormat="1" applyFont="1" applyFill="1" applyBorder="1" applyAlignment="1">
      <x:alignment vertical="center" wrapText="1"/>
    </x:xf>
    <x:xf numFmtId="0" fontId="69" fillId="10" borderId="644" xfId="3" applyNumberFormat="1" applyFont="1" applyFill="1" applyBorder="1" applyAlignment="1">
      <x:alignment vertical="center" wrapText="1"/>
    </x:xf>
    <x:xf numFmtId="225" fontId="79" fillId="10" borderId="653" xfId="3" applyNumberFormat="1" applyFont="1" applyFill="1" applyBorder="1" applyAlignment="1">
      <x:alignment vertical="center" wrapText="1"/>
    </x:xf>
    <x:xf numFmtId="224" fontId="79" fillId="10" borderId="654" xfId="3" applyNumberFormat="1" applyFont="1" applyFill="1" applyBorder="1" applyAlignment="1">
      <x:alignment vertical="center" wrapText="1"/>
    </x:xf>
    <x:xf numFmtId="0" fontId="69" fillId="10" borderId="654" xfId="3" applyNumberFormat="1" applyFont="1" applyFill="1" applyBorder="1" applyAlignment="1">
      <x:alignment vertical="center" wrapText="1"/>
    </x:xf>
    <x:xf numFmtId="226" fontId="69" fillId="10" borderId="654" xfId="3" applyNumberFormat="1" applyFont="1" applyFill="1" applyBorder="1" applyAlignment="1">
      <x:alignment vertical="center" wrapText="1"/>
    </x:xf>
    <x:xf numFmtId="0" fontId="69" fillId="10" borderId="646" xfId="3" applyNumberFormat="1" applyFont="1" applyFill="1" applyBorder="1" applyAlignment="1">
      <x:alignment vertical="center" wrapText="1"/>
    </x:xf>
    <x:xf numFmtId="0" fontId="69" fillId="12" borderId="656" xfId="3" applyNumberFormat="1" applyFont="1" applyFill="1" applyBorder="1" applyAlignment="1">
      <x:alignment vertical="center" wrapText="1"/>
    </x:xf>
    <x:xf numFmtId="0" fontId="70" fillId="12" borderId="656" xfId="3" applyNumberFormat="1" applyFont="1" applyFill="1" applyBorder="1" applyAlignment="1">
      <x:alignment vertical="center" wrapText="1"/>
    </x:xf>
    <x:xf numFmtId="0" fontId="70" fillId="12" borderId="656" xfId="3" applyNumberFormat="1" applyFont="1" applyFill="1" applyBorder="1" applyAlignment="1">
      <x:alignment horizontal="center" vertical="center" wrapText="1"/>
    </x:xf>
    <x:xf numFmtId="224" fontId="81" fillId="10" borderId="639" xfId="3" applyNumberFormat="1" applyFont="1" applyFill="1" applyBorder="1" applyAlignment="1">
      <x:alignment vertical="center" wrapText="0"/>
    </x:xf>
    <x:xf numFmtId="223" fontId="69" fillId="10" borderId="639" xfId="3" applyNumberFormat="1" applyFont="1" applyFill="1" applyBorder="1" applyAlignment="1">
      <x:alignment vertical="center" wrapText="0"/>
    </x:xf>
    <x:xf numFmtId="223" fontId="72" fillId="10" borderId="639" xfId="3" applyNumberFormat="1" applyFont="1" applyFill="1" applyBorder="1" applyAlignment="1">
      <x:alignment vertical="center" wrapText="0"/>
    </x:xf>
    <x:xf numFmtId="0" fontId="69" fillId="12" borderId="639" xfId="3" applyNumberFormat="1" applyFont="1" applyFill="1" applyBorder="1" applyAlignment="1">
      <x:alignment vertical="center" wrapText="1"/>
    </x:xf>
    <x:xf numFmtId="0" fontId="70" fillId="12" borderId="639" xfId="3" applyNumberFormat="1" applyFont="1" applyFill="1" applyBorder="1" applyAlignment="1">
      <x:alignment vertical="center" wrapText="1"/>
    </x:xf>
    <x:xf numFmtId="0" fontId="70" fillId="12" borderId="639" xfId="3" applyNumberFormat="1" applyFont="1" applyFill="1" applyBorder="1" applyAlignment="1">
      <x:alignment horizontal="center" vertical="center" wrapText="1"/>
    </x:xf>
    <x:xf numFmtId="224" fontId="77" fillId="10" borderId="653" xfId="3" applyNumberFormat="1" applyFont="1" applyFill="1" applyBorder="1" applyAlignment="1">
      <x:alignment vertical="center" wrapText="0"/>
    </x:xf>
    <x:xf numFmtId="224" fontId="81" fillId="10" borderId="644" xfId="3" applyNumberFormat="1" applyFont="1" applyFill="1" applyBorder="1" applyAlignment="1">
      <x:alignment vertical="center" wrapText="0"/>
    </x:xf>
    <x:xf numFmtId="224" fontId="77" fillId="10" borderId="654" xfId="3" applyNumberFormat="1" applyFont="1" applyFill="1" applyBorder="1" applyAlignment="1">
      <x:alignment vertical="center" wrapText="0"/>
    </x:xf>
    <x:xf numFmtId="224" fontId="81" fillId="10" borderId="646" xfId="3" applyNumberFormat="1" applyFont="1" applyFill="1" applyBorder="1" applyAlignment="1">
      <x:alignment vertical="center" wrapText="0"/>
    </x:xf>
    <x:xf numFmtId="0" fontId="82" fillId="10" borderId="639" xfId="3" applyNumberFormat="1" applyFont="1" applyFill="1" applyBorder="1" applyAlignment="1">
      <x:alignment vertical="center" wrapText="0"/>
    </x:xf>
    <x:xf numFmtId="223" fontId="82" fillId="10" borderId="639" xfId="3" applyNumberFormat="1" applyFont="1" applyFill="1" applyBorder="1" applyAlignment="1">
      <x:alignment vertical="center" wrapText="0"/>
    </x:xf>
    <x:xf numFmtId="0" fontId="82" fillId="10" borderId="657" xfId="3" applyNumberFormat="1" applyFont="1" applyFill="1" applyBorder="1" applyAlignment="1">
      <x:alignment vertical="center" wrapText="0"/>
    </x:xf>
    <x:xf numFmtId="223" fontId="82" fillId="10" borderId="657" xfId="3" applyNumberFormat="1" applyFont="1" applyFill="1" applyBorder="1" applyAlignment="1">
      <x:alignment vertical="center" wrapText="0"/>
    </x:xf>
    <x:xf numFmtId="224" fontId="77" fillId="10" borderId="639" xfId="3" applyNumberFormat="1" applyFont="1" applyFill="1" applyBorder="1" applyAlignment="1">
      <x:alignment vertical="center" wrapText="1"/>
    </x:xf>
    <x:xf numFmtId="224" fontId="77" fillId="10" borderId="653" xfId="3" applyNumberFormat="1" applyFont="1" applyFill="1" applyBorder="1" applyAlignment="1">
      <x:alignment vertical="center" wrapText="1"/>
    </x:xf>
    <x:xf numFmtId="224" fontId="77" fillId="10" borderId="654" xfId="3" applyNumberFormat="1" applyFont="1" applyFill="1" applyBorder="1" applyAlignment="1">
      <x:alignment vertical="center" wrapText="1"/>
    </x:xf>
    <x:xf numFmtId="224" fontId="69" fillId="10" borderId="654" xfId="3" applyNumberFormat="1" applyFont="1" applyFill="1" applyBorder="1" applyAlignment="1">
      <x:alignment vertical="center" wrapText="1"/>
    </x:xf>
    <x:xf numFmtId="224" fontId="81" fillId="10" borderId="639" xfId="3" applyNumberFormat="1" applyFont="1" applyFill="1" applyBorder="1" applyAlignment="1">
      <x:alignment vertical="center" wrapText="1"/>
    </x:xf>
    <x:xf numFmtId="226" fontId="69" fillId="10" borderId="643" xfId="3" applyNumberFormat="1" applyFont="1" applyFill="1" applyBorder="1" applyAlignment="1">
      <x:alignment vertical="center" wrapText="1"/>
    </x:xf>
    <x:xf numFmtId="224" fontId="81" fillId="10" borderId="653" xfId="3" applyNumberFormat="1" applyFont="1" applyFill="1" applyBorder="1" applyAlignment="1">
      <x:alignment vertical="center" wrapText="1"/>
    </x:xf>
    <x:xf numFmtId="226" fontId="69" fillId="10" borderId="645" xfId="3" applyNumberFormat="1" applyFont="1" applyFill="1" applyBorder="1" applyAlignment="1">
      <x:alignment vertical="center" wrapText="1"/>
    </x:xf>
    <x:xf numFmtId="224" fontId="83" fillId="10" borderId="651" xfId="3" applyNumberFormat="1" applyFont="1" applyFill="1" applyBorder="1" applyAlignment="1">
      <x:alignment vertical="center" wrapText="0"/>
    </x:xf>
    <x:xf numFmtId="0" fontId="69" fillId="10" borderId="639" xfId="3" applyNumberFormat="1" applyFont="1" applyFill="1" applyBorder="1" applyAlignment="1">
      <x:alignment wrapText="1"/>
    </x:xf>
    <x:xf numFmtId="0" fontId="69" fillId="10" borderId="650" xfId="3" applyNumberFormat="1" applyFont="1" applyFill="1" applyBorder="1" applyAlignment="1">
      <x:alignment vertical="top" wrapText="1"/>
    </x:xf>
    <x:xf numFmtId="0" fontId="69" fillId="10" borderId="656" xfId="3" applyNumberFormat="1" applyFont="1" applyFill="1" applyBorder="1" applyAlignment="1">
      <x:alignment vertical="top" wrapText="1"/>
    </x:xf>
    <x:xf numFmtId="0" fontId="69" fillId="10" borderId="651" xfId="3" applyNumberFormat="1" applyFont="1" applyFill="1" applyBorder="1" applyAlignment="1">
      <x:alignment vertical="top" wrapText="1"/>
    </x:xf>
    <x:xf numFmtId="0" fontId="69" fillId="10" borderId="653" xfId="3" applyNumberFormat="1" applyFont="1" applyFill="1" applyBorder="1" applyAlignment="1">
      <x:alignment vertical="top" wrapText="1"/>
    </x:xf>
    <x:xf numFmtId="0" fontId="69" fillId="10" borderId="654" xfId="3" applyNumberFormat="1" applyFont="1" applyFill="1" applyBorder="1" applyAlignment="1">
      <x:alignment vertical="top" wrapText="1"/>
    </x:xf>
    <x:xf numFmtId="0" fontId="69" fillId="10" borderId="658" xfId="3" applyNumberFormat="1" applyFont="1" applyFill="1" applyBorder="1" applyAlignment="1">
      <x:alignment vertical="top" wrapText="1"/>
    </x:xf>
    <x:xf numFmtId="0" fontId="69" fillId="10" borderId="659" xfId="3" applyNumberFormat="1" applyFont="1" applyFill="1" applyBorder="1" applyAlignment="1">
      <x:alignment vertical="top" wrapText="1"/>
    </x:xf>
    <x:xf numFmtId="0" fontId="69" fillId="10" borderId="660" xfId="3" applyNumberFormat="1" applyFont="1" applyFill="1" applyBorder="1" applyAlignment="1">
      <x:alignment vertical="top" wrapText="1"/>
    </x:xf>
    <x:xf numFmtId="0" fontId="69" fillId="12" borderId="650" xfId="3" applyNumberFormat="1" applyFont="1" applyFill="1" applyBorder="1" applyAlignment="1">
      <x:alignment vertical="top" wrapText="1"/>
    </x:xf>
    <x:xf numFmtId="0" fontId="69" fillId="12" borderId="656" xfId="3" applyNumberFormat="1" applyFont="1" applyFill="1" applyBorder="1" applyAlignment="1">
      <x:alignment vertical="top" wrapText="1"/>
    </x:xf>
    <x:xf numFmtId="0" fontId="69" fillId="12" borderId="651" xfId="3" applyNumberFormat="1" applyFont="1" applyFill="1" applyBorder="1" applyAlignment="1">
      <x:alignment vertical="top" wrapText="1"/>
    </x:xf>
    <x:xf numFmtId="0" fontId="70" fillId="12" borderId="650" xfId="3" applyNumberFormat="1" applyFont="1" applyFill="1" applyBorder="1" applyAlignment="1">
      <x:alignment vertical="top" wrapText="1"/>
    </x:xf>
    <x:xf numFmtId="0" fontId="70" fillId="12" borderId="656" xfId="3" applyNumberFormat="1" applyFont="1" applyFill="1" applyBorder="1" applyAlignment="1">
      <x:alignment vertical="top" wrapText="1"/>
    </x:xf>
    <x:xf numFmtId="0" fontId="70" fillId="12" borderId="651" xfId="3" applyNumberFormat="1" applyFont="1" applyFill="1" applyBorder="1" applyAlignment="1">
      <x:alignment vertical="top" wrapText="1"/>
    </x:xf>
    <x:xf numFmtId="0" fontId="70" fillId="12" borderId="650" xfId="3" applyNumberFormat="1" applyFont="1" applyFill="1" applyBorder="1" applyAlignment="1">
      <x:alignment horizontal="center" vertical="top" wrapText="1"/>
    </x:xf>
    <x:xf numFmtId="0" fontId="70" fillId="12" borderId="656" xfId="3" applyNumberFormat="1" applyFont="1" applyFill="1" applyBorder="1" applyAlignment="1">
      <x:alignment horizontal="center" vertical="top" wrapText="1"/>
    </x:xf>
    <x:xf numFmtId="0" fontId="70" fillId="12" borderId="651" xfId="3" applyNumberFormat="1" applyFont="1" applyFill="1" applyBorder="1" applyAlignment="1">
      <x:alignment horizontal="center" vertical="top" wrapText="1"/>
    </x:xf>
    <x:xf numFmtId="0" fontId="70" fillId="12" borderId="655" xfId="3" applyNumberFormat="1" applyFont="1" applyFill="1" applyBorder="1" applyAlignment="1">
      <x:alignment horizontal="center" vertical="top" wrapText="1"/>
    </x:xf>
    <x:xf numFmtId="0" fontId="69" fillId="12" borderId="658" xfId="3" applyNumberFormat="1" applyFont="1" applyFill="1" applyBorder="1" applyAlignment="1">
      <x:alignment vertical="top" wrapText="1"/>
    </x:xf>
    <x:xf numFmtId="0" fontId="70" fillId="12" borderId="658" xfId="3" applyNumberFormat="1" applyFont="1" applyFill="1" applyBorder="1" applyAlignment="1">
      <x:alignment vertical="top" wrapText="1"/>
    </x:xf>
    <x:xf numFmtId="0" fontId="70" fillId="12" borderId="658" xfId="3" applyNumberFormat="1" applyFont="1" applyFill="1" applyBorder="1" applyAlignment="1">
      <x:alignment horizontal="center" vertical="top" wrapText="1"/>
    </x:xf>
    <x:xf numFmtId="0" fontId="70" fillId="12" borderId="661" xfId="3" applyNumberFormat="1" applyFont="1" applyFill="1" applyBorder="1" applyAlignment="1">
      <x:alignment horizontal="center" vertical="top" wrapText="1"/>
    </x:xf>
    <x:xf numFmtId="224" fontId="69" fillId="10" borderId="639" xfId="3" applyNumberFormat="1" applyFont="1" applyFill="1" applyBorder="1" applyAlignment="1">
      <x:alignment vertical="top" wrapText="1"/>
    </x:xf>
    <x:xf numFmtId="224" fontId="79" fillId="10" borderId="639" xfId="3" applyNumberFormat="1" applyFont="1" applyFill="1" applyBorder="1" applyAlignment="1">
      <x:alignment vertical="top" wrapText="1"/>
    </x:xf>
    <x:xf numFmtId="226" fontId="69" fillId="10" borderId="639" xfId="3" applyNumberFormat="1" applyFont="1" applyFill="1" applyBorder="1" applyAlignment="1">
      <x:alignment vertical="top" wrapText="1"/>
    </x:xf>
    <x:xf numFmtId="224" fontId="79" fillId="10" borderId="653" xfId="3" applyNumberFormat="1" applyFont="1" applyFill="1" applyBorder="1" applyAlignment="1">
      <x:alignment vertical="top" wrapText="1"/>
    </x:xf>
    <x:xf numFmtId="226" fontId="69" fillId="10" borderId="653" xfId="3" applyNumberFormat="1" applyFont="1" applyFill="1" applyBorder="1" applyAlignment="1">
      <x:alignment vertical="top" wrapText="1"/>
    </x:xf>
    <x:xf numFmtId="224" fontId="79" fillId="10" borderId="654" xfId="3" applyNumberFormat="1" applyFont="1" applyFill="1" applyBorder="1" applyAlignment="1">
      <x:alignment vertical="top" wrapText="1"/>
    </x:xf>
    <x:xf numFmtId="226" fontId="69" fillId="10" borderId="654" xfId="3" applyNumberFormat="1" applyFont="1" applyFill="1" applyBorder="1" applyAlignment="1">
      <x:alignment vertical="top" wrapText="1"/>
    </x:xf>
    <x:xf numFmtId="224" fontId="77" fillId="10" borderId="639" xfId="3" applyNumberFormat="1" applyFont="1" applyFill="1" applyBorder="1" applyAlignment="1">
      <x:alignment vertical="top" wrapText="1"/>
    </x:xf>
    <x:xf numFmtId="224" fontId="81" fillId="10" borderId="639" xfId="3" applyNumberFormat="1" applyFont="1" applyFill="1" applyBorder="1" applyAlignment="1">
      <x:alignment vertical="top" wrapText="1"/>
    </x:xf>
    <x:xf numFmtId="224" fontId="69" fillId="12" borderId="639" xfId="3" applyNumberFormat="1" applyFont="1" applyFill="1" applyBorder="1" applyAlignment="1">
      <x:alignment vertical="top" wrapText="1"/>
    </x:xf>
    <x:xf numFmtId="226" fontId="69" fillId="12" borderId="639" xfId="3" applyNumberFormat="1" applyFont="1" applyFill="1" applyBorder="1" applyAlignment="1">
      <x:alignment vertical="top" wrapText="1"/>
    </x:xf>
    <x:xf numFmtId="224" fontId="70" fillId="12" borderId="639" xfId="3" applyNumberFormat="1" applyFont="1" applyFill="1" applyBorder="1" applyAlignment="1">
      <x:alignment vertical="top" wrapText="1"/>
    </x:xf>
    <x:xf numFmtId="226" fontId="70" fillId="12" borderId="639" xfId="3" applyNumberFormat="1" applyFont="1" applyFill="1" applyBorder="1" applyAlignment="1">
      <x:alignment vertical="top" wrapText="1"/>
    </x:xf>
    <x:xf numFmtId="224" fontId="70" fillId="12" borderId="639" xfId="3" applyNumberFormat="1" applyFont="1" applyFill="1" applyBorder="1" applyAlignment="1">
      <x:alignment horizontal="center" vertical="top" wrapText="1"/>
    </x:xf>
    <x:xf numFmtId="226" fontId="70" fillId="12" borderId="639" xfId="3" applyNumberFormat="1" applyFont="1" applyFill="1" applyBorder="1" applyAlignment="1">
      <x:alignment horizontal="center" vertical="top" wrapText="1"/>
    </x:xf>
    <x:xf numFmtId="224" fontId="70" fillId="12" borderId="640" xfId="3" applyNumberFormat="1" applyFont="1" applyFill="1" applyBorder="1" applyAlignment="1">
      <x:alignment horizontal="center" vertical="top" wrapText="1"/>
    </x:xf>
    <x:xf numFmtId="226" fontId="70" fillId="12" borderId="640" xfId="3" applyNumberFormat="1" applyFont="1" applyFill="1" applyBorder="1" applyAlignment="1">
      <x:alignment horizontal="center" vertical="top" wrapText="1"/>
    </x:xf>
    <x:xf numFmtId="224" fontId="77" fillId="10" borderId="653" xfId="3" applyNumberFormat="1" applyFont="1" applyFill="1" applyBorder="1" applyAlignment="1">
      <x:alignment vertical="top" wrapText="1"/>
    </x:xf>
    <x:xf numFmtId="224" fontId="81" fillId="10" borderId="654" xfId="3" applyNumberFormat="1" applyFont="1" applyFill="1" applyBorder="1" applyAlignment="1">
      <x:alignment vertical="top" wrapText="1"/>
    </x:xf>
    <x:xf numFmtId="224" fontId="70" fillId="12" borderId="655" xfId="3" applyNumberFormat="1" applyFont="1" applyFill="1" applyBorder="1" applyAlignment="1">
      <x:alignment horizontal="center" vertical="top" wrapText="1"/>
    </x:xf>
    <x:xf numFmtId="226" fontId="70" fillId="12" borderId="655" xfId="3" applyNumberFormat="1" applyFont="1" applyFill="1" applyBorder="1" applyAlignment="1">
      <x:alignment horizontal="center" vertical="top" wrapText="1"/>
    </x:xf>
    <x:xf numFmtId="224" fontId="81" fillId="10" borderId="653" xfId="3" applyNumberFormat="1" applyFont="1" applyFill="1" applyBorder="1" applyAlignment="1">
      <x:alignment vertical="top" wrapText="1"/>
    </x:xf>
    <x:xf numFmtId="0" fontId="69" fillId="10" borderId="641" xfId="3" applyNumberFormat="1" applyFont="1" applyFill="1" applyBorder="1" applyAlignment="1">
      <x:alignment vertical="top" wrapText="1"/>
    </x:xf>
    <x:xf numFmtId="224" fontId="77" fillId="10" borderId="655" xfId="3" applyNumberFormat="1" applyFont="1" applyFill="1" applyBorder="1" applyAlignment="1">
      <x:alignment vertical="top" wrapText="1"/>
    </x:xf>
    <x:xf numFmtId="226" fontId="69" fillId="10" borderId="655" xfId="3" applyNumberFormat="1" applyFont="1" applyFill="1" applyBorder="1" applyAlignment="1">
      <x:alignment vertical="top" wrapText="1"/>
    </x:xf>
    <x:xf numFmtId="0" fontId="69" fillId="10" borderId="655" xfId="3" applyNumberFormat="1" applyFont="1" applyFill="1" applyBorder="1" applyAlignment="1">
      <x:alignment vertical="top" wrapText="1"/>
    </x:xf>
    <x:xf numFmtId="0" fontId="69" fillId="10" borderId="642" xfId="3" applyNumberFormat="1" applyFont="1" applyFill="1" applyBorder="1" applyAlignment="1">
      <x:alignment vertical="top" wrapText="1"/>
    </x:xf>
    <x:xf numFmtId="224" fontId="83" fillId="10" borderId="654" xfId="3" applyNumberFormat="1" applyFont="1" applyFill="1" applyBorder="1" applyAlignment="1">
      <x:alignment vertical="top" wrapText="1"/>
    </x:xf>
    <x:xf numFmtId="226" fontId="70" fillId="10" borderId="654" xfId="3" applyNumberFormat="1" applyFont="1" applyFill="1" applyBorder="1" applyAlignment="1">
      <x:alignment vertical="top" wrapText="1"/>
    </x:xf>
    <x:xf numFmtId="0" fontId="70" fillId="10" borderId="654" xfId="3" applyNumberFormat="1" applyFont="1" applyFill="1" applyBorder="1" applyAlignment="1">
      <x:alignment vertical="top" wrapText="1"/>
    </x:xf>
    <x:xf numFmtId="0" fontId="70" fillId="10" borderId="646" xfId="3" applyNumberFormat="1" applyFont="1" applyFill="1" applyBorder="1" applyAlignment="1">
      <x:alignment vertical="top" wrapText="1"/>
    </x:xf>
    <x:xf numFmtId="0" fontId="70" fillId="10" borderId="641" xfId="3" applyNumberFormat="1" applyFont="1" applyFill="1" applyBorder="1" applyAlignment="1">
      <x:alignment vertical="top" wrapText="1"/>
    </x:xf>
    <x:xf numFmtId="224" fontId="83" fillId="10" borderId="655" xfId="3" applyNumberFormat="1" applyFont="1" applyFill="1" applyBorder="1" applyAlignment="1">
      <x:alignment vertical="top" wrapText="1"/>
    </x:xf>
    <x:xf numFmtId="226" fontId="70" fillId="10" borderId="655" xfId="3" applyNumberFormat="1" applyFont="1" applyFill="1" applyBorder="1" applyAlignment="1">
      <x:alignment vertical="top" wrapText="1"/>
    </x:xf>
    <x:xf numFmtId="0" fontId="70" fillId="10" borderId="655" xfId="3" applyNumberFormat="1" applyFont="1" applyFill="1" applyBorder="1" applyAlignment="1">
      <x:alignment vertical="top" wrapText="1"/>
    </x:xf>
    <x:xf numFmtId="0" fontId="70" fillId="10" borderId="642" xfId="3" applyNumberFormat="1" applyFont="1" applyFill="1" applyBorder="1" applyAlignment="1">
      <x:alignment vertical="top" wrapText="1"/>
    </x:xf>
    <x:xf numFmtId="224" fontId="83" fillId="10" borderId="653" xfId="3" applyNumberFormat="1" applyFont="1" applyFill="1" applyBorder="1" applyAlignment="1">
      <x:alignment vertical="top" wrapText="1"/>
    </x:xf>
    <x:xf numFmtId="226" fontId="70" fillId="10" borderId="653" xfId="3" applyNumberFormat="1" applyFont="1" applyFill="1" applyBorder="1" applyAlignment="1">
      <x:alignment vertical="top" wrapText="1"/>
    </x:xf>
    <x:xf numFmtId="0" fontId="70" fillId="10" borderId="653" xfId="3" applyNumberFormat="1" applyFont="1" applyFill="1" applyBorder="1" applyAlignment="1">
      <x:alignment vertical="top" wrapText="1"/>
    </x:xf>
    <x:xf numFmtId="0" fontId="70" fillId="10" borderId="644" xfId="3" applyNumberFormat="1" applyFont="1" applyFill="1" applyBorder="1" applyAlignment="1">
      <x:alignment vertical="top" wrapText="1"/>
    </x:xf>
    <x:xf numFmtId="0" fontId="70" fillId="10" borderId="650" xfId="3" applyNumberFormat="1" applyFont="1" applyFill="1" applyBorder="1" applyAlignment="1">
      <x:alignment vertical="top" wrapText="1"/>
    </x:xf>
    <x:xf numFmtId="224" fontId="83" fillId="10" borderId="656" xfId="3" applyNumberFormat="1" applyFont="1" applyFill="1" applyBorder="1" applyAlignment="1">
      <x:alignment vertical="top" wrapText="1"/>
    </x:xf>
    <x:xf numFmtId="226" fontId="70" fillId="10" borderId="656" xfId="3" applyNumberFormat="1" applyFont="1" applyFill="1" applyBorder="1" applyAlignment="1">
      <x:alignment vertical="top" wrapText="1"/>
    </x:xf>
    <x:xf numFmtId="0" fontId="70" fillId="10" borderId="656" xfId="3" applyNumberFormat="1" applyFont="1" applyFill="1" applyBorder="1" applyAlignment="1">
      <x:alignment vertical="top" wrapText="1"/>
    </x:xf>
    <x:xf numFmtId="0" fontId="70" fillId="10" borderId="651" xfId="3" applyNumberFormat="1" applyFont="1" applyFill="1" applyBorder="1" applyAlignment="1">
      <x:alignment vertical="top" wrapText="1"/>
    </x:xf>
    <x:xf numFmtId="0" fontId="67" fillId="10" borderId="639" xfId="3" applyNumberFormat="1" applyFont="1" applyFill="1" applyBorder="1" applyAlignment="1">
      <x:alignment wrapText="0"/>
    </x:xf>
    <x:xf numFmtId="0" fontId="84" fillId="10" borderId="639" xfId="3" applyNumberFormat="1" applyFont="1" applyFill="1" applyBorder="1" applyAlignment="1">
      <x:alignment wrapText="0"/>
    </x:xf>
    <x:xf numFmtId="0" fontId="85" fillId="10" borderId="639" xfId="3" applyNumberFormat="1" applyFont="1" applyFill="1" applyBorder="1" applyAlignment="1">
      <x:alignment wrapText="0"/>
    </x:xf>
    <x:xf numFmtId="224" fontId="75" fillId="10" borderId="639" xfId="3" applyNumberFormat="1" applyFont="1" applyFill="1" applyBorder="1"/>
    <x:xf numFmtId="224" fontId="86" fillId="10" borderId="639" xfId="3" applyNumberFormat="1" applyFont="1" applyFill="1" applyBorder="1"/>
    <x:xf numFmtId="223" fontId="67" fillId="10" borderId="639" xfId="3" applyNumberFormat="1" applyFont="1" applyFill="1" applyBorder="1"/>
    <x:xf numFmtId="223" fontId="75" fillId="10" borderId="639" xfId="3" applyNumberFormat="1" applyFont="1" applyFill="1" applyBorder="1"/>
    <x:xf numFmtId="227" fontId="86" fillId="10" borderId="639" xfId="3" applyNumberFormat="1" applyFont="1" applyFill="1" applyBorder="1"/>
    <x:xf numFmtId="224" fontId="76" fillId="10" borderId="639" xfId="3" applyNumberFormat="1" applyFont="1" applyFill="1" applyBorder="1"/>
    <x:xf numFmtId="224" fontId="87" fillId="10" borderId="639" xfId="3" applyNumberFormat="1" applyFont="1" applyFill="1" applyBorder="1"/>
    <x:xf numFmtId="223" fontId="76" fillId="10" borderId="639" xfId="3" applyNumberFormat="1" applyFont="1" applyFill="1" applyBorder="1"/>
    <x:xf numFmtId="227" fontId="87" fillId="10" borderId="639" xfId="3" applyNumberFormat="1" applyFont="1" applyFill="1" applyBorder="1"/>
    <x:xf numFmtId="224" fontId="77" fillId="10" borderId="639" xfId="3" applyNumberFormat="1" applyFont="1" applyFill="1" applyBorder="1"/>
    <x:xf numFmtId="224" fontId="81" fillId="10" borderId="639" xfId="3" applyNumberFormat="1" applyFont="1" applyFill="1" applyBorder="1"/>
    <x:xf numFmtId="223" fontId="77" fillId="10" borderId="639" xfId="3" applyNumberFormat="1" applyFont="1" applyFill="1" applyBorder="1"/>
    <x:xf numFmtId="227" fontId="81" fillId="10" borderId="639" xfId="3" applyNumberFormat="1" applyFont="1" applyFill="1" applyBorder="1"/>
    <x:xf numFmtId="224" fontId="77" fillId="10" borderId="639" xfId="3" applyNumberFormat="1" applyFont="1" applyFill="1" applyBorder="1" applyAlignment="1">
      <x:alignment wrapText="1"/>
    </x:xf>
    <x:xf numFmtId="224" fontId="81" fillId="10" borderId="639" xfId="3" applyNumberFormat="1" applyFont="1" applyFill="1" applyBorder="1" applyAlignment="1">
      <x:alignment wrapText="1"/>
    </x:xf>
    <x:xf numFmtId="223" fontId="77" fillId="10" borderId="639" xfId="3" applyNumberFormat="1" applyFont="1" applyFill="1" applyBorder="1" applyAlignment="1">
      <x:alignment wrapText="1"/>
    </x:xf>
    <x:xf numFmtId="227" fontId="81" fillId="10" borderId="639" xfId="3" applyNumberFormat="1" applyFont="1" applyFill="1" applyBorder="1" applyAlignment="1">
      <x:alignment wrapText="1"/>
    </x:xf>
    <x:xf numFmtId="223" fontId="77" fillId="10" borderId="639" xfId="3" applyNumberFormat="1" applyFont="1" applyFill="1" applyBorder="1" applyAlignment="1">
      <x:alignment vertical="top" wrapText="1"/>
    </x:xf>
    <x:xf numFmtId="227" fontId="81" fillId="10" borderId="639" xfId="3" applyNumberFormat="1" applyFont="1" applyFill="1" applyBorder="1" applyAlignment="1">
      <x:alignment vertical="top" wrapText="1"/>
    </x:xf>
    <x:xf numFmtId="223" fontId="77" fillId="10" borderId="653" xfId="3" applyNumberFormat="1" applyFont="1" applyFill="1" applyBorder="1" applyAlignment="1">
      <x:alignment vertical="top" wrapText="1"/>
    </x:xf>
    <x:xf numFmtId="227" fontId="81" fillId="10" borderId="653" xfId="3" applyNumberFormat="1" applyFont="1" applyFill="1" applyBorder="1" applyAlignment="1">
      <x:alignment vertical="top" wrapText="1"/>
    </x:xf>
    <x:xf numFmtId="223" fontId="77" fillId="10" borderId="654" xfId="3" applyNumberFormat="1" applyFont="1" applyFill="1" applyBorder="1" applyAlignment="1">
      <x:alignment vertical="top" wrapText="1"/>
    </x:xf>
    <x:xf numFmtId="224" fontId="80" fillId="10" borderId="653" xfId="3" applyNumberFormat="1" applyFont="1" applyFill="1" applyBorder="1" applyAlignment="1">
      <x:alignment vertical="top" wrapText="1"/>
    </x:xf>
    <x:xf numFmtId="224" fontId="80" fillId="10" borderId="656" xfId="3" applyNumberFormat="1" applyFont="1" applyFill="1" applyBorder="1" applyAlignment="1">
      <x:alignment vertical="top" wrapText="1"/>
    </x:xf>
    <x:xf numFmtId="0" fontId="88" fillId="10" borderId="644" xfId="3" applyNumberFormat="1" applyFont="1" applyFill="1" applyBorder="1" applyAlignment="1">
      <x:alignment vertical="top" wrapText="1"/>
    </x:xf>
    <x:xf numFmtId="0" fontId="88" fillId="10" borderId="651" xfId="3" applyNumberFormat="1" applyFont="1" applyFill="1" applyBorder="1" applyAlignment="1">
      <x:alignment vertical="top" wrapText="1"/>
    </x:xf>
    <x:xf numFmtId="0" fontId="88" fillId="10" borderId="646" xfId="3" applyNumberFormat="1" applyFont="1" applyFill="1" applyBorder="1" applyAlignment="1">
      <x:alignment vertical="top" wrapText="1"/>
    </x:xf>
    <x:xf numFmtId="227" fontId="75" fillId="10" borderId="639" xfId="3" applyNumberFormat="1" applyFont="1" applyFill="1" applyBorder="1"/>
    <x:xf numFmtId="227" fontId="76" fillId="10" borderId="639" xfId="3" applyNumberFormat="1" applyFont="1" applyFill="1" applyBorder="1"/>
    <x:xf numFmtId="227" fontId="77" fillId="10" borderId="639" xfId="3" applyNumberFormat="1" applyFont="1" applyFill="1" applyBorder="1"/>
    <x:xf numFmtId="227" fontId="77" fillId="10" borderId="639" xfId="3" applyNumberFormat="1" applyFont="1" applyFill="1" applyBorder="1" applyAlignment="1">
      <x:alignment wrapText="1"/>
    </x:xf>
    <x:xf numFmtId="227" fontId="77" fillId="10" borderId="639" xfId="3" applyNumberFormat="1" applyFont="1" applyFill="1" applyBorder="1" applyAlignment="1">
      <x:alignment vertical="top" wrapText="1"/>
    </x:xf>
    <x:xf numFmtId="227" fontId="77" fillId="10" borderId="653" xfId="3" applyNumberFormat="1" applyFont="1" applyFill="1" applyBorder="1" applyAlignment="1">
      <x:alignment vertical="top" wrapText="1"/>
    </x:xf>
    <x:xf numFmtId="0" fontId="69" fillId="10" borderId="641" xfId="3" applyNumberFormat="1" applyFont="1" applyFill="1" applyBorder="1" applyAlignment="1">
      <x:alignment wrapText="1"/>
    </x:xf>
    <x:xf numFmtId="0" fontId="69" fillId="10" borderId="655" xfId="3" applyNumberFormat="1" applyFont="1" applyFill="1" applyBorder="1" applyAlignment="1">
      <x:alignment wrapText="1"/>
    </x:xf>
    <x:xf numFmtId="0" fontId="69" fillId="10" borderId="642" xfId="3" applyNumberFormat="1" applyFont="1" applyFill="1" applyBorder="1" applyAlignment="1">
      <x:alignment wrapText="1"/>
    </x:xf>
    <x:xf numFmtId="0" fontId="77" fillId="10" borderId="639" xfId="3" applyNumberFormat="1" applyFont="1" applyFill="1" applyBorder="1" applyAlignment="1">
      <x:alignment vertical="top" wrapText="1"/>
    </x:xf>
    <x:xf numFmtId="224" fontId="77" fillId="10" borderId="644" xfId="3" applyNumberFormat="1" applyFont="1" applyFill="1" applyBorder="1" applyAlignment="1">
      <x:alignment vertical="top" wrapText="1"/>
    </x:xf>
    <x:xf numFmtId="224" fontId="77" fillId="10" borderId="646" xfId="3" applyNumberFormat="1" applyFont="1" applyFill="1" applyBorder="1" applyAlignment="1">
      <x:alignment vertical="top" wrapText="1"/>
    </x:xf>
    <x:xf numFmtId="224" fontId="77" fillId="10" borderId="654" xfId="3" applyNumberFormat="1" applyFont="1" applyFill="1" applyBorder="1" applyAlignment="1">
      <x:alignment vertical="top" wrapText="1"/>
    </x:xf>
    <x:xf numFmtId="0" fontId="69" fillId="10" borderId="662" xfId="3" applyNumberFormat="1" applyFont="1" applyFill="1" applyBorder="1" applyAlignment="1">
      <x:alignment vertical="top" wrapText="1"/>
    </x:xf>
    <x:xf numFmtId="0" fontId="69" fillId="10" borderId="663" xfId="3" applyNumberFormat="1" applyFont="1" applyFill="1" applyBorder="1" applyAlignment="1">
      <x:alignment vertical="top" wrapText="1"/>
    </x:xf>
    <x:xf numFmtId="0" fontId="71" fillId="10" borderId="664" xfId="3" applyNumberFormat="1" applyFont="1" applyFill="1" applyBorder="1" applyAlignment="1">
      <x:alignment vertical="top" wrapText="0"/>
    </x:xf>
    <x:xf numFmtId="0" fontId="69" fillId="10" borderId="665" xfId="3" applyNumberFormat="1" applyFont="1" applyFill="1" applyBorder="1" applyAlignment="1">
      <x:alignment vertical="top" wrapText="0"/>
    </x:xf>
    <x:xf numFmtId="0" fontId="70" fillId="12" borderId="666" xfId="3" applyNumberFormat="1" applyFont="1" applyFill="1" applyBorder="1" applyAlignment="1">
      <x:alignment horizontal="center" vertical="top" wrapText="1"/>
    </x:xf>
    <x:xf numFmtId="0" fontId="70" fillId="12" borderId="667" xfId="3" applyNumberFormat="1" applyFont="1" applyFill="1" applyBorder="1" applyAlignment="1">
      <x:alignment horizontal="center" vertical="top" wrapText="1"/>
    </x:xf>
    <x:xf numFmtId="0" fontId="70" fillId="10" borderId="668" xfId="3" applyNumberFormat="1" applyFont="1" applyFill="1" applyBorder="1" applyAlignment="1">
      <x:alignment vertical="top" wrapText="1"/>
    </x:xf>
    <x:xf numFmtId="0" fontId="69" fillId="10" borderId="669" xfId="3" applyNumberFormat="1" applyFont="1" applyFill="1" applyBorder="1" applyAlignment="1">
      <x:alignment vertical="top" wrapText="1"/>
    </x:xf>
    <x:xf numFmtId="0" fontId="70" fillId="10" borderId="670" xfId="3" applyNumberFormat="1" applyFont="1" applyFill="1" applyBorder="1" applyAlignment="1">
      <x:alignment vertical="top" wrapText="1"/>
    </x:xf>
    <x:xf numFmtId="0" fontId="69" fillId="10" borderId="671" xfId="3" applyNumberFormat="1" applyFont="1" applyFill="1" applyBorder="1" applyAlignment="1">
      <x:alignment vertical="top" wrapText="1"/>
    </x:xf>
    <x:xf numFmtId="0" fontId="72" fillId="10" borderId="672" xfId="3" applyNumberFormat="1" applyFont="1" applyFill="1" applyBorder="1" applyAlignment="1">
      <x:alignment vertical="top" wrapText="1"/>
    </x:xf>
    <x:xf numFmtId="223" fontId="73" fillId="10" borderId="673" xfId="3" applyNumberFormat="1" applyFont="1" applyFill="1" applyBorder="1" applyAlignment="1">
      <x:alignment vertical="top" wrapText="1"/>
    </x:xf>
    <x:xf numFmtId="0" fontId="69" fillId="10" borderId="674" xfId="3" applyNumberFormat="1" applyFont="1" applyFill="1" applyBorder="1" applyAlignment="1">
      <x:alignment vertical="top" wrapText="1"/>
    </x:xf>
    <x:xf numFmtId="0" fontId="69" fillId="10" borderId="675" xfId="3" applyNumberFormat="1" applyFont="1" applyFill="1" applyBorder="1" applyAlignment="1">
      <x:alignment vertical="top" wrapText="1"/>
    </x:xf>
    <x:xf numFmtId="0" fontId="70" fillId="10" borderId="676" xfId="3" applyNumberFormat="1" applyFont="1" applyFill="1" applyBorder="1" applyAlignment="1">
      <x:alignment vertical="top" wrapText="1"/>
    </x:xf>
    <x:xf numFmtId="0" fontId="69" fillId="10" borderId="677" xfId="3" applyNumberFormat="1" applyFont="1" applyFill="1" applyBorder="1" applyAlignment="1">
      <x:alignment vertical="top" wrapText="1"/>
    </x:xf>
    <x:xf numFmtId="0" fontId="69" fillId="10" borderId="678" xfId="3" applyNumberFormat="1" applyFont="1" applyFill="1" applyBorder="1" applyAlignment="1">
      <x:alignment vertical="top" wrapText="1"/>
    </x:xf>
    <x:xf numFmtId="0" fontId="69" fillId="10" borderId="679" xfId="3" applyNumberFormat="1" applyFont="1" applyFill="1" applyBorder="1" applyAlignment="1">
      <x:alignment vertical="top" wrapText="1"/>
    </x:xf>
    <x:xf numFmtId="0" fontId="69" fillId="10" borderId="680" xfId="3" applyNumberFormat="1" applyFont="1" applyFill="1" applyBorder="1" applyAlignment="1">
      <x:alignment vertical="top" wrapText="1"/>
    </x:xf>
    <x:xf numFmtId="0" fontId="69" fillId="10" borderId="681" xfId="3" applyNumberFormat="1" applyFont="1" applyFill="1" applyBorder="1" applyAlignment="1">
      <x:alignment vertical="top" wrapText="1"/>
    </x:xf>
    <x:xf numFmtId="0" fontId="70" fillId="12" borderId="682" xfId="3" applyNumberFormat="1" applyFont="1" applyFill="1" applyBorder="1" applyAlignment="1">
      <x:alignment horizontal="center" vertical="top" wrapText="1"/>
    </x:xf>
    <x:xf numFmtId="224" fontId="77" fillId="10" borderId="683" xfId="3" applyNumberFormat="1" applyFont="1" applyFill="1" applyBorder="1" applyAlignment="1">
      <x:alignment vertical="top" wrapText="1"/>
    </x:xf>
    <x:xf numFmtId="226" fontId="69" fillId="10" borderId="684" xfId="3" applyNumberFormat="1" applyFont="1" applyFill="1" applyBorder="1" applyAlignment="1">
      <x:alignment vertical="top" wrapText="1"/>
    </x:xf>
    <x:xf numFmtId="0" fontId="69" fillId="10" borderId="685" xfId="3" applyNumberFormat="1" applyFont="1" applyFill="1" applyBorder="1" applyAlignment="1">
      <x:alignment vertical="top" wrapText="1"/>
    </x:xf>
    <x:xf numFmtId="0" fontId="70" fillId="10" borderId="686" xfId="3" applyNumberFormat="1" applyFont="1" applyFill="1" applyBorder="1" applyAlignment="1">
      <x:alignment vertical="top" wrapText="1"/>
    </x:xf>
    <x:xf numFmtId="224" fontId="83" fillId="10" borderId="687" xfId="3" applyNumberFormat="1" applyFont="1" applyFill="1" applyBorder="1" applyAlignment="1">
      <x:alignment vertical="top" wrapText="1"/>
    </x:xf>
    <x:xf numFmtId="226" fontId="70" fillId="10" borderId="688" xfId="3" applyNumberFormat="1" applyFont="1" applyFill="1" applyBorder="1" applyAlignment="1">
      <x:alignment vertical="top" wrapText="1"/>
    </x:xf>
    <x:xf numFmtId="0" fontId="70" fillId="10" borderId="689" xfId="3" applyNumberFormat="1" applyFont="1" applyFill="1" applyBorder="1" applyAlignment="1">
      <x:alignment vertical="top" wrapText="1"/>
    </x:xf>
    <x:xf numFmtId="0" fontId="70" fillId="10" borderId="690" xfId="3" applyNumberFormat="1" applyFont="1" applyFill="1" applyBorder="1" applyAlignment="1">
      <x:alignment vertical="top" wrapText="1"/>
    </x:xf>
    <x:xf numFmtId="224" fontId="69" fillId="10" borderId="691" xfId="3" applyNumberFormat="1" applyFont="1" applyFill="1" applyBorder="1" applyAlignment="1">
      <x:alignment vertical="top" wrapText="1"/>
    </x:xf>
    <x:xf numFmtId="226" fontId="69" fillId="10" borderId="692" xfId="3" applyNumberFormat="1" applyFont="1" applyFill="1" applyBorder="1" applyAlignment="1">
      <x:alignment vertical="top" wrapText="1"/>
    </x:xf>
    <x:xf numFmtId="224" fontId="70" fillId="12" borderId="693" xfId="3" applyNumberFormat="1" applyFont="1" applyFill="1" applyBorder="1" applyAlignment="1">
      <x:alignment horizontal="center" vertical="top" wrapText="1"/>
    </x:xf>
    <x:xf numFmtId="226" fontId="70" fillId="12" borderId="694" xfId="3" applyNumberFormat="1" applyFont="1" applyFill="1" applyBorder="1" applyAlignment="1">
      <x:alignment horizontal="center" vertical="top" wrapText="1"/>
    </x:xf>
    <x:xf numFmtId="0" fontId="70" fillId="10" borderId="695" xfId="3" applyNumberFormat="1" applyFont="1" applyFill="1" applyBorder="1" applyAlignment="1">
      <x:alignment vertical="top" wrapText="1"/>
    </x:xf>
    <x:xf numFmtId="224" fontId="83" fillId="10" borderId="696" xfId="3" applyNumberFormat="1" applyFont="1" applyFill="1" applyBorder="1" applyAlignment="1">
      <x:alignment vertical="top" wrapText="1"/>
    </x:xf>
    <x:xf numFmtId="226" fontId="70" fillId="10" borderId="697" xfId="3" applyNumberFormat="1" applyFont="1" applyFill="1" applyBorder="1" applyAlignment="1">
      <x:alignment vertical="top" wrapText="1"/>
    </x:xf>
    <x:xf numFmtId="0" fontId="70" fillId="10" borderId="698" xfId="3" applyNumberFormat="1" applyFont="1" applyFill="1" applyBorder="1" applyAlignment="1">
      <x:alignment vertical="top" wrapText="1"/>
    </x:xf>
    <x:xf numFmtId="0" fontId="70" fillId="10" borderId="699" xfId="3" applyNumberFormat="1" applyFont="1" applyFill="1" applyBorder="1" applyAlignment="1">
      <x:alignment vertical="top" wrapText="1"/>
    </x:xf>
    <x:xf numFmtId="0" fontId="69" fillId="10" borderId="700" xfId="3" applyNumberFormat="1" applyFont="1" applyFill="1" applyBorder="1" applyAlignment="1">
      <x:alignment vertical="top" wrapText="1"/>
    </x:xf>
    <x:xf numFmtId="224" fontId="77" fillId="10" borderId="701" xfId="3" applyNumberFormat="1" applyFont="1" applyFill="1" applyBorder="1" applyAlignment="1">
      <x:alignment vertical="top" wrapText="1"/>
    </x:xf>
    <x:xf numFmtId="226" fontId="69" fillId="10" borderId="702" xfId="3" applyNumberFormat="1" applyFont="1" applyFill="1" applyBorder="1" applyAlignment="1">
      <x:alignment vertical="top" wrapText="1"/>
    </x:xf>
    <x:xf numFmtId="0" fontId="69" fillId="10" borderId="703" xfId="3" applyNumberFormat="1" applyFont="1" applyFill="1" applyBorder="1" applyAlignment="1">
      <x:alignment vertical="top" wrapText="1"/>
    </x:xf>
    <x:xf numFmtId="0" fontId="69" fillId="10" borderId="704" xfId="3" applyNumberFormat="1" applyFont="1" applyFill="1" applyBorder="1" applyAlignment="1">
      <x:alignment vertical="top" wrapText="1"/>
    </x:xf>
    <x:xf numFmtId="0" fontId="85" fillId="10" borderId="705" xfId="3" applyNumberFormat="1" applyFont="1" applyFill="1" applyBorder="1" applyAlignment="1">
      <x:alignment wrapText="0"/>
    </x:xf>
    <x:xf numFmtId="0" fontId="67" fillId="10" borderId="706" xfId="3" applyNumberFormat="1" applyFont="1" applyFill="1" applyBorder="1" applyAlignment="1">
      <x:alignment wrapText="0"/>
    </x:xf>
    <x:xf numFmtId="0" fontId="88" fillId="10" borderId="707" xfId="3" applyNumberFormat="1" applyFont="1" applyFill="1" applyBorder="1" applyAlignment="1">
      <x:alignment vertical="top" wrapText="1"/>
    </x:xf>
    <x:xf numFmtId="224" fontId="80" fillId="10" borderId="708" xfId="3" applyNumberFormat="1" applyFont="1" applyFill="1" applyBorder="1" applyAlignment="1">
      <x:alignment vertical="top" wrapText="1"/>
    </x:xf>
    <x:xf numFmtId="0" fontId="88" fillId="10" borderId="709" xfId="3" applyNumberFormat="1" applyFont="1" applyFill="1" applyBorder="1" applyAlignment="1">
      <x:alignment vertical="top" wrapText="1"/>
    </x:xf>
    <x:xf numFmtId="223" fontId="77" fillId="10" borderId="710" xfId="3" applyNumberFormat="1" applyFont="1" applyFill="1" applyBorder="1" applyAlignment="1">
      <x:alignment vertical="top" wrapText="1"/>
    </x:xf>
    <x:xf numFmtId="227" fontId="81" fillId="10" borderId="711" xfId="3" applyNumberFormat="1" applyFont="1" applyFill="1" applyBorder="1" applyAlignment="1">
      <x:alignment vertical="top" wrapText="1"/>
    </x:xf>
    <x:xf numFmtId="223" fontId="77" fillId="10" borderId="712" xfId="3" applyNumberFormat="1" applyFont="1" applyFill="1" applyBorder="1" applyAlignment="1">
      <x:alignment vertical="top" wrapText="1"/>
    </x:xf>
    <x:xf numFmtId="226" fontId="69" fillId="10" borderId="713" xfId="3" applyNumberFormat="1" applyFont="1" applyFill="1" applyBorder="1" applyAlignment="1">
      <x:alignment vertical="top" wrapText="1"/>
    </x:xf>
    <x:xf numFmtId="0" fontId="88" fillId="10" borderId="714" xfId="3" applyNumberFormat="1" applyFont="1" applyFill="1" applyBorder="1" applyAlignment="1">
      <x:alignment vertical="top" wrapText="1"/>
    </x:xf>
    <x:xf numFmtId="0" fontId="70" fillId="12" borderId="715" xfId="3" applyNumberFormat="1" applyFont="1" applyFill="1" applyBorder="1" applyAlignment="1">
      <x:alignment horizontal="center" vertical="top" wrapText="1"/>
    </x:xf>
    <x:xf numFmtId="0" fontId="69" fillId="10" borderId="716" xfId="3" applyNumberFormat="1" applyFont="1" applyFill="1" applyBorder="1" applyAlignment="1">
      <x:alignment vertical="top" wrapText="1"/>
    </x:xf>
    <x:xf numFmtId="0" fontId="69" fillId="10" borderId="717" xfId="3" applyNumberFormat="1" applyFont="1" applyFill="1" applyBorder="1" applyAlignment="1">
      <x:alignment vertical="top" wrapText="1"/>
    </x:xf>
    <x:xf numFmtId="224" fontId="81" fillId="10" borderId="718" xfId="3" applyNumberFormat="1" applyFont="1" applyFill="1" applyBorder="1" applyAlignment="1">
      <x:alignment vertical="top" wrapText="1"/>
    </x:xf>
    <x:xf numFmtId="227" fontId="77" fillId="10" borderId="719" xfId="3" applyNumberFormat="1" applyFont="1" applyFill="1" applyBorder="1" applyAlignment="1">
      <x:alignment vertical="top" wrapText="1"/>
    </x:xf>
    <x:xf numFmtId="0" fontId="69" fillId="10" borderId="720" xfId="3" applyNumberFormat="1" applyFont="1" applyFill="1" applyBorder="1"/>
    <x:xf numFmtId="0" fontId="70" fillId="12" borderId="721" xfId="3" applyNumberFormat="1" applyFont="1" applyFill="1" applyBorder="1" applyAlignment="1">
      <x:alignment horizontal="center" vertical="top" wrapText="1"/>
    </x:xf>
    <x:xf numFmtId="224" fontId="77" fillId="10" borderId="722" xfId="3" applyNumberFormat="1" applyFont="1" applyFill="1" applyBorder="1" applyAlignment="1">
      <x:alignment vertical="top" wrapText="1"/>
    </x:xf>
    <x:xf numFmtId="224" fontId="77" fillId="10" borderId="723" xfId="3" applyNumberFormat="1" applyFont="1" applyFill="1" applyBorder="1" applyAlignment="1">
      <x:alignment vertical="top" wrapText="1"/>
    </x:xf>
    <x:xf numFmtId="224" fontId="77" fillId="10" borderId="724" xfId="3" applyNumberFormat="1" applyFont="1" applyFill="1" applyBorder="1" applyAlignment="1">
      <x:alignment vertical="top" wrapText="1"/>
    </x:xf>
    <x:xf numFmtId="0" fontId="71" fillId="10" borderId="725" xfId="3" applyNumberFormat="1" applyFont="1" applyFill="1" applyBorder="1" applyAlignment="1">
      <x:alignment vertical="center" wrapText="0"/>
    </x:xf>
    <x:xf numFmtId="0" fontId="69" fillId="10" borderId="726" xfId="3" applyNumberFormat="1" applyFont="1" applyFill="1" applyBorder="1" applyAlignment="1">
      <x:alignment vertical="center" wrapText="0"/>
    </x:xf>
    <x:xf numFmtId="0" fontId="69" fillId="10" borderId="727" xfId="3" applyNumberFormat="1" applyFont="1" applyFill="1" applyBorder="1" applyAlignment="1">
      <x:alignment vertical="center" wrapText="0"/>
    </x:xf>
    <x:xf numFmtId="0" fontId="69" fillId="10" borderId="728" xfId="3" applyNumberFormat="1" applyFont="1" applyFill="1" applyBorder="1" applyAlignment="1">
      <x:alignment vertical="center" wrapText="0"/>
    </x:xf>
    <x:xf numFmtId="0" fontId="69" fillId="10" borderId="729" xfId="3" applyNumberFormat="1" applyFont="1" applyFill="1" applyBorder="1" applyAlignment="1">
      <x:alignment vertical="center" wrapText="0"/>
    </x:xf>
    <x:xf numFmtId="0" fontId="70" fillId="12" borderId="730" xfId="3" applyNumberFormat="1" applyFont="1" applyFill="1" applyBorder="1" applyAlignment="1">
      <x:alignment horizontal="center" vertical="center" wrapText="1"/>
    </x:xf>
    <x:xf numFmtId="0" fontId="70" fillId="12" borderId="731" xfId="3" applyNumberFormat="1" applyFont="1" applyFill="1" applyBorder="1" applyAlignment="1">
      <x:alignment horizontal="center" vertical="center" wrapText="1"/>
    </x:xf>
    <x:xf numFmtId="0" fontId="70" fillId="12" borderId="732" xfId="3" applyNumberFormat="1" applyFont="1" applyFill="1" applyBorder="1" applyAlignment="1">
      <x:alignment horizontal="center" vertical="center" wrapText="1"/>
    </x:xf>
    <x:xf numFmtId="0" fontId="69" fillId="10" borderId="733" xfId="3" applyNumberFormat="1" applyFont="1" applyFill="1" applyBorder="1" applyAlignment="1">
      <x:alignment vertical="center" wrapText="1"/>
    </x:xf>
    <x:xf numFmtId="0" fontId="69" fillId="10" borderId="734" xfId="3" applyNumberFormat="1" applyFont="1" applyFill="1" applyBorder="1" applyAlignment="1">
      <x:alignment vertical="center" wrapText="1"/>
    </x:xf>
    <x:xf numFmtId="0" fontId="69" fillId="10" borderId="735" xfId="3" applyNumberFormat="1" applyFont="1" applyFill="1" applyBorder="1" applyAlignment="1">
      <x:alignment vertical="center" wrapText="1"/>
    </x:xf>
    <x:xf numFmtId="224" fontId="77" fillId="10" borderId="736" xfId="3" applyNumberFormat="1" applyFont="1" applyFill="1" applyBorder="1" applyAlignment="1">
      <x:alignment vertical="center" wrapText="1"/>
    </x:xf>
    <x:xf numFmtId="0" fontId="69" fillId="10" borderId="737" xfId="3" applyNumberFormat="1" applyFont="1" applyFill="1" applyBorder="1" applyAlignment="1">
      <x:alignment vertical="center" wrapText="1"/>
    </x:xf>
    <x:xf numFmtId="0" fontId="69" fillId="10" borderId="738" xfId="3" applyNumberFormat="1" applyFont="1" applyFill="1" applyBorder="1" applyAlignment="1">
      <x:alignment vertical="center" wrapText="1"/>
    </x:xf>
    <x:xf numFmtId="0" fontId="69" fillId="10" borderId="739" xfId="3" applyNumberFormat="1" applyFont="1" applyFill="1" applyBorder="1" applyAlignment="1">
      <x:alignment vertical="center" wrapText="1"/>
    </x:xf>
    <x:xf numFmtId="224" fontId="77" fillId="10" borderId="740" xfId="3" applyNumberFormat="1" applyFont="1" applyFill="1" applyBorder="1" applyAlignment="1">
      <x:alignment vertical="center" wrapText="1"/>
    </x:xf>
    <x:xf numFmtId="0" fontId="69" fillId="10" borderId="741" xfId="3" applyNumberFormat="1" applyFont="1" applyFill="1" applyBorder="1" applyAlignment="1">
      <x:alignment vertical="center" wrapText="1"/>
    </x:xf>
    <x:xf numFmtId="0" fontId="69" fillId="10" borderId="742" xfId="3" applyNumberFormat="1" applyFont="1" applyFill="1" applyBorder="1" applyAlignment="1">
      <x:alignment vertical="center" wrapText="1"/>
    </x:xf>
    <x:xf numFmtId="0" fontId="69" fillId="10" borderId="743" xfId="3" applyNumberFormat="1" applyFont="1" applyFill="1" applyBorder="1" applyAlignment="1">
      <x:alignment vertical="center" wrapText="1"/>
    </x:xf>
    <x:xf numFmtId="0" fontId="69" fillId="10" borderId="744" xfId="3" applyNumberFormat="1" applyFont="1" applyFill="1" applyBorder="1" applyAlignment="1">
      <x:alignment vertical="center" wrapText="1"/>
    </x:xf>
    <x:xf numFmtId="0" fontId="69" fillId="10" borderId="745" xfId="3" applyNumberFormat="1" applyFont="1" applyFill="1" applyBorder="1" applyAlignment="1">
      <x:alignment vertical="center" wrapText="1"/>
    </x:xf>
    <x:xf numFmtId="0" fontId="70" fillId="12" borderId="746" xfId="3" applyNumberFormat="1" applyFont="1" applyFill="1" applyBorder="1" applyAlignment="1">
      <x:alignment horizontal="center" vertical="center" wrapText="1"/>
    </x:xf>
    <x:xf numFmtId="224" fontId="69" fillId="10" borderId="747" xfId="3" applyNumberFormat="1" applyFont="1" applyFill="1" applyBorder="1" applyAlignment="1">
      <x:alignment vertical="center" wrapText="1"/>
    </x:xf>
    <x:xf numFmtId="0" fontId="69" fillId="10" borderId="748" xfId="3" applyNumberFormat="1" applyFont="1" applyFill="1" applyBorder="1" applyAlignment="1">
      <x:alignment vertical="center" wrapText="1"/>
    </x:xf>
    <x:xf numFmtId="224" fontId="69" fillId="10" borderId="749" xfId="3" applyNumberFormat="1" applyFont="1" applyFill="1" applyBorder="1" applyAlignment="1">
      <x:alignment vertical="center" wrapText="1"/>
    </x:xf>
    <x:xf numFmtId="0" fontId="69" fillId="10" borderId="750" xfId="3" applyNumberFormat="1" applyFont="1" applyFill="1" applyBorder="1" applyAlignment="1">
      <x:alignment vertical="center" wrapText="1"/>
    </x:xf>
    <x:xf numFmtId="226" fontId="69" fillId="10" borderId="751" xfId="3" applyNumberFormat="1" applyFont="1" applyFill="1" applyBorder="1" applyAlignment="1">
      <x:alignment vertical="center" wrapText="1"/>
    </x:xf>
    <x:xf numFmtId="226" fontId="69" fillId="10" borderId="752" xfId="3" applyNumberFormat="1" applyFont="1" applyFill="1" applyBorder="1" applyAlignment="1">
      <x:alignment vertical="center" wrapText="1"/>
    </x:xf>
    <x:xf numFmtId="226" fontId="69" fillId="10" borderId="753" xfId="3" applyNumberFormat="1" applyFont="1" applyFill="1" applyBorder="1" applyAlignment="1">
      <x:alignment vertical="center" wrapText="1"/>
    </x:xf>
    <x:xf numFmtId="224" fontId="77" fillId="10" borderId="754" xfId="3" applyNumberFormat="1" applyFont="1" applyFill="1" applyBorder="1" applyAlignment="1">
      <x:alignment vertical="center" wrapText="1"/>
    </x:xf>
    <x:xf numFmtId="226" fontId="69" fillId="10" borderId="755" xfId="3" applyNumberFormat="1" applyFont="1" applyFill="1" applyBorder="1" applyAlignment="1">
      <x:alignment vertical="center" wrapText="1"/>
    </x:xf>
    <x:xf numFmtId="224" fontId="81" fillId="10" borderId="756" xfId="3" applyNumberFormat="1" applyFont="1" applyFill="1" applyBorder="1" applyAlignment="1">
      <x:alignment vertical="center" wrapText="1"/>
    </x:xf>
    <x:xf numFmtId="226" fontId="69" fillId="10" borderId="757" xfId="3" applyNumberFormat="1" applyFont="1" applyFill="1" applyBorder="1" applyAlignment="1">
      <x:alignment vertical="center" wrapText="1"/>
    </x:xf>
    <x:xf numFmtId="0" fontId="72" fillId="10" borderId="758" xfId="3" applyNumberFormat="1" applyFont="1" applyFill="1" applyBorder="1" applyAlignment="1">
      <x:alignment vertical="center" wrapText="0"/>
    </x:xf>
    <x:xf numFmtId="0" fontId="70" fillId="12" borderId="759" xfId="3" applyNumberFormat="1" applyFont="1" applyFill="1" applyBorder="1" applyAlignment="1">
      <x:alignment horizontal="center" vertical="center" wrapText="0"/>
    </x:xf>
    <x:xf numFmtId="0" fontId="70" fillId="12" borderId="760" xfId="3" applyNumberFormat="1" applyFont="1" applyFill="1" applyBorder="1" applyAlignment="1">
      <x:alignment horizontal="center" vertical="center" wrapText="0"/>
    </x:xf>
    <x:xf numFmtId="0" fontId="69" fillId="10" borderId="761" xfId="3" applyNumberFormat="1" applyFont="1" applyFill="1" applyBorder="1" applyAlignment="1">
      <x:alignment vertical="center" wrapText="0"/>
    </x:xf>
    <x:xf numFmtId="224" fontId="77" fillId="10" borderId="762" xfId="3" applyNumberFormat="1" applyFont="1" applyFill="1" applyBorder="1" applyAlignment="1">
      <x:alignment vertical="center" wrapText="0"/>
    </x:xf>
    <x:xf numFmtId="0" fontId="70" fillId="10" borderId="763" xfId="3" applyNumberFormat="1" applyFont="1" applyFill="1" applyBorder="1" applyAlignment="1">
      <x:alignment vertical="center" wrapText="1"/>
    </x:xf>
    <x:xf numFmtId="224" fontId="83" fillId="10" borderId="764" xfId="3" applyNumberFormat="1" applyFont="1" applyFill="1" applyBorder="1" applyAlignment="1">
      <x:alignment vertical="center" wrapText="0"/>
    </x:xf>
    <x:xf numFmtId="224" fontId="70" fillId="10" borderId="765" xfId="3" applyNumberFormat="1" applyFont="1" applyFill="1" applyBorder="1" applyAlignment="1">
      <x:alignment vertical="center" wrapText="0"/>
    </x:xf>
    <x:xf numFmtId="0" fontId="70" fillId="10" borderId="766" xfId="3" applyNumberFormat="1" applyFont="1" applyFill="1" applyBorder="1" applyAlignment="1">
      <x:alignment vertical="center" wrapText="1"/>
    </x:xf>
    <x:xf numFmtId="224" fontId="70" fillId="10" borderId="767" xfId="3" applyNumberFormat="1" applyFont="1" applyFill="1" applyBorder="1" applyAlignment="1">
      <x:alignment vertical="center" wrapText="0"/>
    </x:xf>
    <x:xf numFmtId="0" fontId="69" fillId="10" borderId="768" xfId="3" applyNumberFormat="1" applyFont="1" applyFill="1" applyBorder="1" applyAlignment="1">
      <x:alignment vertical="center" wrapText="1"/>
    </x:xf>
    <x:xf numFmtId="224" fontId="77" fillId="10" borderId="769" xfId="3" applyNumberFormat="1" applyFont="1" applyFill="1" applyBorder="1" applyAlignment="1">
      <x:alignment vertical="center" wrapText="0"/>
    </x:xf>
    <x:xf numFmtId="229" fontId="69" fillId="10" borderId="770" xfId="3" applyNumberFormat="1" applyFont="1" applyFill="1" applyBorder="1" applyAlignment="1">
      <x:alignment vertical="center" wrapText="0"/>
    </x:xf>
    <x:xf numFmtId="224" fontId="80" fillId="10" borderId="771" xfId="3" applyNumberFormat="1" applyFont="1" applyFill="1" applyBorder="1" applyAlignment="1">
      <x:alignment vertical="center" wrapText="0"/>
    </x:xf>
    <x:xf numFmtId="224" fontId="69" fillId="10" borderId="772" xfId="3" applyNumberFormat="1" applyFont="1" applyFill="1" applyBorder="1" applyAlignment="1">
      <x:alignment vertical="center" wrapText="0"/>
    </x:xf>
    <x:xf numFmtId="229" fontId="69" fillId="10" borderId="773" xfId="3" applyNumberFormat="1" applyFont="1" applyFill="1" applyBorder="1" applyAlignment="1">
      <x:alignment vertical="center" wrapText="0"/>
    </x:xf>
    <x:xf numFmtId="224" fontId="69" fillId="10" borderId="774" xfId="3" applyNumberFormat="1" applyFont="1" applyFill="1" applyBorder="1" applyAlignment="1">
      <x:alignment vertical="center" wrapText="0"/>
    </x:xf>
    <x:xf numFmtId="227" fontId="69" fillId="10" borderId="775" xfId="3" applyNumberFormat="1" applyFont="1" applyFill="1" applyBorder="1" applyAlignment="1">
      <x:alignment vertical="center" wrapText="0"/>
    </x:xf>
    <x:xf numFmtId="0" fontId="70" fillId="12" borderId="776" xfId="3" applyNumberFormat="1" applyFont="1" applyFill="1" applyBorder="1" applyAlignment="1">
      <x:alignment horizontal="center" vertical="center" wrapText="1"/>
    </x:xf>
    <x:xf numFmtId="0" fontId="69" fillId="10" borderId="777" xfId="3" applyNumberFormat="1" applyFont="1" applyFill="1" applyBorder="1" applyAlignment="1">
      <x:alignment vertical="center" wrapText="1"/>
    </x:xf>
    <x:xf numFmtId="224" fontId="69" fillId="10" borderId="778" xfId="3" applyNumberFormat="1" applyFont="1" applyFill="1" applyBorder="1" applyAlignment="1">
      <x:alignment vertical="center" wrapText="1"/>
    </x:xf>
    <x:xf numFmtId="0" fontId="69" fillId="10" borderId="779" xfId="3" applyNumberFormat="1" applyFont="1" applyFill="1" applyBorder="1" applyAlignment="1">
      <x:alignment vertical="center" wrapText="1"/>
    </x:xf>
    <x:xf numFmtId="224" fontId="69" fillId="10" borderId="780" xfId="3" applyNumberFormat="1" applyFont="1" applyFill="1" applyBorder="1" applyAlignment="1">
      <x:alignment vertical="center" wrapText="1"/>
    </x:xf>
    <x:xf numFmtId="0" fontId="69" fillId="10" borderId="781" xfId="3" applyNumberFormat="1" applyFont="1" applyFill="1" applyBorder="1" applyAlignment="1">
      <x:alignment vertical="center" wrapText="0"/>
    </x:xf>
    <x:xf numFmtId="224" fontId="77" fillId="10" borderId="782" xfId="3" applyNumberFormat="1" applyFont="1" applyFill="1" applyBorder="1" applyAlignment="1">
      <x:alignment vertical="center" wrapText="0"/>
    </x:xf>
    <x:xf numFmtId="224" fontId="81" fillId="10" borderId="783" xfId="3" applyNumberFormat="1" applyFont="1" applyFill="1" applyBorder="1" applyAlignment="1">
      <x:alignment vertical="center" wrapText="0"/>
    </x:xf>
    <x:xf numFmtId="0" fontId="69" fillId="10" borderId="784" xfId="3" applyNumberFormat="1" applyFont="1" applyFill="1" applyBorder="1" applyAlignment="1">
      <x:alignment vertical="center" wrapText="0"/>
    </x:xf>
    <x:xf numFmtId="224" fontId="77" fillId="10" borderId="785" xfId="3" applyNumberFormat="1" applyFont="1" applyFill="1" applyBorder="1" applyAlignment="1">
      <x:alignment vertical="center" wrapText="0"/>
    </x:xf>
    <x:xf numFmtId="224" fontId="81" fillId="10" borderId="786" xfId="3" applyNumberFormat="1" applyFont="1" applyFill="1" applyBorder="1" applyAlignment="1">
      <x:alignment vertical="center" wrapText="0"/>
    </x:xf>
    <x:xf numFmtId="0" fontId="82" fillId="10" borderId="787" xfId="3" applyNumberFormat="1" applyFont="1" applyFill="1" applyBorder="1" applyAlignment="1">
      <x:alignment vertical="center" wrapText="0"/>
    </x:xf>
    <x:xf numFmtId="223" fontId="82" fillId="10" borderId="788" xfId="3" applyNumberFormat="1" applyFont="1" applyFill="1" applyBorder="1" applyAlignment="1">
      <x:alignment vertical="center" wrapText="0"/>
    </x:xf>
    <x:xf numFmtId="224" fontId="70" fillId="12" borderId="789" xfId="3" applyNumberFormat="1" applyFont="1" applyFill="1" applyBorder="1" applyAlignment="1">
      <x:alignment horizontal="center" vertical="center" wrapText="0"/>
    </x:xf>
    <x:xf numFmtId="0" fontId="70" fillId="12" borderId="790" xfId="3" applyNumberFormat="1" applyFont="1" applyFill="1" applyBorder="1" applyAlignment="1">
      <x:alignment horizontal="center" vertical="center" wrapText="0"/>
    </x:xf>
    <x:xf numFmtId="0" fontId="70" fillId="12" borderId="791" xfId="3" applyNumberFormat="1" applyFont="1" applyFill="1" applyBorder="1" applyAlignment="1">
      <x:alignment horizontal="center" vertical="center" wrapText="0"/>
    </x:xf>
    <x:xf numFmtId="224" fontId="69" fillId="10" borderId="792" xfId="3" applyNumberFormat="1" applyFont="1" applyFill="1" applyBorder="1" applyAlignment="1">
      <x:alignment vertical="center" wrapText="0"/>
    </x:xf>
    <x:xf numFmtId="224" fontId="69" fillId="10" borderId="793" xfId="3" applyNumberFormat="1" applyFont="1" applyFill="1" applyBorder="1" applyAlignment="1">
      <x:alignment vertical="center" wrapText="1"/>
    </x:xf>
    <x:xf numFmtId="226" fontId="69" fillId="10" borderId="794" xfId="3" applyNumberFormat="1" applyFont="1" applyFill="1" applyBorder="1" applyAlignment="1">
      <x:alignment vertical="center" wrapText="0"/>
    </x:xf>
    <x:xf numFmtId="226" fontId="69" fillId="10" borderId="795" xfId="3" applyNumberFormat="1" applyFont="1" applyFill="1" applyBorder="1" applyAlignment="1">
      <x:alignment vertical="center" wrapText="0"/>
    </x:xf>
    <x:xf numFmtId="226" fontId="69" fillId="10" borderId="796" xfId="3" applyNumberFormat="1" applyFont="1" applyFill="1" applyBorder="1" applyAlignment="1">
      <x:alignment vertical="center" wrapText="0"/>
    </x:xf>
    <x:xf numFmtId="0" fontId="69" fillId="10" borderId="797" xfId="3" applyNumberFormat="1" applyFont="1" applyFill="1" applyBorder="1" applyAlignment="1">
      <x:alignment vertical="center" wrapText="0"/>
    </x:xf>
    <x:xf numFmtId="224" fontId="69" fillId="10" borderId="798" xfId="3" applyNumberFormat="1" applyFont="1" applyFill="1" applyBorder="1" applyAlignment="1">
      <x:alignment vertical="center" wrapText="0"/>
    </x:xf>
    <x:xf numFmtId="0" fontId="69" fillId="10" borderId="799" xfId="3" applyNumberFormat="1" applyFont="1" applyFill="1" applyBorder="1" applyAlignment="1">
      <x:alignment vertical="center" wrapText="0"/>
    </x:xf>
    <x:xf numFmtId="0" fontId="69" fillId="10" borderId="800" xfId="3" applyNumberFormat="1" applyFont="1" applyFill="1" applyBorder="1" applyAlignment="1">
      <x:alignment vertical="center" wrapText="0"/>
    </x:xf>
    <x:xf numFmtId="0" fontId="70" fillId="10" borderId="801" xfId="3" applyNumberFormat="1" applyFont="1" applyFill="1" applyBorder="1" applyAlignment="1">
      <x:alignment vertical="center" wrapText="0"/>
    </x:xf>
    <x:xf numFmtId="224" fontId="70" fillId="10" borderId="802" xfId="3" applyNumberFormat="1" applyFont="1" applyFill="1" applyBorder="1" applyAlignment="1">
      <x:alignment vertical="center" wrapText="0"/>
    </x:xf>
    <x:xf numFmtId="224" fontId="70" fillId="10" borderId="803" xfId="3" applyNumberFormat="1" applyFont="1" applyFill="1" applyBorder="1" applyAlignment="1">
      <x:alignment vertical="center" wrapText="1"/>
    </x:xf>
    <x:xf numFmtId="229" fontId="69" fillId="10" borderId="804" xfId="3" applyNumberFormat="1" applyFont="1" applyFill="1" applyBorder="1" applyAlignment="1">
      <x:alignment vertical="center" wrapText="0"/>
    </x:xf>
    <x:xf numFmtId="229" fontId="69" fillId="10" borderId="805" xfId="3" applyNumberFormat="1" applyFont="1" applyFill="1" applyBorder="1" applyAlignment="1">
      <x:alignment vertical="center" wrapText="1"/>
    </x:xf>
    <x:xf numFmtId="224" fontId="70" fillId="10" borderId="806" xfId="3" applyNumberFormat="1" applyFont="1" applyFill="1" applyBorder="1" applyAlignment="1">
      <x:alignment vertical="center" wrapText="1"/>
    </x:xf>
    <x:xf numFmtId="229" fontId="69" fillId="10" borderId="807" xfId="3" applyNumberFormat="1" applyFont="1" applyFill="1" applyBorder="1" applyAlignment="1">
      <x:alignment vertical="center" wrapText="0"/>
    </x:xf>
    <x:xf numFmtId="229" fontId="69" fillId="10" borderId="808" xfId="3" applyNumberFormat="1" applyFont="1" applyFill="1" applyBorder="1" applyAlignment="1">
      <x:alignment vertical="center" wrapText="1"/>
    </x:xf>
    <x:xf numFmtId="0" fontId="69" fillId="10" borderId="809" xfId="3" applyNumberFormat="1" applyFont="1" applyFill="1" applyBorder="1" applyAlignment="1">
      <x:alignment vertical="center" wrapText="0"/>
    </x:xf>
    <x:xf numFmtId="0" fontId="69" fillId="10" borderId="810" xfId="3" applyNumberFormat="1" applyFont="1" applyFill="1" applyBorder="1" applyAlignment="1">
      <x:alignment vertical="center" wrapText="0"/>
    </x:xf>
    <x:xf numFmtId="0" fontId="69" fillId="10" borderId="811" xfId="3" applyNumberFormat="1" applyFont="1" applyFill="1" applyBorder="1" applyAlignment="1">
      <x:alignment vertical="center" wrapText="0"/>
    </x:xf>
    <x:xf numFmtId="224" fontId="69" fillId="10" borderId="812" xfId="3" applyNumberFormat="1" applyFont="1" applyFill="1" applyBorder="1" applyAlignment="1">
      <x:alignment vertical="center" wrapText="0"/>
    </x:xf>
    <x:xf numFmtId="0" fontId="69" fillId="10" borderId="813" xfId="3" applyNumberFormat="1" applyFont="1" applyFill="1" applyBorder="1" applyAlignment="1">
      <x:alignment vertical="center" wrapText="0"/>
    </x:xf>
    <x:xf numFmtId="224" fontId="69" fillId="10" borderId="814" xfId="3" applyNumberFormat="1" applyFont="1" applyFill="1" applyBorder="1" applyAlignment="1">
      <x:alignment vertical="center" wrapText="0"/>
    </x:xf>
    <x:xf numFmtId="225" fontId="77" fillId="10" borderId="815" xfId="3" applyNumberFormat="1" applyFont="1" applyFill="1" applyBorder="1" applyAlignment="1">
      <x:alignment vertical="center" wrapText="0"/>
    </x:xf>
    <x:xf numFmtId="0" fontId="72" fillId="10" borderId="816" xfId="3" applyNumberFormat="1" applyFont="1" applyFill="1" applyBorder="1" applyAlignment="1">
      <x:alignment vertical="center" wrapText="0"/>
    </x:xf>
    <x:xf numFmtId="224" fontId="77" fillId="10" borderId="817" xfId="3" applyNumberFormat="1" applyFont="1" applyFill="1" applyBorder="1" applyAlignment="1">
      <x:alignment vertical="center" wrapText="0"/>
    </x:xf>
    <x:xf numFmtId="0" fontId="70" fillId="10" borderId="818" xfId="3" applyNumberFormat="1" applyFont="1" applyFill="1" applyBorder="1" applyAlignment="1">
      <x:alignment vertical="center" wrapText="0"/>
    </x:xf>
    <x:xf numFmtId="0" fontId="70" fillId="12" borderId="819" xfId="3" applyNumberFormat="1" applyFont="1" applyFill="1" applyBorder="1" applyAlignment="1">
      <x:alignment vertical="center" wrapText="1"/>
    </x:xf>
    <x:xf numFmtId="0" fontId="70" fillId="12" borderId="820" xfId="3" applyNumberFormat="1" applyFont="1" applyFill="1" applyBorder="1" applyAlignment="1">
      <x:alignment vertical="center" wrapText="1"/>
    </x:xf>
    <x:xf numFmtId="226" fontId="67" fillId="10" borderId="821" xfId="3" applyNumberFormat="1" applyFont="1" applyFill="1" applyBorder="1"/>
    <x:xf numFmtId="224" fontId="69" fillId="10" borderId="822" xfId="3" applyNumberFormat="1" applyFont="1" applyFill="1" applyBorder="1" applyAlignment="1">
      <x:alignment vertical="center" wrapText="0"/>
    </x:xf>
    <x:xf numFmtId="224" fontId="70" fillId="10" borderId="823" xfId="3" applyNumberFormat="1" applyFont="1" applyFill="1" applyBorder="1" applyAlignment="1">
      <x:alignment vertical="center" wrapText="0"/>
    </x:xf>
    <x:xf numFmtId="224" fontId="70" fillId="10" borderId="824" xfId="3" applyNumberFormat="1" applyFont="1" applyFill="1" applyBorder="1" applyAlignment="1">
      <x:alignment vertical="center" wrapText="0"/>
    </x:xf>
    <x:xf numFmtId="224" fontId="74" fillId="10" borderId="825" xfId="3" applyNumberFormat="1" applyFont="1" applyFill="1" applyBorder="1"/>
    <x:xf numFmtId="0" fontId="70" fillId="12" borderId="826" xfId="3" applyNumberFormat="1" applyFont="1" applyFill="1" applyBorder="1" applyAlignment="1">
      <x:alignment vertical="center" wrapText="1"/>
    </x:xf>
    <x:xf numFmtId="0" fontId="69" fillId="10" borderId="827" xfId="3" applyNumberFormat="1" applyFont="1" applyFill="1" applyBorder="1" applyAlignment="1">
      <x:alignment vertical="center" wrapText="0"/>
    </x:xf>
    <x:xf numFmtId="224" fontId="79" fillId="10" borderId="828" xfId="3" applyNumberFormat="1" applyFont="1" applyFill="1" applyBorder="1" applyAlignment="1">
      <x:alignment vertical="center" wrapText="1"/>
    </x:xf>
    <x:xf numFmtId="0" fontId="69" fillId="10" borderId="829" xfId="3" applyNumberFormat="1" applyFont="1" applyFill="1" applyBorder="1" applyAlignment="1">
      <x:alignment vertical="center" wrapText="1"/>
    </x:xf>
    <x:xf numFmtId="0" fontId="69" fillId="10" borderId="830" xfId="3" applyNumberFormat="1" applyFont="1" applyFill="1" applyBorder="1" applyAlignment="1">
      <x:alignment vertical="center" wrapText="1"/>
    </x:xf>
    <x:xf numFmtId="0" fontId="69" fillId="10" borderId="831" xfId="3" applyNumberFormat="1" applyFont="1" applyFill="1" applyBorder="1" applyAlignment="1">
      <x:alignment vertical="center" wrapText="1"/>
    </x:xf>
    <x:xf numFmtId="226" fontId="69" fillId="10" borderId="832" xfId="3" applyNumberFormat="1" applyFont="1" applyFill="1" applyBorder="1" applyAlignment="1">
      <x:alignment vertical="center" wrapText="1"/>
    </x:xf>
    <x:xf numFmtId="225" fontId="79" fillId="10" borderId="833" xfId="3" applyNumberFormat="1" applyFont="1" applyFill="1" applyBorder="1" applyAlignment="1">
      <x:alignment vertical="center" wrapText="1"/>
    </x:xf>
    <x:xf numFmtId="224" fontId="79" fillId="10" borderId="834" xfId="3" applyNumberFormat="1" applyFont="1" applyFill="1" applyBorder="1" applyAlignment="1">
      <x:alignment vertical="center" wrapText="1"/>
    </x:xf>
    <x:xf numFmtId="224" fontId="79" fillId="10" borderId="835" xfId="3" applyNumberFormat="1" applyFont="1" applyFill="1" applyBorder="1" applyAlignment="1">
      <x:alignment vertical="center" wrapText="1"/>
    </x:xf>
    <x:xf numFmtId="0" fontId="69" fillId="10" borderId="836" xfId="3" applyNumberFormat="1" applyFont="1" applyFill="1" applyBorder="1" applyAlignment="1">
      <x:alignment vertical="center" wrapText="1"/>
    </x:xf>
    <x:xf numFmtId="0" fontId="69" fillId="10" borderId="837" xfId="3" applyNumberFormat="1" applyFont="1" applyFill="1" applyBorder="1" applyAlignment="1">
      <x:alignment vertical="center" wrapText="1"/>
    </x:xf>
    <x:xf numFmtId="0" fontId="70" fillId="12" borderId="838" xfId="3" applyNumberFormat="1" applyFont="1" applyFill="1" applyBorder="1" applyAlignment="1">
      <x:alignment horizontal="center" vertical="top" wrapText="1"/>
    </x:xf>
    <x:xf numFmtId="0" fontId="69" fillId="10" borderId="839" xfId="3" applyNumberFormat="1" applyFont="1" applyFill="1" applyBorder="1" applyAlignment="1">
      <x:alignment vertical="top" wrapText="1"/>
    </x:xf>
    <x:xf numFmtId="0" fontId="69" fillId="10" borderId="840" xfId="3" applyNumberFormat="1" applyFont="1" applyFill="1" applyBorder="1" applyAlignment="1">
      <x:alignment vertical="top" wrapText="1"/>
    </x:xf>
    <x:xf numFmtId="0" fontId="69" fillId="10" borderId="841" xfId="3" applyNumberFormat="1" applyFont="1" applyFill="1" applyBorder="1" applyAlignment="1">
      <x:alignment vertical="top" wrapText="1"/>
    </x:xf>
    <x:xf numFmtId="0" fontId="69" fillId="10" borderId="842" xfId="3" applyNumberFormat="1" applyFont="1" applyFill="1" applyBorder="1" applyAlignment="1">
      <x:alignment vertical="top" wrapText="1"/>
    </x:xf>
    <x:xf numFmtId="0" fontId="69" fillId="10" borderId="843" xfId="3" applyNumberFormat="1" applyFont="1" applyFill="1" applyBorder="1" applyAlignment="1">
      <x:alignment vertical="top" wrapText="1"/>
    </x:xf>
    <x:xf numFmtId="224" fontId="79" fillId="10" borderId="844" xfId="3" applyNumberFormat="1" applyFont="1" applyFill="1" applyBorder="1" applyAlignment="1">
      <x:alignment vertical="top" wrapText="1"/>
    </x:xf>
    <x:xf numFmtId="0" fontId="69" fillId="10" borderId="845" xfId="3" applyNumberFormat="1" applyFont="1" applyFill="1" applyBorder="1" applyAlignment="1">
      <x:alignment vertical="top" wrapText="1"/>
    </x:xf>
    <x:xf numFmtId="224" fontId="79" fillId="10" borderId="846" xfId="3" applyNumberFormat="1" applyFont="1" applyFill="1" applyBorder="1" applyAlignment="1">
      <x:alignment vertical="top" wrapText="1"/>
    </x:xf>
    <x:xf numFmtId="0" fontId="69" fillId="10" borderId="847" xfId="3" applyNumberFormat="1" applyFont="1" applyFill="1" applyBorder="1" applyAlignment="1">
      <x:alignment vertical="top" wrapText="1"/>
    </x:xf>
    <x:xf numFmtId="226" fontId="69" fillId="10" borderId="848" xfId="3" applyNumberFormat="1" applyFont="1" applyFill="1" applyBorder="1" applyAlignment="1">
      <x:alignment vertical="top" wrapText="1"/>
    </x:xf>
    <x:xf numFmtId="0" fontId="69" fillId="10" borderId="849" xfId="3" applyNumberFormat="1" applyFont="1" applyFill="1" applyBorder="1" applyAlignment="1">
      <x:alignment wrapText="1"/>
    </x:xf>
    <x:xf numFmtId="0" fontId="69" fillId="10" borderId="850" xfId="3" applyNumberFormat="1" applyFont="1" applyFill="1" applyBorder="1" applyAlignment="1">
      <x:alignment wrapText="1"/>
    </x:xf>
    <x:xf numFmtId="0" fontId="69" fillId="10" borderId="851" xfId="3" applyNumberFormat="1" applyFont="1" applyFill="1" applyBorder="1" applyAlignment="1">
      <x:alignment wrapText="1"/>
    </x:xf>
    <x:xf numFmtId="0" fontId="89" fillId="10" borderId="639" xfId="3" applyNumberFormat="1" applyFont="1" applyFill="1" applyBorder="1" applyAlignment="1">
      <x:alignment vertical="top" wrapText="1"/>
    </x:xf>
    <x:xf numFmtId="230" fontId="69" fillId="10" borderId="639" xfId="3" applyNumberFormat="1" applyFont="1" applyFill="1" applyBorder="1" applyAlignment="1">
      <x:alignment vertical="top" wrapText="1"/>
    </x:xf>
    <x:xf numFmtId="0" fontId="69" fillId="13" borderId="639" xfId="3" applyNumberFormat="1" applyFont="1" applyFill="1" applyBorder="1" applyAlignment="1">
      <x:alignment vertical="top" wrapText="1"/>
    </x:xf>
    <x:xf numFmtId="0" fontId="70" fillId="13" borderId="639" xfId="3" applyNumberFormat="1" applyFont="1" applyFill="1" applyBorder="1" applyAlignment="1">
      <x:alignment vertical="top" wrapText="1"/>
    </x:xf>
    <x:xf numFmtId="0" fontId="70" fillId="13" borderId="639" xfId="3" applyNumberFormat="1" applyFont="1" applyFill="1" applyBorder="1" applyAlignment="1">
      <x:alignment horizontal="center" vertical="top" wrapText="1"/>
    </x:xf>
    <x:xf numFmtId="0" fontId="70" fillId="13" borderId="640" xfId="3" applyNumberFormat="1" applyFont="1" applyFill="1" applyBorder="1" applyAlignment="1">
      <x:alignment horizontal="center" vertical="top" wrapText="1"/>
    </x:xf>
    <x:xf numFmtId="0" fontId="81" fillId="10" borderId="639" xfId="3" applyNumberFormat="1" applyFont="1" applyFill="1" applyBorder="1" applyAlignment="1">
      <x:alignment vertical="top" wrapText="1"/>
    </x:xf>
    <x:xf numFmtId="231" fontId="77" fillId="10" borderId="639" xfId="3" applyNumberFormat="1" applyFont="1" applyFill="1" applyBorder="1" applyAlignment="1">
      <x:alignment vertical="top" wrapText="1"/>
    </x:xf>
    <x:xf numFmtId="231" fontId="81" fillId="10" borderId="639" xfId="3" applyNumberFormat="1" applyFont="1" applyFill="1" applyBorder="1" applyAlignment="1">
      <x:alignment vertical="top" wrapText="1"/>
    </x:xf>
    <x:xf numFmtId="0" fontId="70" fillId="13" borderId="641" xfId="3" applyNumberFormat="1" applyFont="1" applyFill="1" applyBorder="1" applyAlignment="1">
      <x:alignment horizontal="center" vertical="top" wrapText="1"/>
    </x:xf>
    <x:xf numFmtId="0" fontId="70" fillId="13" borderId="655" xfId="3" applyNumberFormat="1" applyFont="1" applyFill="1" applyBorder="1" applyAlignment="1">
      <x:alignment horizontal="center" vertical="top" wrapText="1"/>
    </x:xf>
    <x:xf numFmtId="0" fontId="70" fillId="13" borderId="642" xfId="3" applyNumberFormat="1" applyFont="1" applyFill="1" applyBorder="1" applyAlignment="1">
      <x:alignment horizontal="center" vertical="top" wrapText="1"/>
    </x:xf>
    <x:xf numFmtId="231" fontId="77" fillId="10" borderId="653" xfId="3" applyNumberFormat="1" applyFont="1" applyFill="1" applyBorder="1" applyAlignment="1">
      <x:alignment vertical="top" wrapText="1"/>
    </x:xf>
    <x:xf numFmtId="231" fontId="77" fillId="10" borderId="644" xfId="3" applyNumberFormat="1" applyFont="1" applyFill="1" applyBorder="1" applyAlignment="1">
      <x:alignment vertical="top" wrapText="1"/>
    </x:xf>
    <x:xf numFmtId="231" fontId="81" fillId="10" borderId="654" xfId="3" applyNumberFormat="1" applyFont="1" applyFill="1" applyBorder="1" applyAlignment="1">
      <x:alignment vertical="top" wrapText="1"/>
    </x:xf>
    <x:xf numFmtId="231" fontId="81" fillId="10" borderId="646" xfId="3" applyNumberFormat="1" applyFont="1" applyFill="1" applyBorder="1" applyAlignment="1">
      <x:alignment vertical="top" wrapText="1"/>
    </x:xf>
    <x:xf numFmtId="231" fontId="81" fillId="10" borderId="655" xfId="3" applyNumberFormat="1" applyFont="1" applyFill="1" applyBorder="1" applyAlignment="1">
      <x:alignment vertical="top" wrapText="1"/>
    </x:xf>
    <x:xf numFmtId="231" fontId="81" fillId="10" borderId="642" xfId="3" applyNumberFormat="1" applyFont="1" applyFill="1" applyBorder="1" applyAlignment="1">
      <x:alignment vertical="top" wrapText="1"/>
    </x:xf>
    <x:xf numFmtId="231" fontId="69" fillId="10" borderId="639" xfId="3" applyNumberFormat="1" applyFont="1" applyFill="1" applyBorder="1" applyAlignment="1">
      <x:alignment vertical="top" wrapText="1"/>
    </x:xf>
    <x:xf numFmtId="231" fontId="79" fillId="10" borderId="639" xfId="3" applyNumberFormat="1" applyFont="1" applyFill="1" applyBorder="1" applyAlignment="1">
      <x:alignment vertical="top" wrapText="1"/>
    </x:xf>
    <x:xf numFmtId="231" fontId="79" fillId="10" borderId="653" xfId="3" applyNumberFormat="1" applyFont="1" applyFill="1" applyBorder="1" applyAlignment="1">
      <x:alignment vertical="top" wrapText="1"/>
    </x:xf>
    <x:xf numFmtId="230" fontId="69" fillId="10" borderId="653" xfId="3" applyNumberFormat="1" applyFont="1" applyFill="1" applyBorder="1" applyAlignment="1">
      <x:alignment vertical="top" wrapText="1"/>
    </x:xf>
    <x:xf numFmtId="231" fontId="79" fillId="10" borderId="654" xfId="3" applyNumberFormat="1" applyFont="1" applyFill="1" applyBorder="1" applyAlignment="1">
      <x:alignment vertical="top" wrapText="1"/>
    </x:xf>
    <x:xf numFmtId="230" fontId="69" fillId="10" borderId="654" xfId="3" applyNumberFormat="1" applyFont="1" applyFill="1" applyBorder="1" applyAlignment="1">
      <x:alignment vertical="top" wrapText="1"/>
    </x:xf>
    <x:xf numFmtId="0" fontId="69" fillId="13" borderId="650" xfId="3" applyNumberFormat="1" applyFont="1" applyFill="1" applyBorder="1" applyAlignment="1">
      <x:alignment vertical="top" wrapText="1"/>
    </x:xf>
    <x:xf numFmtId="0" fontId="69" fillId="13" borderId="656" xfId="3" applyNumberFormat="1" applyFont="1" applyFill="1" applyBorder="1" applyAlignment="1">
      <x:alignment vertical="top" wrapText="1"/>
    </x:xf>
    <x:xf numFmtId="0" fontId="69" fillId="13" borderId="651" xfId="3" applyNumberFormat="1" applyFont="1" applyFill="1" applyBorder="1" applyAlignment="1">
      <x:alignment vertical="top" wrapText="1"/>
    </x:xf>
    <x:xf numFmtId="0" fontId="70" fillId="13" borderId="650" xfId="3" applyNumberFormat="1" applyFont="1" applyFill="1" applyBorder="1" applyAlignment="1">
      <x:alignment vertical="top" wrapText="1"/>
    </x:xf>
    <x:xf numFmtId="0" fontId="70" fillId="13" borderId="656" xfId="3" applyNumberFormat="1" applyFont="1" applyFill="1" applyBorder="1" applyAlignment="1">
      <x:alignment vertical="top" wrapText="1"/>
    </x:xf>
    <x:xf numFmtId="0" fontId="70" fillId="13" borderId="651" xfId="3" applyNumberFormat="1" applyFont="1" applyFill="1" applyBorder="1" applyAlignment="1">
      <x:alignment vertical="top" wrapText="1"/>
    </x:xf>
    <x:xf numFmtId="0" fontId="70" fillId="13" borderId="650" xfId="3" applyNumberFormat="1" applyFont="1" applyFill="1" applyBorder="1" applyAlignment="1">
      <x:alignment horizontal="center" vertical="top" wrapText="1"/>
    </x:xf>
    <x:xf numFmtId="0" fontId="70" fillId="13" borderId="656" xfId="3" applyNumberFormat="1" applyFont="1" applyFill="1" applyBorder="1" applyAlignment="1">
      <x:alignment horizontal="center" vertical="top" wrapText="1"/>
    </x:xf>
    <x:xf numFmtId="0" fontId="70" fillId="13" borderId="651" xfId="3" applyNumberFormat="1" applyFont="1" applyFill="1" applyBorder="1" applyAlignment="1">
      <x:alignment horizontal="center" vertical="top" wrapText="1"/>
    </x:xf>
    <x:xf numFmtId="0" fontId="67" fillId="10" borderId="639" xfId="3" applyNumberFormat="1" applyFont="1" applyFill="1" applyBorder="1" applyAlignment="1">
      <x:alignment wrapText="1"/>
    </x:xf>
    <x:xf numFmtId="0" fontId="67" fillId="10" borderId="645" xfId="3" applyNumberFormat="1" applyFont="1" applyFill="1" applyBorder="1" applyAlignment="1">
      <x:alignment wrapText="1"/>
    </x:xf>
    <x:xf numFmtId="0" fontId="67" fillId="10" borderId="646" xfId="3" applyNumberFormat="1" applyFont="1" applyFill="1" applyBorder="1" applyAlignment="1">
      <x:alignment wrapText="1"/>
    </x:xf>
    <x:xf numFmtId="0" fontId="67" fillId="10" borderId="645" xfId="3" applyNumberFormat="1" applyFont="1" applyFill="1" applyBorder="1"/>
    <x:xf numFmtId="0" fontId="67" fillId="10" borderId="646" xfId="3" applyNumberFormat="1" applyFont="1" applyFill="1" applyBorder="1"/>
    <x:xf numFmtId="230" fontId="47" fillId="7" borderId="426" xfId="2" applyNumberFormat="1" applyFont="1" applyFill="1" applyBorder="1" applyAlignment="1">
      <x:alignment vertical="top" wrapText="1"/>
    </x:xf>
    <x:xf numFmtId="231" fontId="55" fillId="7" borderId="440" xfId="2" applyNumberFormat="1" applyFont="1" applyFill="1" applyBorder="1" applyAlignment="1">
      <x:alignment vertical="top" wrapText="1"/>
    </x:xf>
    <x:xf numFmtId="231" fontId="55" fillId="7" borderId="431" xfId="2" applyNumberFormat="1" applyFont="1" applyFill="1" applyBorder="1" applyAlignment="1">
      <x:alignment vertical="top" wrapText="1"/>
    </x:xf>
    <x:xf numFmtId="231" fontId="59" fillId="7" borderId="442" xfId="2" applyNumberFormat="1" applyFont="1" applyFill="1" applyBorder="1" applyAlignment="1">
      <x:alignment vertical="top" wrapText="1"/>
    </x:xf>
    <x:xf numFmtId="231" fontId="59" fillId="7" borderId="429" xfId="2" applyNumberFormat="1" applyFont="1" applyFill="1" applyBorder="1" applyAlignment="1">
      <x:alignment vertical="top" wrapText="1"/>
    </x:xf>
    <x:xf numFmtId="0" fontId="48" fillId="7" borderId="426" xfId="2" applyNumberFormat="1" applyFont="1" applyFill="1" applyBorder="1" applyAlignment="1">
      <x:alignment vertical="top" wrapText="0"/>
    </x:xf>
    <x:xf numFmtId="0" fontId="48" fillId="14" borderId="428" xfId="2" applyNumberFormat="1" applyFont="1" applyFill="1" applyBorder="1" applyAlignment="1">
      <x:alignment horizontal="center" vertical="top" wrapText="1"/>
    </x:xf>
    <x:xf numFmtId="0" fontId="48" fillId="14" borderId="442" xfId="2" applyNumberFormat="1" applyFont="1" applyFill="1" applyBorder="1" applyAlignment="1">
      <x:alignment horizontal="center" vertical="top" wrapText="1"/>
    </x:xf>
    <x:xf numFmtId="0" fontId="48" fillId="14" borderId="429" xfId="2" applyNumberFormat="1" applyFont="1" applyFill="1" applyBorder="1" applyAlignment="1">
      <x:alignment horizontal="center" vertical="top" wrapText="1"/>
    </x:xf>
    <x:xf numFmtId="231" fontId="57" fillId="7" borderId="440" xfId="2" applyNumberFormat="1" applyFont="1" applyFill="1" applyBorder="1" applyAlignment="1">
      <x:alignment vertical="top" wrapText="1"/>
    </x:xf>
    <x:xf numFmtId="230" fontId="47" fillId="7" borderId="440" xfId="2" applyNumberFormat="1" applyFont="1" applyFill="1" applyBorder="1" applyAlignment="1">
      <x:alignment vertical="top" wrapText="1"/>
    </x:xf>
    <x:xf numFmtId="231" fontId="57" fillId="7" borderId="441" xfId="2" applyNumberFormat="1" applyFont="1" applyFill="1" applyBorder="1" applyAlignment="1">
      <x:alignment vertical="top" wrapText="1"/>
    </x:xf>
    <x:xf numFmtId="230" fontId="47" fillId="7" borderId="441" xfId="2" applyNumberFormat="1" applyFont="1" applyFill="1" applyBorder="1" applyAlignment="1">
      <x:alignment vertical="top" wrapText="1"/>
    </x:xf>
    <x:xf numFmtId="0" fontId="45" fillId="7" borderId="432" xfId="2" applyNumberFormat="1" applyFont="1" applyFill="1" applyBorder="1" applyAlignment="1">
      <x:alignment wrapText="1"/>
    </x:xf>
    <x:xf numFmtId="0" fontId="45" fillId="7" borderId="433" xfId="2" applyNumberFormat="1" applyFont="1" applyFill="1" applyBorder="1" applyAlignment="1">
      <x:alignment wrapText="1"/>
    </x:xf>
    <x:xf numFmtId="0" fontId="45" fillId="7" borderId="432" xfId="2" applyNumberFormat="1" applyFont="1" applyFill="1" applyBorder="1" applyAlignment="1">
      <x:alignment vertical="top" wrapText="1"/>
    </x:xf>
    <x:xf numFmtId="0" fontId="45" fillId="7" borderId="433" xfId="2" applyNumberFormat="1" applyFont="1" applyFill="1" applyBorder="1" applyAlignment="1">
      <x:alignment vertical="top" wrapText="1"/>
    </x:xf>
    <x:xf numFmtId="0" fontId="46" fillId="7" borderId="432" xfId="2" applyNumberFormat="1" applyFont="1" applyFill="1" applyBorder="1" applyAlignment="1">
      <x:alignment vertical="top" wrapText="1"/>
    </x:xf>
    <x:xf numFmtId="0" fontId="46" fillId="7" borderId="433" xfId="2" applyNumberFormat="1" applyFont="1" applyFill="1" applyBorder="1" applyAlignment="1">
      <x:alignment vertical="top" wrapText="1"/>
    </x:xf>
    <x:xf numFmtId="0" fontId="45" fillId="7" borderId="432" xfId="2" applyNumberFormat="1" applyFont="1" applyFill="1" applyBorder="1" applyAlignment="1">
      <x:alignment vertical="top"/>
    </x:xf>
    <x:xf numFmtId="0" fontId="45" fillId="7" borderId="433" xfId="2" applyNumberFormat="1" applyFont="1" applyFill="1" applyBorder="1" applyAlignment="1">
      <x:alignment vertical="top"/>
    </x:xf>
  </x:cellXfs>
  <x:cellStyles count="1">
    <x:cellStyle name="Normal" xfId="0"/>
  </x:cellStyles>
</x:styleSheet>
</file>

<file path=xl/_rels/workbook.xml.rels><?xml version='1.0' encoding='utf-8'?>
<ns0:Relationships xmlns:ns0="http://schemas.openxmlformats.org/package/2006/relationships"><ns0:Relationship Type="http://schemas.openxmlformats.org/officeDocument/2006/relationships/styles" Target="/xl/styles.xml" Id="R1927fed026804b91" /><ns0:Relationship Type="http://schemas.openxmlformats.org/officeDocument/2006/relationships/theme" Target="/xl/theme/theme1.xml" Id="Rac41d495168e4cfd" /><ns0:Relationship Type="http://schemas.openxmlformats.org/officeDocument/2006/relationships/sharedStrings" Target="/xl/sharedStrings.xml" Id="R87730367b58b48a8" /><ns0:Relationship Type="http://schemas.openxmlformats.org/officeDocument/2006/relationships/worksheet" Target="/xl/worksheets/sheet1.xml" Id="R1c8af66a62e64dda" /><ns0:Relationship Type="http://schemas.openxmlformats.org/officeDocument/2006/relationships/worksheet" Target="/xl/worksheets/sheet2.xml" Id="R4827a278e9a449ae" /><ns0:Relationship Type="http://schemas.openxmlformats.org/officeDocument/2006/relationships/worksheet" Target="/xl/worksheets/sheet3.xml" Id="R3991ce6d3dd34991" /><ns0:Relationship Type="http://schemas.openxmlformats.org/officeDocument/2006/relationships/worksheet" Target="/xl/worksheets/sheet4.xml" Id="Rca582e281bdd4e23" /><ns0:Relationship Type="http://schemas.openxmlformats.org/officeDocument/2006/relationships/worksheet" Target="/xl/worksheets/sheet5.xml" Id="R2fde42e019dd4116" /><ns0:Relationship Type="http://schemas.openxmlformats.org/officeDocument/2006/relationships/worksheet" Target="/xl/worksheets/sheet6.xml" Id="R36cea3b99dc34710" /><ns0:Relationship Type="http://schemas.openxmlformats.org/officeDocument/2006/relationships/worksheet" Target="/xl/worksheets/sheet7.xml" Id="R6c21f4568ec9423c" /><ns0:Relationship Type="http://schemas.openxmlformats.org/officeDocument/2006/relationships/worksheet" Target="/xl/worksheets/sheet8.xml" Id="R8827ffce0c1e4e55" /><ns0:Relationship Type="http://schemas.openxmlformats.org/officeDocument/2006/relationships/worksheet" Target="/xl/worksheets/sheet9.xml" Id="Rc235c1c8bcea4b74" /><ns0:Relationship Type="http://schemas.openxmlformats.org/officeDocument/2006/relationships/worksheet" Target="/xl/worksheets/sheet10.xml" Id="R814da3365860470a" /><ns0:Relationship Id="rIdAnnualHistory" Type="http://schemas.openxmlformats.org/officeDocument/2006/relationships/worksheet" Target="worksheets/sheet11.xml" /></ns0: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_rels/drawing3.xml.rels><?xml version='1.0' encoding='utf-8'?>
<ns0:Relationships xmlns:ns0="http://schemas.openxmlformats.org/package/2006/relationships"><ns0:Relationship Type="http://schemas.openxmlformats.org/officeDocument/2006/relationships/chart" Target="charts/chart4.xml" Id="Rf64a64cfcf6447a3" /></ns0: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ns0:chartSpace xmlns:ns0="http://schemas.openxmlformats.org/drawingml/2006/chart" xmlns:ns1="http://schemas.openxmlformats.org/drawingml/2006/main">
  <ns0:lang val="en-US"/>
  <ns0:roundedCorners val="0"/>
  <ns0:chart>
    <ns0:title>
      <ns0:tx>
        <ns0:rich>
          <ns1:bodyPr/>
          <ns1:lstStyle/>
          <ns1:p>
            <ns1:r>
              <ns1:rPr sz="900">
                <ns1:latin typeface="Arial"/>
                <ns1:ea typeface="Arial"/>
                <ns1:cs typeface="Arial"/>
              </ns1:rPr>
              <ns1:t>Principal at Aug 31, 2026 (USD billions)
FY2027 remainder. Scale ends at $12B; the hatched Thereafter bar (FY2032-FY2066 combined, $90.3B) runs past it</ns1:t>
            </ns1:r>
          </ns1:p>
        </ns0:rich>
      </ns0:tx>
      <ns0:overlay val="0"/>
      <ns0:txPr>
        <ns1:bodyPr anchorCtr="1"/>
        <ns1:lstStyle/>
        <ns1:p>
          <ns1:pPr>
            <ns1:defRPr sz="900">
              <ns1:latin typeface="Arial"/>
              <ns1:ea typeface="Arial"/>
              <ns1:cs typeface="Arial"/>
            </ns1:defRPr>
          </ns1:pPr>
        </ns1:p>
      </ns0:txPr>
    </ns0:title>
    <ns0:plotArea>
      <ns0:barChart>
        <ns0:barDir val="col"/>
        <ns0:varyColors val="0"/>
        <ns0:ser>
          <ns0:idx val="0"/>
          <ns0:order val="0"/>
          <ns0:tx>
            <ns0:v>Principal</ns0:v>
          </ns0:tx>
          <ns0:spPr>
            <ns1:solidFill>
              <ns1:srgbClr val="D95926"/>
            </ns1:solidFill>
          </ns0:spPr>
          <ns0:invertIfNegative val="0"/>
          <ns0:dPt>
            <ns0:idx val="5"/>
            <ns0:invertIfNegative val="0"/>
            <ns0:bubble3D val="0"/>
            <ns0:spPr>
              <ns1:pattFill prst="wdUpDiag">
                <ns1:fgClr>
                  <ns1:srgbClr val="D95926"/>
                </ns1:fgClr>
                <ns1:bgClr>
                  <ns1:srgbClr val="F6D2C2"/>
                </ns1:bgClr>
              </ns1:pattFill>
            </ns0:spPr>
          </ns0:dPt>
          <ns0:dLbls>
            <ns0:numFmt formatCode="&quot;$&quot;#,##0.0,,,&quot;B&quot;" sourceLinked="0"/>
            <ns0:txPr>
              <ns1:bodyPr/>
              <ns1:lstStyle/>
              <ns1:p>
                <ns1:pPr>
                  <ns1:defRPr sz="750" b="1">
                    <ns1:latin typeface="Arial"/>
                    <ns1:ea typeface="Arial"/>
                    <ns1:cs typeface="Arial"/>
                  </ns1:defRPr>
                </ns1:pPr>
              </ns1:p>
            </ns0:txPr>
            <ns0:dLblPos val="inEnd"/>
            <ns0:showLegendKey val="0"/>
            <ns0:showVal val="1"/>
            <ns0:showCatName val="0"/>
            <ns0:showSerName val="0"/>
            <ns0:showPercent val="0"/>
            <ns0:showBubbleSize val="0"/>
          </ns0:dLbls>
          <ns0:cat>
            <ns0:strRef>
              <ns0:f>'Payment dates'!$A$49:$A$54</ns0:f>
              <ns0:strCache>
                <ns0:ptCount val="6"/>
                <ns0:pt idx="0">
                  <ns0:v>Remainder FY2027</ns0:v>
                </ns0:pt>
                <ns0:pt idx="1">
                  <ns0:v>FY2028</ns0:v>
                </ns0:pt>
                <ns0:pt idx="2">
                  <ns0:v>FY2029</ns0:v>
                </ns0:pt>
                <ns0:pt idx="3">
                  <ns0:v>FY2030</ns0:v>
                </ns0:pt>
                <ns0:pt idx="4">
                  <ns0:v>FY2031</ns0:v>
                </ns0:pt>
                <ns0:pt idx="5">
                  <ns0:v>Thereafter</ns0:v>
                </ns0:pt>
              </ns0:strCache>
            </ns0:strRef>
          </ns0:cat>
          <ns0:val>
            <ns0:numRef>
              <ns0:f>'Payment dates'!$C$49:$C$54</ns0:f>
              <ns0:numCache>
                <ns0:formatCode>#,##0.0,,,</ns0:formatCode>
                <ns0:ptCount val="6"/>
                <ns0:pt idx="0">
                  <ns0:v>2672250000.0</ns0:v>
                </ns0:pt>
                <ns0:pt idx="1">
                  <ns0:v>10144750000.0</ns0:v>
                </ns0:pt>
                <ns0:pt idx="2">
                  <ns0:v>5500000000.0</ns0:v>
                </ns0:pt>
                <ns0:pt idx="3">
                  <ns0:v>7250000000.0</ns0:v>
                </ns0:pt>
                <ns0:pt idx="4">
                  <ns0:v>9750000000.0</ns0:v>
                </ns0:pt>
                <ns0:pt idx="5">
                  <ns0:v>90250000000.0</ns0:v>
                </ns0:pt>
              </ns0:numCache>
            </ns0:numRef>
          </ns0:val>
        </ns0:ser>
        <ns0:axId val="48650112"/>
        <ns0:axId val="48672768"/>
      </ns0:barChart>
      <ns0:catAx>
        <ns0:axId val="48650112"/>
        <ns0:scaling>
          <ns0:orientation val="minMax"/>
        </ns0:scaling>
        <ns0:delete val="0"/>
        <ns0:axPos val="b"/>
        <ns0:majorGridlines>
          <ns0:spPr>
            <ns1:ln w="9525">
              <ns1:solidFill>
                <ns1:srgbClr val="CCCCCC"/>
              </ns1:solidFill>
              <ns1:prstDash val="dash"/>
            </ns1:ln>
          </ns0:spPr>
        </ns0:majorGridlines>
        <ns0:numFmt formatCode="General"/>
        <ns0:majorTickMark val="none"/>
        <ns0:minorTickMark val="none"/>
        <ns0:tickLblPos val="nextTo"/>
        <ns0:txPr>
          <ns1:bodyPr anchorCtr="1"/>
          <ns1:lstStyle/>
          <ns1:p>
            <ns1:pPr>
              <ns1:defRPr sz="750">
                <ns1:latin typeface="Arial"/>
                <ns1:ea typeface="Arial"/>
                <ns1:cs typeface="Arial"/>
              </ns1:defRPr>
            </ns1:pPr>
          </ns1:p>
        </ns0:txPr>
        <ns0:crossAx val="48672768"/>
      </ns0:catAx>
      <ns0:valAx>
        <ns0:axId val="48672768"/>
        <ns0:scaling>
          <ns0:orientation val="minMax"/>
          <ns0:max val="12000000000"/>
          <ns0:min val="0"/>
        </ns0:scaling>
        <ns0:delete val="0"/>
        <ns0:axPos val="l"/>
        <ns0:majorGridlines>
          <ns0:spPr>
            <ns1:ln w="9525">
              <ns1:solidFill>
                <ns1:srgbClr val="CCCCCC"/>
              </ns1:solidFill>
              <ns1:prstDash val="dash"/>
            </ns1:ln>
          </ns0:spPr>
        </ns0:majorGridlines>
        <ns0:title>
          <ns0:tx>
            <ns0:rich>
              <ns1:bodyPr/>
              <ns1:lstStyle/>
              <ns1:p>
                <ns1:r>
                  <ns1:t>USD billions</ns1:t>
                </ns1:r>
              </ns1:p>
            </ns0:rich>
          </ns0:tx>
          <ns0:overlay val="0"/>
        </ns0:title>
        <ns0:numFmt formatCode="0.0,,," sourceLinked="0"/>
        <ns0:majorTickMark val="none"/>
        <ns0:minorTickMark val="none"/>
        <ns0:txPr>
          <ns1:bodyPr anchorCtr="1"/>
          <ns1:lstStyle/>
          <ns1:p>
            <ns1:pPr>
              <ns1:defRPr sz="750">
                <ns1:latin typeface="Arial"/>
                <ns1:ea typeface="Arial"/>
                <ns1:cs typeface="Arial"/>
              </ns1:defRPr>
            </ns1:pPr>
          </ns1:p>
        </ns0:txPr>
        <ns0:crossAx val="48650112"/>
        <ns0:crossBetween val="between"/>
        <ns0:majorUnit val="2000000000"/>
      </ns0:valAx>
    </ns0:plotArea>
    <ns0:plotVisOnly val="1"/>
  </ns0:chart>
  <ns0:spPr>
    <ns1:ln w="9525">
      <ns1:solidFill>
        <ns1:srgbClr val="D9D9D9"/>
      </ns1:solidFill>
      <ns1:prstDash val="solid"/>
    </ns1:ln>
  </ns0:spPr>
</ns0: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drawings/drawing3.xml><?xml version="1.0" encoding="utf-8"?>
<xdr:wsDr xmlns:xdr="http://schemas.openxmlformats.org/drawingml/2006/spreadsheetDrawing">
  <xdr:twoCellAnchor>
    <xdr:from>
      <xdr:col>7</xdr:col>
      <xdr:colOff>0</xdr:colOff>
      <xdr:row>35</xdr:row>
      <xdr:rowOff>0</xdr:rowOff>
    </xdr:from>
    <xdr:to>
      <xdr:col>19</xdr:col>
      <xdr:colOff>0</xdr:colOff>
      <xdr:row>57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4a64cfcf6447a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ns0:Relationships xmlns:ns0="http://schemas.openxmlformats.org/package/2006/relationships"><ns0:Relationship Id="rIdSource1" Type="http://schemas.openxmlformats.org/officeDocument/2006/relationships/hyperlink" Target="https://www.sec.gov/Archives/edgar/data/1341439/000119312526277521/orcl-20260531.htm" TargetMode="External" /><ns0:Relationship Id="rIdPrincipalLadder" Type="http://schemas.openxmlformats.org/officeDocument/2006/relationships/drawing" Target="../drawings/drawing3.xml" /></ns0:Relationships>
</file>

<file path=xl/worksheets/_rels/sheet9.xml.rels><?xml version='1.0' encoding='utf-8'?>
<ns0:Relationships xmlns:ns0="http://schemas.openxmlformats.org/package/2006/relationships"><ns0:Relationship Id="rIdSource1" Type="http://schemas.openxmlformats.org/officeDocument/2006/relationships/hyperlink" Target="https://www.sec.gov/Archives/edgar/data/1341439/000119312526389274/orcl-20260831.htm" TargetMode="External" /><ns0:Relationship Id="rIdSource2" Type="http://schemas.openxmlformats.org/officeDocument/2006/relationships/hyperlink" Target="https://www.sec.gov/Archives/edgar/data/1341439/000119312526389274/orcl-20260831.htm" TargetMode="External" /><ns0:Relationship Id="rIdSource3" Type="http://schemas.openxmlformats.org/officeDocument/2006/relationships/hyperlink" Target="https://www.sec.gov/Archives/edgar/data/1341439/000119312526389274/orcl-20260831.htm" TargetMode="External" /><ns0:Relationship Id="rIdSource4" Type="http://schemas.openxmlformats.org/officeDocument/2006/relationships/hyperlink" Target="https://www.sec.gov/Archives/edgar/data/1341439/000119312526389274/orcl-20260831.htm" TargetMode="External" /><ns0:Relationship Id="rIdSource5" Type="http://schemas.openxmlformats.org/officeDocument/2006/relationships/hyperlink" Target="https://www.sec.gov/Archives/edgar/data/1341439/000119312526389274/orcl-20260831.htm" TargetMode="External" /><ns0:Relationship Id="rIdSource6" Type="http://schemas.openxmlformats.org/officeDocument/2006/relationships/hyperlink" Target="https://www.sec.gov/Archives/edgar/data/1341439/000119312526389274/orcl-20260831.htm" TargetMode="External" /><ns0:Relationship Id="rIdSource7" Type="http://schemas.openxmlformats.org/officeDocument/2006/relationships/hyperlink" Target="https://www.sec.gov/Archives/edgar/data/1341439/000119312526389274/orcl-20260831.htm" TargetMode="External" /><ns0:Relationship Id="rIdSource8" Type="http://schemas.openxmlformats.org/officeDocument/2006/relationships/hyperlink" Target="https://www.sec.gov/Archives/edgar/data/1341439/000119312526389274/orcl-20260831.htm" TargetMode="External" /><ns0:Relationship Id="rIdSource9" Type="http://schemas.openxmlformats.org/officeDocument/2006/relationships/hyperlink" Target="https://www.sec.gov/Archives/edgar/data/1341439/000119312526389274/orcl-20260831.htm" TargetMode="External" /><ns0:Relationship Id="rIdSource10" Type="http://schemas.openxmlformats.org/officeDocument/2006/relationships/hyperlink" Target="https://www.sec.gov/Archives/edgar/data/1341439/000119312526389274/orcl-20260831.htm" TargetMode="External" /><ns0:Relationship Id="rIdSource11" Type="http://schemas.openxmlformats.org/officeDocument/2006/relationships/hyperlink" Target="https://www.sec.gov/Archives/edgar/data/1341439/000119312526389274/orcl-20260831.htm" TargetMode="External" /><ns0:Relationship Id="rIdSource12" Type="http://schemas.openxmlformats.org/officeDocument/2006/relationships/hyperlink" Target="https://www.sec.gov/Archives/edgar/data/1341439/000119312526389274/orcl-20260831.htm" TargetMode="External" /><ns0:Relationship Id="rIdSource13" Type="http://schemas.openxmlformats.org/officeDocument/2006/relationships/hyperlink" Target="https://www.sec.gov/Archives/edgar/data/1341439/000119312526389274/orcl-20260831.htm" TargetMode="External" /><ns0:Relationship Id="rIdSource14" Type="http://schemas.openxmlformats.org/officeDocument/2006/relationships/hyperlink" Target="https://www.sec.gov/Archives/edgar/data/1341439/000119312526389274/orcl-20260831.htm" TargetMode="External" /><ns0:Relationship Id="rIdSource15" Type="http://schemas.openxmlformats.org/officeDocument/2006/relationships/hyperlink" Target="https://www.sec.gov/Archives/edgar/data/1341439/000119312526389274/orcl-20260831.htm" TargetMode="External" /><ns0:Relationship Id="rIdSource16" Type="http://schemas.openxmlformats.org/officeDocument/2006/relationships/hyperlink" Target="https://www.sec.gov/Archives/edgar/data/1341439/000119312526389274/orcl-20260831.htm" TargetMode="External" /><ns0:Relationship Id="rIdSource17" Type="http://schemas.openxmlformats.org/officeDocument/2006/relationships/hyperlink" Target="https://www.sec.gov/Archives/edgar/data/1341439/000119312526389274/orcl-20260831.htm" TargetMode="External" /><ns0:Relationship Id="rIdSource18" Type="http://schemas.openxmlformats.org/officeDocument/2006/relationships/hyperlink" Target="https://www.sec.gov/Archives/edgar/data/1341439/000119312526389274/orcl-20260831.htm" TargetMode="External" /><ns0:Relationship Id="rIdSource19" Type="http://schemas.openxmlformats.org/officeDocument/2006/relationships/hyperlink" Target="https://www.sec.gov/Archives/edgar/data/1341439/000119312526389274/orcl-20260831.htm" TargetMode="External" /><ns0:Relationship Id="rIdSource20" Type="http://schemas.openxmlformats.org/officeDocument/2006/relationships/hyperlink" Target="https://www.sec.gov/Archives/edgar/data/1341439/000119312526389274/orcl-20260831.htm" TargetMode="External" /><ns0:Relationship Id="rIdSource21" Type="http://schemas.openxmlformats.org/officeDocument/2006/relationships/hyperlink" Target="https://www.sec.gov/Archives/edgar/data/1341439/000119312526389274/orcl-20260831.htm" TargetMode="External" /><ns0:Relationship Id="rIdSource22" Type="http://schemas.openxmlformats.org/officeDocument/2006/relationships/hyperlink" Target="https://www.sec.gov/Archives/edgar/data/1341439/000119312526389274/orcl-20260831.htm" TargetMode="External" /><ns0:Relationship Id="rIdSource23" Type="http://schemas.openxmlformats.org/officeDocument/2006/relationships/hyperlink" Target="https://www.sec.gov/Archives/edgar/data/1341439/000119312526389274/orcl-20260831.htm" TargetMode="External" /><ns0:Relationship Id="rIdSource24" Type="http://schemas.openxmlformats.org/officeDocument/2006/relationships/hyperlink" Target="https://www.sec.gov/Archives/edgar/data/1341439/000119312526389274/orcl-20260831.htm" TargetMode="External" /><ns0:Relationship Id="rIdSource25" Type="http://schemas.openxmlformats.org/officeDocument/2006/relationships/hyperlink" Target="https://www.sec.gov/Archives/edgar/data/1341439/000119312526389274/orcl-20260831.htm" TargetMode="External" /><ns0:Relationship Id="rIdSource26" Type="http://schemas.openxmlformats.org/officeDocument/2006/relationships/hyperlink" Target="https://www.sec.gov/Archives/edgar/data/1341439/000119312526389274/orcl-20260831.htm" TargetMode="External" /><ns0:Relationship Id="rIdSource27" Type="http://schemas.openxmlformats.org/officeDocument/2006/relationships/hyperlink" Target="https://www.sec.gov/Archives/edgar/data/1341439/000119312526389274/orcl-20260831.htm" TargetMode="External" /><ns0:Relationship Id="rIdSource28" Type="http://schemas.openxmlformats.org/officeDocument/2006/relationships/hyperlink" Target="https://www.sec.gov/Archives/edgar/data/1341439/000119312526389274/orcl-20260831.htm" TargetMode="External" /><ns0:Relationship Id="rIdSource29" Type="http://schemas.openxmlformats.org/officeDocument/2006/relationships/hyperlink" Target="https://www.sec.gov/Archives/edgar/data/1341439/000119312526389274/orcl-20260831.htm" TargetMode="External" /><ns0:Relationship Id="rIdSource30" Type="http://schemas.openxmlformats.org/officeDocument/2006/relationships/hyperlink" Target="https://www.sec.gov/Archives/edgar/data/1341439/000119312526389274/orcl-20260831.htm" TargetMode="External" /><ns0:Relationship Id="rIdSource31" Type="http://schemas.openxmlformats.org/officeDocument/2006/relationships/hyperlink" Target="https://www.sec.gov/Archives/edgar/data/1341439/000119312526389274/orcl-20260831.htm" TargetMode="External" /><ns0:Relationship Id="rIdSource32" Type="http://schemas.openxmlformats.org/officeDocument/2006/relationships/hyperlink" Target="https://www.sec.gov/Archives/edgar/data/1341439/000119312526389274/orcl-20260831.htm" TargetMode="External" /><ns0:Relationship Id="rIdSource33" Type="http://schemas.openxmlformats.org/officeDocument/2006/relationships/hyperlink" Target="https://www.sec.gov/Archives/edgar/data/1341439/000119312526389274/orcl-20260831.htm" TargetMode="External" /><ns0:Relationship Id="rIdSource34" Type="http://schemas.openxmlformats.org/officeDocument/2006/relationships/hyperlink" Target="https://www.sec.gov/Archives/edgar/data/1341439/000119312526389274/orcl-20260831.htm" TargetMode="External" /><ns0:Relationship Id="rIdSource35" Type="http://schemas.openxmlformats.org/officeDocument/2006/relationships/hyperlink" Target="https://www.sec.gov/Archives/edgar/data/1341439/000119312526389274/orcl-20260831.htm" TargetMode="External" /><ns0:Relationship Id="rIdSource36" Type="http://schemas.openxmlformats.org/officeDocument/2006/relationships/hyperlink" Target="https://www.sec.gov/Archives/edgar/data/1341439/000119312526389274/orcl-20260831.htm" TargetMode="External" /><ns0:Relationship Id="rIdSource37" Type="http://schemas.openxmlformats.org/officeDocument/2006/relationships/hyperlink" Target="https://www.sec.gov/Archives/edgar/data/1341439/000119312526389274/orcl-20260831.htm" TargetMode="External" /><ns0:Relationship Id="rIdSource38" Type="http://schemas.openxmlformats.org/officeDocument/2006/relationships/hyperlink" Target="https://www.sec.gov/Archives/edgar/data/1341439/000119312526389274/orcl-20260831.htm" TargetMode="External" /><ns0:Relationship Id="rIdSource39" Type="http://schemas.openxmlformats.org/officeDocument/2006/relationships/hyperlink" Target="https://www.sec.gov/Archives/edgar/data/1341439/000119312526389274/orcl-20260831.htm" TargetMode="External" /><ns0:Relationship Id="rIdSource40" Type="http://schemas.openxmlformats.org/officeDocument/2006/relationships/hyperlink" Target="https://www.sec.gov/Archives/edgar/data/1341439/000119312526389274/orcl-20260831.htm" TargetMode="External" /><ns0:Relationship Id="rIdSource41" Type="http://schemas.openxmlformats.org/officeDocument/2006/relationships/hyperlink" Target="https://www.sec.gov/Archives/edgar/data/1341439/000119312526389274/orcl-20260831.htm" TargetMode="External" /><ns0:Relationship Id="rIdSource42" Type="http://schemas.openxmlformats.org/officeDocument/2006/relationships/hyperlink" Target="https://www.sec.gov/Archives/edgar/data/1341439/000119312526389274/orcl-20260831.htm" TargetMode="External" /><ns0:Relationship Id="rIdSource43" Type="http://schemas.openxmlformats.org/officeDocument/2006/relationships/hyperlink" Target="https://www.sec.gov/Archives/edgar/data/1341439/000119312526389274/orcl-20260831.htm" TargetMode="External" /><ns0:Relationship Id="rIdSource44" Type="http://schemas.openxmlformats.org/officeDocument/2006/relationships/hyperlink" Target="https://www.sec.gov/Archives/edgar/data/1341439/000119312526389274/orcl-20260831.htm" TargetMode="External" /><ns0:Relationship Id="rIdSource45" Type="http://schemas.openxmlformats.org/officeDocument/2006/relationships/hyperlink" Target="https://www.sec.gov/Archives/edgar/data/1341439/000119312526389274/orcl-20260831.htm" TargetMode="External" /><ns0:Relationship Id="rIdSource46" Type="http://schemas.openxmlformats.org/officeDocument/2006/relationships/hyperlink" Target="https://www.sec.gov/Archives/edgar/data/1341439/000119312526389274/orcl-20260831.htm" TargetMode="External" /><ns0:Relationship Id="rIdSource47" Type="http://schemas.openxmlformats.org/officeDocument/2006/relationships/hyperlink" Target="https://www.sec.gov/Archives/edgar/data/1341439/000119312526389274/orcl-20260831.htm" TargetMode="External" /><ns0:Relationship Id="rIdSource48" Type="http://schemas.openxmlformats.org/officeDocument/2006/relationships/hyperlink" Target="https://www.sec.gov/Archives/edgar/data/1341439/000119312526389274/orcl-20260831.htm" TargetMode="External" /><ns0:Relationship Id="rIdSource49" Type="http://schemas.openxmlformats.org/officeDocument/2006/relationships/hyperlink" Target="https://www.sec.gov/Archives/edgar/data/1341439/000119312526389274/orcl-20260831.htm" TargetMode="External" /><ns0:Relationship Id="rIdSource50" Type="http://schemas.openxmlformats.org/officeDocument/2006/relationships/hyperlink" Target="https://www.sec.gov/Archives/edgar/data/1341439/000119312526277521/orcl-20260531.htm" TargetMode="External" /><ns0:Relationship Id="rIdSource51" Type="http://schemas.openxmlformats.org/officeDocument/2006/relationships/hyperlink" Target="https://www.sec.gov/Archives/edgar/data/1341439/000119312526277521/orcl-20260531.htm" TargetMode="External" /><ns0:Relationship Id="rIdSource52" Type="http://schemas.openxmlformats.org/officeDocument/2006/relationships/hyperlink" Target="https://www.sec.gov/Archives/edgar/data/1341439/000119312526277521/orcl-20260531.htm" TargetMode="External" /><ns0:Relationship Id="rIdSource53" Type="http://schemas.openxmlformats.org/officeDocument/2006/relationships/hyperlink" Target="https://www.sec.gov/Archives/edgar/data/1341439/000119312526277521/orcl-20260531.htm" TargetMode="External" /><ns0:Relationship Id="rIdSource54" Type="http://schemas.openxmlformats.org/officeDocument/2006/relationships/hyperlink" Target="https://www.sec.gov/Archives/edgar/data/1341439/000119312526277521/orcl-20260531.htm" TargetMode="External" /><ns0:Relationship Id="rIdSource55" Type="http://schemas.openxmlformats.org/officeDocument/2006/relationships/hyperlink" Target="https://www.sec.gov/Archives/edgar/data/1341439/000119312526277521/orcl-20260531.htm" TargetMode="External" /><ns0:Relationship Id="rIdSource56" Type="http://schemas.openxmlformats.org/officeDocument/2006/relationships/hyperlink" Target="https://www.sec.gov/Archives/edgar/data/1341439/000119312526101045/orcl-ex10_17.htm" TargetMode="External" /><ns0:Relationship Id="rIdSource57" Type="http://schemas.openxmlformats.org/officeDocument/2006/relationships/hyperlink" Target="https://www.sec.gov/Archives/edgar/data/1341439/000119312526277521/orcl-20260531.htm" TargetMode="External" /><ns0:Relationship Id="rIdSource58" Type="http://schemas.openxmlformats.org/officeDocument/2006/relationships/hyperlink" Target="https://www.sec.gov/Archives/edgar/data/1341439/000119312526101045/orcl-ex10_17.htm" TargetMode="External" /><ns0:Relationship Id="rIdSource59" Type="http://schemas.openxmlformats.org/officeDocument/2006/relationships/hyperlink" Target="https://www.sec.gov/Archives/edgar/data/1341439/000119312526277521/orcl-20260531.htm" TargetMode="External" /><ns0:Relationship Id="rIdSource60" Type="http://schemas.openxmlformats.org/officeDocument/2006/relationships/hyperlink" Target="https://www.sec.gov/Archives/edgar/data/1341439/000119312526101045/orcl-ex10_17.htm" TargetMode="External" /><ns0:Relationship Id="rIdSource61" Type="http://schemas.openxmlformats.org/officeDocument/2006/relationships/hyperlink" Target="https://www.sec.gov/Archives/edgar/data/1341439/000119312526277521/orcl-20260531.htm" TargetMode="External" /><ns0:Relationship Id="rIdSource62" Type="http://schemas.openxmlformats.org/officeDocument/2006/relationships/hyperlink" Target="https://www.sec.gov/Archives/edgar/data/1341439/000119312526101045/orcl-ex10_17.htm" TargetMode="External" /><ns0:Relationship Id="rIdSource63" Type="http://schemas.openxmlformats.org/officeDocument/2006/relationships/hyperlink" Target="https://www.sec.gov/Archives/edgar/data/1341439/000119312526101045/orcl-ex10_17.htm" TargetMode="External" /><ns0:Relationship Id="rIdSource64" Type="http://schemas.openxmlformats.org/officeDocument/2006/relationships/hyperlink" Target="https://www.sec.gov/Archives/edgar/data/1341439/000119312526101045/orcl-ex10_17.htm" TargetMode="External" /><ns0:Relationship Id="rIdSource65" Type="http://schemas.openxmlformats.org/officeDocument/2006/relationships/hyperlink" Target="https://www.sec.gov/Archives/edgar/data/1341439/000119312526101045/orcl-ex10_17.htm" TargetMode="External" /><ns0:Relationship Id="rIdSource66" Type="http://schemas.openxmlformats.org/officeDocument/2006/relationships/hyperlink" Target="https://www.sec.gov/Archives/edgar/data/1341439/000119312526101045/orcl-ex10_17.htm" TargetMode="External" /><ns0:Relationship Id="rIdSource67" Type="http://schemas.openxmlformats.org/officeDocument/2006/relationships/hyperlink" Target="https://www.sec.gov/Archives/edgar/data/1341439/000119312526101045/orcl-ex10_17.htm" TargetMode="External" /><ns0:Relationship Id="rIdSource68" Type="http://schemas.openxmlformats.org/officeDocument/2006/relationships/hyperlink" Target="https://www.sec.gov/Archives/edgar/data/1341439/000119312526101045/orcl-ex10_17.htm" TargetMode="External" /><ns0:Relationship Id="rIdSource69" Type="http://schemas.openxmlformats.org/officeDocument/2006/relationships/hyperlink" Target="https://www.sec.gov/Archives/edgar/data/1341439/000119312526277521/orcl-20260531.htm" TargetMode="External" /><ns0:Relationship Id="rIdSource70" Type="http://schemas.openxmlformats.org/officeDocument/2006/relationships/hyperlink" Target="https://www.sec.gov/Archives/edgar/data/1341439/000119312526389274/orcl-20260831.htm" TargetMode="External" /><ns0:Relationship Id="rIdSource71" Type="http://schemas.openxmlformats.org/officeDocument/2006/relationships/hyperlink" Target="https://www.sec.gov/Archives/edgar/data/1341439/000119312526101045/orcl-ex10_17.htm" TargetMode="External" /><ns0:Relationship Id="rIdSource72" Type="http://schemas.openxmlformats.org/officeDocument/2006/relationships/hyperlink" Target="https://www.sec.gov/Archives/edgar/data/1341439/000119312526387905/orcl-20260910.htm" TargetMode="External" /><ns0:Relationship Id="rIdSource73" Type="http://schemas.openxmlformats.org/officeDocument/2006/relationships/hyperlink" Target="https://www.sec.gov/Archives/edgar/data/1341439/000119312526387905/orcl-ex99_1.htm" TargetMode="External" /><ns0:Relationship Id="rIdSource74" Type="http://schemas.openxmlformats.org/officeDocument/2006/relationships/hyperlink" Target="https://www.sec.gov/Archives/edgar/data/1341439/000119312526389753/d20034d8k.htm" TargetMode="External" /><ns0:Relationship Id="rIdSource75" Type="http://schemas.openxmlformats.org/officeDocument/2006/relationships/hyperlink" Target="https://www.sec.gov/Archives/edgar/data/1341439/000119312526389753/d20034dex991.htm" TargetMode="External" /><ns0:Relationship Id="rIdSource76" Type="http://schemas.openxmlformats.org/officeDocument/2006/relationships/hyperlink" Target="https://www.sec.gov/Archives/edgar/data/1341439/000119312526277521/orcl-20260531.htm" TargetMode="External" /><ns0:Relationship Id="rIdSource77" Type="http://schemas.openxmlformats.org/officeDocument/2006/relationships/hyperlink" Target="https://www.sec.gov/Archives/edgar/data/1341439/000119312526277521/orcl-20260531.htm" TargetMode="External" /><ns0:Relationship Id="rIdSource78" Type="http://schemas.openxmlformats.org/officeDocument/2006/relationships/hyperlink" Target="https://www.sec.gov/Archives/edgar/data/1341439/000119312526277521/orcl-20260531.htm" TargetMode="External" /><ns0:Relationship Id="rIdSource79" Type="http://schemas.openxmlformats.org/officeDocument/2006/relationships/hyperlink" Target="https://www.sec.gov/Archives/edgar/data/1341439/000119312526389274/orcl-20260831.htm" TargetMode="External" /><ns0:Relationship Id="rIdSource80" Type="http://schemas.openxmlformats.org/officeDocument/2006/relationships/hyperlink" Target="https://www.sec.gov/Archives/edgar/data/1341439/000119312526389274/orcl-20260831.htm" TargetMode="External" /><ns0:Relationship Id="rIdSource81" Type="http://schemas.openxmlformats.org/officeDocument/2006/relationships/hyperlink" Target="https://www.sec.gov/Archives/edgar/data/1341439/000119312526389274/orcl-20260831.htm" TargetMode="External" /><ns0:Relationship Id="rIdSource82" Type="http://schemas.openxmlformats.org/officeDocument/2006/relationships/hyperlink" Target="https://www.sec.gov/Archives/edgar/data/1341439/000119312526389274/orcl-20260831.htm" TargetMode="External" /><ns0:Relationship Id="rIdSource83" Type="http://schemas.openxmlformats.org/officeDocument/2006/relationships/hyperlink" Target="https://www.sec.gov/Archives/edgar/data/1341439/000119312526389274/orcl-20260831.htm" TargetMode="External" /><ns0:Relationship Id="rIdSource84" Type="http://schemas.openxmlformats.org/officeDocument/2006/relationships/hyperlink" Target="https://www.sec.gov/Archives/edgar/data/1341439/000119312526389274/orcl-20260831.htm" TargetMode="External" /><ns0:Relationship Id="rIdSource85" Type="http://schemas.openxmlformats.org/officeDocument/2006/relationships/hyperlink" Target="https://data.sec.gov/submissions/CIK0001341439.json" TargetMode="External" /><ns0:Relationship Id="rIdSource86" Type="http://schemas.openxmlformats.org/officeDocument/2006/relationships/hyperlink" Target="https://www.sec.gov/Archives/edgar/data/1341439/000119312526389274/orcl-20260831.htm" TargetMode="External" /><ns0:Relationship Id="rIdSource87" Type="http://schemas.openxmlformats.org/officeDocument/2006/relationships/hyperlink" Target="https://www.sec.gov/Archives/edgar/data/1341439/000119312526277521/orcl-20260531.htm" TargetMode="External" /><ns0:Relationship Id="rIdSource88" Type="http://schemas.openxmlformats.org/officeDocument/2006/relationships/hyperlink" Target="https://www.sec.gov/Archives/edgar/data/1341439/000119312526389274/orcl-20260831.htm" TargetMode="External" /><ns0:Relationship Id="rIdSource89" Type="http://schemas.openxmlformats.org/officeDocument/2006/relationships/hyperlink" Target="https://www.sec.gov/Archives/edgar/data/1341439/000119312526277521/orcl-20260531.htm" TargetMode="External" /><ns0:Relationship Id="rIdSource90" Type="http://schemas.openxmlformats.org/officeDocument/2006/relationships/hyperlink" Target="https://www.sec.gov/Archives/edgar/data/1341439/000119312526101045/orcl-ex10_17.htm" TargetMode="External" /><ns0:Relationship Id="rIdSource91" Type="http://schemas.openxmlformats.org/officeDocument/2006/relationships/hyperlink" Target="https://www.sec.gov/Archives/edgar/data/1341439/000119312526389274/orcl-20260831.htm" TargetMode="External" /><ns0:Relationship Id="rIdSource92" Type="http://schemas.openxmlformats.org/officeDocument/2006/relationships/hyperlink" Target="https://www.sec.gov/Archives/edgar/data/1341439/000119312526389274/orcl-20260831.htm" TargetMode="External" /><ns0:Relationship Id="rIdSource93" Type="http://schemas.openxmlformats.org/officeDocument/2006/relationships/hyperlink" Target="https://www.sec.gov/Archives/edgar/data/1341439/000119312526277521/orcl-20260531.htm" TargetMode="External" /><ns0:Relationship Id="rIdSource94" Type="http://schemas.openxmlformats.org/officeDocument/2006/relationships/hyperlink" Target="https://www.sec.gov/Archives/edgar/data/1341439/000119312526101045/orcl-ex10_17.htm" TargetMode="External" /><ns0:Relationship Id="rIdSource95" Type="http://schemas.openxmlformats.org/officeDocument/2006/relationships/hyperlink" Target="https://www.sec.gov/Archives/edgar/data/1341439/000119312526389274/orcl-20260831.htm" TargetMode="External" /><ns0:Relationship Id="rIdSource96" Type="http://schemas.openxmlformats.org/officeDocument/2006/relationships/hyperlink" Target="https://www.sec.gov/Archives/edgar/data/1341439/000119312526277521/orcl-20260531.htm" TargetMode="External" /><ns0:Relationship Id="rIdSource97" Type="http://schemas.openxmlformats.org/officeDocument/2006/relationships/hyperlink" Target="https://www.sec.gov/Archives/edgar/data/1341439/000119312526389274/orcl-20260831.htm" TargetMode="External" /><ns0:Relationship Id="rIdSource98" Type="http://schemas.openxmlformats.org/officeDocument/2006/relationships/hyperlink" Target="https://www.sec.gov/Archives/edgar/data/1341439/000119312526389274/orcl-20260831.htm" TargetMode="External" /><ns0:Relationship Id="rIdSource99" Type="http://schemas.openxmlformats.org/officeDocument/2006/relationships/hyperlink" Target="https://www.sec.gov/Archives/edgar/data/1341439/000119312526389274/orcl-20260831.htm" TargetMode="External" /><ns0:Relationship Id="rIdSource100" Type="http://schemas.openxmlformats.org/officeDocument/2006/relationships/hyperlink" Target="https://www.sec.gov/Archives/edgar/data/1341439/000119312526389274/orcl-20260831.htm" TargetMode="External" /><ns0:Relationship Id="rIdSource101" Type="http://schemas.openxmlformats.org/officeDocument/2006/relationships/hyperlink" Target="https://www.sec.gov/Archives/edgar/data/1341439/000119312526389274/orcl-20260831.htm" TargetMode="External" /><ns0:Relationship Id="rIdSource102" Type="http://schemas.openxmlformats.org/officeDocument/2006/relationships/hyperlink" Target="https://www.sec.gov/Archives/edgar/data/1341439/000119312526389274/orcl-20260831.htm" TargetMode="External" /><ns0:Relationship Id="rIdSource103" Type="http://schemas.openxmlformats.org/officeDocument/2006/relationships/hyperlink" Target="https://www.sec.gov/Archives/edgar/data/1341439/000119312526389274/orcl-20260831.htm" TargetMode="External" /><ns0:Relationship Id="rIdSource104" Type="http://schemas.openxmlformats.org/officeDocument/2006/relationships/hyperlink" Target="https://www.sec.gov/Archives/edgar/data/1341439/000119312526389274/orcl-20260831.htm" TargetMode="External" /><ns0:Relationship Id="rIdSource105" Type="http://schemas.openxmlformats.org/officeDocument/2006/relationships/hyperlink" Target="https://www.sec.gov/Archives/edgar/data/1341439/000119312526389274/orcl-20260831.htm" TargetMode="External" /><ns0:Relationship Id="rIdSource106" Type="http://schemas.openxmlformats.org/officeDocument/2006/relationships/hyperlink" Target="https://www.sec.gov/Archives/edgar/data/1341439/000119312526389274/orcl-20260831.htm" TargetMode="External" /><ns0:Relationship Id="rIdSource107" Type="http://schemas.openxmlformats.org/officeDocument/2006/relationships/hyperlink" Target="https://www.sec.gov/Archives/edgar/data/1341439/000119312526389274/orcl-20260831.htm" TargetMode="External" /><ns0:Relationship Id="rIdSource108" Type="http://schemas.openxmlformats.org/officeDocument/2006/relationships/hyperlink" Target="https://www.sec.gov/Archives/edgar/data/1341439/000119312526389274/orcl-20260831.htm" TargetMode="External" /><ns0:Relationship Id="rIdSource109" Type="http://schemas.openxmlformats.org/officeDocument/2006/relationships/hyperlink" Target="https://www.sec.gov/Archives/edgar/data/1341439/000119312526389274/orcl-20260831.htm" TargetMode="External" /><ns0:Relationship Id="rIdSource110" Type="http://schemas.openxmlformats.org/officeDocument/2006/relationships/hyperlink" Target="https://www.sec.gov/Archives/edgar/data/1341439/000119312526389274/orcl-20260831.htm" TargetMode="External" /><ns0:Relationship Id="rIdSource111" Type="http://schemas.openxmlformats.org/officeDocument/2006/relationships/hyperlink" Target="https://www.sec.gov/Archives/edgar/data/1341439/000119312526277521/orcl-20260531.htm" TargetMode="External" /><ns0:Relationship Id="rIdSource112" Type="http://schemas.openxmlformats.org/officeDocument/2006/relationships/hyperlink" Target="https://www.sec.gov/Archives/edgar/data/1341439/000119312526389274/orcl-20260831.htm" TargetMode="External" /><ns0:Relationship Id="rIdSource113" Type="http://schemas.openxmlformats.org/officeDocument/2006/relationships/hyperlink" Target="https://www.sec.gov/Archives/edgar/data/1341439/000119312526389274/orcl-20260831.htm" TargetMode="External" /><ns0:Relationship Id="rIdSource114" Type="http://schemas.openxmlformats.org/officeDocument/2006/relationships/hyperlink" Target="https://www.sec.gov/Archives/edgar/data/1341439/000119312526277521/orcl-20260531.htm" TargetMode="External" /><ns0:Relationship Id="rIdSource115" Type="http://schemas.openxmlformats.org/officeDocument/2006/relationships/hyperlink" Target="https://www.sec.gov/Archives/edgar/data/1341439/000119312526389274/orcl-20260831.htm" TargetMode="External" /><ns0:Relationship Id="rIdSource116" Type="http://schemas.openxmlformats.org/officeDocument/2006/relationships/hyperlink" Target="https://www.sec.gov/Archives/edgar/data/1341439/000119312526389274/orcl-20260831.htm" TargetMode="External" /><ns0:Relationship Id="rIdSource117" Type="http://schemas.openxmlformats.org/officeDocument/2006/relationships/hyperlink" Target="https://www.sec.gov/Archives/edgar/data/1341439/000119312526277521/orcl-20260531.htm" TargetMode="External" /><ns0:Relationship Id="rIdSource118" Type="http://schemas.openxmlformats.org/officeDocument/2006/relationships/hyperlink" Target="https://www.sec.gov/Archives/edgar/data/1341439/000119312526277521/orcl-20260531.htm" TargetMode="External" /><ns0:Relationship Id="rIdSource119" Type="http://schemas.openxmlformats.org/officeDocument/2006/relationships/hyperlink" Target="https://www.sec.gov/Archives/edgar/data/1341439/000119312526277521/orcl-20260531.htm" TargetMode="External" /><ns0:Relationship Id="rIdSource120" Type="http://schemas.openxmlformats.org/officeDocument/2006/relationships/hyperlink" Target="https://www.sec.gov/Archives/edgar/data/1341439/000119312526277521/orcl-20260531.htm" TargetMode="External" /><ns0:Relationship Id="rIdSource121" Type="http://schemas.openxmlformats.org/officeDocument/2006/relationships/hyperlink" Target="https://www.sec.gov/Archives/edgar/data/1341439/000119312526277521/orcl-20260531.htm" TargetMode="External" /><ns0:Relationship Id="rIdSource122" Type="http://schemas.openxmlformats.org/officeDocument/2006/relationships/hyperlink" Target="https://www.sec.gov/Archives/edgar/data/1341439/000119312526277521/orcl-20260531.htm" TargetMode="External" /><ns0:Relationship Id="rIdSource123" Type="http://schemas.openxmlformats.org/officeDocument/2006/relationships/hyperlink" Target="https://www.sec.gov/Archives/edgar/data/1341439/000119312526277521/orcl-20260531.htm" TargetMode="External" /><ns0:Relationship Id="rIdAnnualSource124" Type="http://schemas.openxmlformats.org/officeDocument/2006/relationships/hyperlink" Target="https://www.sec.gov/Archives/edgar/data/1341439/000156459022023675/orcl-10k_20220531.htm" TargetMode="External" /><ns0:Relationship Id="rIdAnnualSource125" Type="http://schemas.openxmlformats.org/officeDocument/2006/relationships/hyperlink" Target="https://www.sec.gov/Archives/edgar/data/1341439/000156459022023675/orcl-10k_20220531.htm" TargetMode="External" /><ns0:Relationship Id="rIdAnnualSource126" Type="http://schemas.openxmlformats.org/officeDocument/2006/relationships/hyperlink" Target="https://www.sec.gov/Archives/edgar/data/1341439/000156459022023675/orcl-10k_20220531.htm" TargetMode="External" /><ns0:Relationship Id="rIdAnnualSource127" Type="http://schemas.openxmlformats.org/officeDocument/2006/relationships/hyperlink" Target="https://www.sec.gov/Archives/edgar/data/1341439/000156459022023675/orcl-10k_20220531.htm" TargetMode="External" /><ns0:Relationship Id="rIdAnnualSource128" Type="http://schemas.openxmlformats.org/officeDocument/2006/relationships/hyperlink" Target="https://www.sec.gov/Archives/edgar/data/1341439/000156459022023675/orcl-10k_20220531.htm" TargetMode="External" /><ns0:Relationship Id="rIdAnnualSource129" Type="http://schemas.openxmlformats.org/officeDocument/2006/relationships/hyperlink" Target="https://www.sec.gov/Archives/edgar/data/1341439/000095017023028914/orcl-20230531.htm" TargetMode="External" /><ns0:Relationship Id="rIdAnnualSource130" Type="http://schemas.openxmlformats.org/officeDocument/2006/relationships/hyperlink" Target="https://www.sec.gov/Archives/edgar/data/1341439/000095017023028914/orcl-20230531.htm" TargetMode="External" /><ns0:Relationship Id="rIdAnnualSource131" Type="http://schemas.openxmlformats.org/officeDocument/2006/relationships/hyperlink" Target="https://www.sec.gov/Archives/edgar/data/1341439/000095017023028914/orcl-20230531.htm" TargetMode="External" /><ns0:Relationship Id="rIdAnnualSource132" Type="http://schemas.openxmlformats.org/officeDocument/2006/relationships/hyperlink" Target="https://www.sec.gov/Archives/edgar/data/1341439/000095017023028914/orcl-20230531.htm" TargetMode="External" /><ns0:Relationship Id="rIdAnnualSource133" Type="http://schemas.openxmlformats.org/officeDocument/2006/relationships/hyperlink" Target="https://www.sec.gov/Archives/edgar/data/1341439/000095017023028914/orcl-20230531.htm" TargetMode="External" /><ns0:Relationship Id="rIdAnnualSource134" Type="http://schemas.openxmlformats.org/officeDocument/2006/relationships/hyperlink" Target="https://www.sec.gov/Archives/edgar/data/1341439/000095017024075605/orcl-20240531.htm" TargetMode="External" /><ns0:Relationship Id="rIdAnnualSource135" Type="http://schemas.openxmlformats.org/officeDocument/2006/relationships/hyperlink" Target="https://www.sec.gov/Archives/edgar/data/1341439/000095017024075605/orcl-20240531.htm" TargetMode="External" /><ns0:Relationship Id="rIdAnnualSource136" Type="http://schemas.openxmlformats.org/officeDocument/2006/relationships/hyperlink" Target="https://www.sec.gov/Archives/edgar/data/1341439/000095017024075605/orcl-20240531.htm" TargetMode="External" /><ns0:Relationship Id="rIdAnnualSource137" Type="http://schemas.openxmlformats.org/officeDocument/2006/relationships/hyperlink" Target="https://www.sec.gov/Archives/edgar/data/1341439/000095017024075605/orcl-20240531.htm" TargetMode="External" /><ns0:Relationship Id="rIdAnnualSource138" Type="http://schemas.openxmlformats.org/officeDocument/2006/relationships/hyperlink" Target="https://www.sec.gov/Archives/edgar/data/1341439/000095017024075605/orcl-20240531.htm" TargetMode="External" /><ns0:Relationship Id="rIdAnnualSource139" Type="http://schemas.openxmlformats.org/officeDocument/2006/relationships/hyperlink" Target="https://www.sec.gov/Archives/edgar/data/1341439/000095017025087926/orcl-20250531.htm" TargetMode="External" /><ns0:Relationship Id="rIdAnnualSource140" Type="http://schemas.openxmlformats.org/officeDocument/2006/relationships/hyperlink" Target="https://www.sec.gov/Archives/edgar/data/1341439/000095017025087926/orcl-20250531.htm" TargetMode="External" /><ns0:Relationship Id="rIdAnnualSource141" Type="http://schemas.openxmlformats.org/officeDocument/2006/relationships/hyperlink" Target="https://www.sec.gov/Archives/edgar/data/1341439/000095017025087926/orcl-20250531.htm" TargetMode="External" /><ns0:Relationship Id="rIdAnnualSource142" Type="http://schemas.openxmlformats.org/officeDocument/2006/relationships/hyperlink" Target="https://www.sec.gov/Archives/edgar/data/1341439/000095017025087926/orcl-20250531.htm" TargetMode="External" /><ns0:Relationship Id="rIdAnnualSource143" Type="http://schemas.openxmlformats.org/officeDocument/2006/relationships/hyperlink" Target="https://www.sec.gov/Archives/edgar/data/1341439/000095017025087926/orcl-20250531.htm" TargetMode="External" /><ns0:Relationship Id="rIdAnnualSource144" Type="http://schemas.openxmlformats.org/officeDocument/2006/relationships/hyperlink" Target="https://www.sec.gov/Archives/edgar/data/1341439/000119312526277521/orcl-20260531.htm" TargetMode="External" /><ns0:Relationship Id="rIdAnnualSource145" Type="http://schemas.openxmlformats.org/officeDocument/2006/relationships/hyperlink" Target="https://www.sec.gov/Archives/edgar/data/1341439/000119312526277521/orcl-20260531.htm" TargetMode="External" /><ns0:Relationship Id="rIdAnnualSource146" Type="http://schemas.openxmlformats.org/officeDocument/2006/relationships/hyperlink" Target="https://www.sec.gov/Archives/edgar/data/1341439/000119312526277521/orcl-20260531.htm" TargetMode="External" /><ns0:Relationship Id="rIdAnnualSource147" Type="http://schemas.openxmlformats.org/officeDocument/2006/relationships/hyperlink" Target="https://www.sec.gov/Archives/edgar/data/1341439/000119312526277521/orcl-20260531.htm" TargetMode="External" /><ns0:Relationship Id="rIdAnnualSource148" Type="http://schemas.openxmlformats.org/officeDocument/2006/relationships/hyperlink" Target="https://www.sec.gov/Archives/edgar/data/1341439/000119312526277521/orcl-20260531.htm" TargetMode="External" /></ns0:Relationships>
</file>

<file path=xl/worksheets/_rels/sheet10.xml.rels><?xml version='1.0' encoding='utf-8'?>
<ns0:Relationships xmlns:ns0="http://schemas.openxmlformats.org/package/2006/relationships"><ns0:Relationship Id="rIdSource1" Type="http://schemas.openxmlformats.org/officeDocument/2006/relationships/hyperlink" Target="https://www.sec.gov/Archives/edgar/data/1341439/000119312526389274/orcl-20260831.htm" TargetMode="External" /><ns0:Relationship Id="rIdSource2" Type="http://schemas.openxmlformats.org/officeDocument/2006/relationships/hyperlink" Target="https://www.sec.gov/Archives/edgar/data/1341439/000119312526389274/orcl-20260831.htm" TargetMode="External" /><ns0:Relationship Id="rIdSource3" Type="http://schemas.openxmlformats.org/officeDocument/2006/relationships/hyperlink" Target="https://www.sec.gov/Archives/edgar/data/1341439/000119312526389274/orcl-20260831.htm" TargetMode="External" /><ns0:Relationship Id="rIdSource4" Type="http://schemas.openxmlformats.org/officeDocument/2006/relationships/hyperlink" Target="https://www.sec.gov/Archives/edgar/data/1341439/000119312526101045/orcl-ex10_17.htm" TargetMode="External" /><ns0:Relationship Id="rIdSource5" Type="http://schemas.openxmlformats.org/officeDocument/2006/relationships/hyperlink" Target="https://www.sec.gov/Archives/edgar/data/1341439/000119312526101045/orcl-ex10_17.htm" TargetMode="External" /><ns0:Relationship Id="rIdSource6" Type="http://schemas.openxmlformats.org/officeDocument/2006/relationships/hyperlink" Target="https://www.sec.gov/Archives/edgar/data/1341439/000119312526387905/orcl-ex99_1.htm" TargetMode="External" /><ns0:Relationship Id="rIdSource7" Type="http://schemas.openxmlformats.org/officeDocument/2006/relationships/hyperlink" Target="https://www.sec.gov/Archives/edgar/data/1341439/000119312526389753/d20034dex991.htm" TargetMode="External" /><ns0:Relationship Id="rIdSource8" Type="http://schemas.openxmlformats.org/officeDocument/2006/relationships/hyperlink" Target="https://github.com/jackconnolly1000-ux/sec-filing-research-terminal/blob/main/docs/oracle_interest_coverage.md" TargetMode="External" /><ns0:Relationship Id="rIdSource9" Type="http://schemas.openxmlformats.org/officeDocument/2006/relationships/hyperlink" Target="https://www.sec.gov/Archives/edgar/data/1341439/000119312526277521/orcl-20260531.htm" TargetMode="External" /><ns0:Relationship Id="rIdSource10" Type="http://schemas.openxmlformats.org/officeDocument/2006/relationships/hyperlink" Target="https://www.sec.gov/Archives/edgar/data/1341439/000119312526277521/orcl-20260531.htm" TargetMode="External" /><ns0:Relationship Id="rIdSource11" Type="http://schemas.openxmlformats.org/officeDocument/2006/relationships/hyperlink" Target="https://www.sec.gov/Archives/edgar/data/1341439/000119312526101045/orcl-ex10_17.htm" TargetMode="External" /><ns0:Relationship Id="rIdSource12" Type="http://schemas.openxmlformats.org/officeDocument/2006/relationships/hyperlink" Target="https://github.com/jackconnolly1000-ux/sec-filing-research-terminal/blob/main/docs/borrowing_lease_presentation.md" TargetMode="External" /><ns0:Relationship Id="rIdSource13" Type="http://schemas.openxmlformats.org/officeDocument/2006/relationships/hyperlink" Target="https://github.com/jackconnolly1000-ux/sec-filing-research-terminal/blob/main/docs/ratio_reconciliation.md" TargetMode="External" /><ns0:Relationship Id="rIdSource14" Type="http://schemas.openxmlformats.org/officeDocument/2006/relationships/hyperlink" Target="https://github.com/jackconnolly1000-ux/sec-filing-research-terminal/blob/main/docs/company_history.md" TargetMode="External" /><ns0:Relationship Id="rIdSource15" Type="http://schemas.openxmlformats.org/officeDocument/2006/relationships/hyperlink" Target="https://github.com/jackconnolly1000-ux/sec-filing-research-terminal/blob/main/docs/core_charts.md" TargetMode="External" /><ns0:Relationship Id="rIdSource16" Type="http://schemas.openxmlformats.org/officeDocument/2006/relationships/hyperlink" Target="https://github.com/jackconnolly1000-ux/sec-filing-research-terminal/blob/main/docs/excel_parity.md" TargetMode="External" /><ns0:Relationship Id="rIdAnnualSource17" Type="http://schemas.openxmlformats.org/officeDocument/2006/relationships/hyperlink" Target="https://github.com/jackconnolly1000-ux/sec-filing-research-terminal/blob/main/docs/annual_history_reconciliation.md" TargetMode="External" /></ns0: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2"/>
      <x:c r="B1" s="313"/>
    </x:row>
    <x:row r="2" ht="26" customHeight="1">
      <x:c r="A2" s="314" t="str">
        <x:v>Oracle Corporation funding conclusion</x:v>
      </x:c>
      <x:c r="B2" s="313"/>
    </x:row>
    <x:row r="3" ht="24" customHeight="1">
      <x:c r="A3" s="315" t="str">
        <x:v>Balance sheet 2026-08-31. Interpretation checked 2026-10-17. Source dates remain historical.</x:v>
      </x:c>
      <x:c r="B3" s="313"/>
    </x:row>
    <x:row r="4">
      <x:c r="A4" s="312"/>
      <x:c r="B4" s="313"/>
    </x:row>
    <x:row r="5">
      <x:c r="A5" s="316" t="str">
        <x:v>Question</x:v>
      </x:c>
      <x:c r="B5" s="317" t="str">
        <x:v>Checked interpretation</x:v>
      </x:c>
    </x:row>
    <x:row r="6" ht="55" customHeight="1">
      <x:c r="A6" s="318" t="str">
        <x:v>Conclusion</x:v>
      </x:c>
      <x:c r="B6" s="319"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318" t="str">
        <x:v>Near-term obligations</x:v>
      </x:c>
      <x:c r="B7" s="319"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318" t="str">
        <x:v>Resources and access</x:v>
      </x:c>
      <x:c r="B8" s="319"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318" t="str">
        <x:v>Competing cash uses</x:v>
      </x:c>
      <x:c r="B9" s="319"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320" t="str">
        <x:v>Decisive unknowns</x:v>
      </x:c>
      <x:c r="B10" s="321"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312"/>
      <x:c r="B11" s="313"/>
    </x:row>
    <x:row r="12" ht="32" customHeight="1">
      <x:c r="A12" s="316" t="str">
        <x:v>Historical interest coverage</x:v>
      </x:c>
      <x:c r="B12" s="317" t="str">
        <x:v>Multiple; historical accrual earnings / interest, not repayment coverage</x:v>
      </x:c>
    </x:row>
    <x:row r="13">
      <x:c r="A13" s="322" t="str">
        <x:v>TTM coverage (x)</x:v>
      </x:c>
      <x:c r="B13" s="323" t="n">
        <x:f>IF(ISNUMBER('Cash analysis'!B49),'Cash analysis'!B49,NA())</x:f>
        <x:v>4.517437304075235</x:v>
      </x:c>
    </x:row>
    <x:row r="14" ht="72" customHeight="1">
      <x:c r="A14" s="324" t="str">
        <x:v>Company-specific basis</x:v>
      </x:c>
      <x:c r="B14" s="319"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325" t="str">
        <x:v>Interpretation across companies</x:v>
      </x:c>
      <x:c r="B15" s="32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2"/>
      <x:c r="B16" s="313"/>
    </x:row>
    <x:row r="17" ht="42" customHeight="1">
      <x:c r="A17" s="326" t="str">
        <x:v>Future funding coverage</x:v>
      </x:c>
      <x:c r="B17" s="327" t="str">
        <x:v>Unavailable: payment timing, accessible resources and future cash generation are not jointly established.</x:v>
      </x:c>
    </x:row>
    <x:row r="18" ht="42" customHeight="1">
      <x:c r="A18" s="328" t="str">
        <x:v>Source interpretation</x:v>
      </x:c>
      <x:c r="B18" s="327" t="str">
        <x:v>Narrative reflects the checked source snapshot. Editing workbook inputs updates calculations but requires a new review of the narrative.</x:v>
      </x:c>
    </x:row>
    <x:row r="20" ht="44" customHeight="1">
      <x:c r="A20" s="2090" t="str">
        <x:v>Workbook contents — select the named tab</x:v>
      </x:c>
      <x:c r="B20" s="2092" t="str">
        <x:v>Question / evidence</x:v>
      </x:c>
    </x:row>
    <x:row r="21" ht="44" customHeight="1">
      <x:c r="A21" s="1057" t="str">
        <x:v>Funding conclusion</x:v>
      </x:c>
      <x:c r="B21" s="1058" t="str">
        <x:v>Start here: obligations, accessible resources, competing uses and decisive unknowns.</x:v>
      </x:c>
    </x:row>
    <x:row r="22" ht="44" customHeight="1">
      <x:c r="A22" s="1057" t="str">
        <x:v>Borrowing and leases</x:v>
      </x:c>
      <x:c r="B22" s="1058" t="str">
        <x:v>Borrowing components, dated lease liabilities and uncommenced commitments, separately.</x:v>
      </x:c>
    </x:row>
    <x:row r="23" ht="44" customHeight="1">
      <x:c r="A23" s="1057" t="str">
        <x:v>Debt and liquidity</x:v>
      </x:c>
      <x:c r="B23" s="1058" t="str">
        <x:v>Latest checked ratios, formulas, periods and company-specific limits.</x:v>
      </x:c>
    </x:row>
    <x:row r="24" ht="44" customHeight="1">
      <x:c r="A24" s="1057" t="str">
        <x:v>History</x:v>
      </x:c>
      <x:c r="B24" s="1058" t="str">
        <x:v>Annual versus latest dated balances; overlapping FY and TTM flows. Unavailable is not zero.</x:v>
      </x:c>
    </x:row>
    <x:row r="25" ht="44" customHeight="1">
      <x:c r="A25" s="1057" t="str">
        <x:v>Annual history</x:v>
      </x:c>
      <x:c r="B25" s="1058" t="str">
        <x:v>Five completed fiscal years, sourced inputs and FCF formulas; annual history is separate from the latest TTM.</x:v>
      </x:c>
    </x:row>
    <x:row r="26" ht="44" customHeight="1">
      <x:c r="A26" s="1057" t="str">
        <x:v>Core charts</x:v>
      </x:c>
      <x:c r="B26" s="1058" t="str">
        <x:v>What remained after capital spending, and how checked cash/borrowing balances changed.</x:v>
      </x:c>
    </x:row>
    <x:row r="27" ht="44" customHeight="1">
      <x:c r="A27" s="1057" t="str">
        <x:v>Repayment review</x:v>
      </x:c>
      <x:c r="B27" s="1058" t="str">
        <x:v>Dated obligations, possible funding and unresolved availability.</x:v>
      </x:c>
    </x:row>
    <x:row r="28" ht="44" customHeight="1">
      <x:c r="A28" s="1057" t="str">
        <x:v>Cash analysis</x:v>
      </x:c>
      <x:c r="B28" s="1058" t="str">
        <x:v>Quarter cash bridge, customer prepayments, equity proceeds and historical interest build.</x:v>
      </x:c>
    </x:row>
    <x:row r="29" ht="44" customHeight="1">
      <x:c r="A29" s="1057" t="str">
        <x:v>Payment dates</x:v>
      </x:c>
      <x:c r="B29" s="1058" t="str">
        <x:v>Contract schedules on their own dates and bases; no combined obligations total.</x:v>
      </x:c>
    </x:row>
    <x:row r="30" ht="44" customHeight="1">
      <x:c r="A30" s="1059" t="str">
        <x:v>Data</x:v>
      </x:c>
      <x:c r="B30" s="1060" t="str">
        <x:v>Reported inputs with filing dates, accessions, tags, contexts and source URLs; separate evidence blocks.</x:v>
      </x:c>
    </x:row>
    <x:row r="31" ht="44" customHeight="1">
      <x:c r="A31" s="1059" t="str">
        <x:v>About</x:v>
      </x:c>
      <x:c r="B31" s="1060" t="str">
        <x:v>Definitions, source scope, missing values, colors and methodology references.</x:v>
      </x:c>
    </x:row>
    <x:row r="32" ht="12" customHeight="1">
      <x:c r="A32" s="1371"/>
      <x:c r="B32" s="1372"/>
    </x:row>
    <x:row r="33" ht="55" customHeight="1">
      <x:c r="A33" s="1244" t="str">
        <x:v>Units and dates</x:v>
      </x:c>
      <x:c r="B33" s="1246" t="str">
        <x:v>Whole USD, displayed in millions except x and %. Annual history uses five full fiscal years. The separate FY-versus-TTM comparison overlaps.</x:v>
      </x:c>
    </x:row>
    <x:row r="34" ht="55" customHeight="1">
      <x:c r="A34" s="1067" t="str">
        <x:v>Colors</x:v>
      </x:c>
      <x:c r="B34" s="1058" t="str">
        <x:v>Blue numeric cells are reported inputs; green formulas link to another sheet; black formulas calculate within a sheet.</x:v>
      </x:c>
    </x:row>
    <x:row r="35" ht="55" customHeight="1">
      <x:c r="A35" s="1068" t="str">
        <x:v>Evidence and uncertainty</x:v>
      </x:c>
      <x:c r="B35" s="1060" t="str">
        <x:v>Data retains source URLs, periods, accessions, tags and contexts. Select a source URL to open it in a browser. Unavailable is never zero.</x:v>
      </x:c>
    </x:row>
    <x:row r="36" ht="55" customHeight="1">
      <x:c r="A36" s="2103" t="str">
        <x:v>Reading the charts</x:v>
      </x:c>
      <x:c r="B36" s="2104" t="str">
        <x:v>FCF is OCF less capex, not another cash flow. Annual charts and the latest TTM keep their own periods and bases.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2"/>
      <x:c r="B1" s="331"/>
      <x:c r="C1" s="331"/>
      <x:c r="D1" s="331"/>
      <x:c r="E1" s="313"/>
    </x:row>
    <x:row r="2" ht="25" customHeight="1">
      <x:c r="A2" s="314" t="str">
        <x:v>Oracle Corporation borrowing and leases</x:v>
      </x:c>
      <x:c r="B2" s="331"/>
      <x:c r="C2" s="331"/>
      <x:c r="D2" s="331"/>
      <x:c r="E2" s="313"/>
    </x:row>
    <x:row r="3" ht="25" customHeight="1">
      <x:c r="A3" s="315" t="str">
        <x:v>Amounts in USD millions. Each balance retains its own date. Baseline borrowing excludes leases.</x:v>
      </x:c>
      <x:c r="B3" s="331"/>
      <x:c r="C3" s="331"/>
      <x:c r="D3" s="331"/>
      <x:c r="E3" s="313"/>
    </x:row>
    <x:row r="4" ht="12" customHeight="1">
      <x:c r="A4" s="312"/>
      <x:c r="B4" s="331"/>
      <x:c r="C4" s="331"/>
      <x:c r="D4" s="331"/>
      <x:c r="E4" s="313"/>
    </x:row>
    <x:row r="5" ht="28" customHeight="1">
      <x:c r="A5" s="316" t="str">
        <x:v>Borrowing component</x:v>
      </x:c>
      <x:c r="B5" s="332" t="str">
        <x:v>USD millions</x:v>
      </x:c>
      <x:c r="C5" s="332" t="str">
        <x:v>As of</x:v>
      </x:c>
      <x:c r="D5" s="332" t="str">
        <x:v>Source / filing</x:v>
      </x:c>
      <x:c r="E5" s="317" t="str">
        <x:v>Basis</x:v>
      </x:c>
    </x:row>
    <x:row r="6" ht="42" customHeight="1">
      <x:c r="A6" s="324" t="str">
        <x:v>Current borrowing</x:v>
      </x:c>
      <x:c r="B6" s="333" t="n">
        <x:f>IF(ISNUMBER('Data'!B103),'Data'!B103,NA())</x:f>
        <x:v>7625000000</x:v>
      </x:c>
      <x:c r="C6" s="334" t="d">
        <x:v>2026-08-31T00:00:00.000Z</x:v>
      </x:c>
      <x:c r="D6" s="335" t="str">
        <x:v>10-Q balance sheet, p. 1; filed 2026-09-11</x:v>
      </x:c>
      <x:c r="E6" s="319" t="str">
        <x:v>Notes payable and other borrowings, current</x:v>
      </x:c>
    </x:row>
    <x:row r="7" ht="42" customHeight="1">
      <x:c r="A7" s="324" t="str">
        <x:v>Noncurrent borrowing</x:v>
      </x:c>
      <x:c r="B7" s="333" t="n">
        <x:f>IF(ISNUMBER('Data'!B104),'Data'!B104,NA())</x:f>
        <x:v>117712000000</x:v>
      </x:c>
      <x:c r="C7" s="334" t="d">
        <x:v>2026-08-31T00:00:00.000Z</x:v>
      </x:c>
      <x:c r="D7" s="335" t="str">
        <x:v>10-Q balance sheet, p. 1; filed 2026-09-11</x:v>
      </x:c>
      <x:c r="E7" s="319" t="str">
        <x:v>Notes payable and other borrowings, non-current</x:v>
      </x:c>
    </x:row>
    <x:row r="8" ht="42" customHeight="1">
      <x:c r="A8" s="336" t="str">
        <x:v>Baseline gross debt</x:v>
      </x:c>
      <x:c r="B8" s="337" t="n">
        <x:f>SUM(B6:B7)</x:f>
        <x:v>125337000000</x:v>
      </x:c>
      <x:c r="C8" s="338" t="d">
        <x:v>2026-08-31T00:00:00.000Z</x:v>
      </x:c>
      <x:c r="D8" s="339" t="str">
        <x:v>Derived from the components above</x:v>
      </x:c>
      <x:c r="E8" s="340" t="str">
        <x:v>Carrying amount; excludes leases.</x:v>
      </x:c>
    </x:row>
    <x:row r="9" ht="12" customHeight="1">
      <x:c r="A9" s="312"/>
      <x:c r="B9" s="341"/>
      <x:c r="C9" s="342"/>
      <x:c r="D9" s="331"/>
      <x:c r="E9" s="313"/>
    </x:row>
    <x:row r="10" ht="58" customHeight="1">
      <x:c r="A10" s="328" t="str">
        <x:v>Borrowing scope</x:v>
      </x:c>
      <x:c r="B10" s="341"/>
      <x:c r="C10" s="342"/>
      <x:c r="D10" s="331"/>
      <x:c r="E10" s="327" t="str">
        <x:v>The 10-Q does not split these borrowing lines by instrument. Commercial paper and the capex-financing balance remain Unavailable. The rounded $125.0B disclosure is not added.</x:v>
      </x:c>
    </x:row>
    <x:row r="11" ht="12" customHeight="1">
      <x:c r="A11" s="312"/>
      <x:c r="B11" s="341"/>
      <x:c r="C11" s="342"/>
      <x:c r="D11" s="331"/>
      <x:c r="E11" s="313"/>
    </x:row>
    <x:row r="12" ht="12" customHeight="1">
      <x:c r="A12" s="312"/>
      <x:c r="B12" s="341"/>
      <x:c r="C12" s="342"/>
      <x:c r="D12" s="331"/>
      <x:c r="E12" s="313"/>
    </x:row>
    <x:row r="13" ht="28" customHeight="1">
      <x:c r="A13" s="316" t="str">
        <x:v>Lease liability / commitment</x:v>
      </x:c>
      <x:c r="B13" s="343" t="str">
        <x:v>USD millions</x:v>
      </x:c>
      <x:c r="C13" s="344" t="str">
        <x:v>As of</x:v>
      </x:c>
      <x:c r="D13" s="332" t="str">
        <x:v>Source / filing</x:v>
      </x:c>
      <x:c r="E13" s="317" t="str">
        <x:v>Basis / Unavailable reason</x:v>
      </x:c>
    </x:row>
    <x:row r="14" ht="42" customHeight="1">
      <x:c r="A14" s="324" t="str">
        <x:v>Operating lease liabilities — current</x:v>
      </x:c>
      <x:c r="B14" s="333" t="n">
        <x:f>IF(ISNUMBER('Data'!B105),'Data'!B105,NA())</x:f>
        <x:v>4027000000</x:v>
      </x:c>
      <x:c r="C14" s="334" t="d">
        <x:v>2026-08-31T00:00:00.000Z</x:v>
      </x:c>
      <x:c r="D14" s="335" t="str">
        <x:v>10-Q Note 6, pp. 12–13; filed 2026-09-11</x:v>
      </x:c>
      <x:c r="E14" s="319" t="str">
        <x:v>Recognized lease liability; excluded from baseline borrowing.</x:v>
      </x:c>
    </x:row>
    <x:row r="15" ht="42" customHeight="1">
      <x:c r="A15" s="324" t="str">
        <x:v>Operating lease liabilities — noncurrent</x:v>
      </x:c>
      <x:c r="B15" s="333" t="n">
        <x:f>IF(ISNUMBER('Data'!B106),'Data'!B106,NA())</x:f>
        <x:v>30594000000</x:v>
      </x:c>
      <x:c r="C15" s="334" t="d">
        <x:v>2026-08-31T00:00:00.000Z</x:v>
      </x:c>
      <x:c r="D15" s="335" t="str">
        <x:v>10-Q Note 6, pp. 12–13; filed 2026-09-11</x:v>
      </x:c>
      <x:c r="E15" s="319" t="str">
        <x:v>Recognized lease liability; excluded from baseline borrowing.</x:v>
      </x:c>
    </x:row>
    <x:row r="16" ht="42" customHeight="1">
      <x:c r="A16" s="345" t="str">
        <x:v>Operating lease liabilities — total</x:v>
      </x:c>
      <x:c r="B16" s="346" t="n">
        <x:f>B14+B15</x:f>
        <x:v>34621000000</x:v>
      </x:c>
      <x:c r="C16" s="347" t="d">
        <x:v>2026-08-31T00:00:00.000Z</x:v>
      </x:c>
      <x:c r="D16" s="348" t="str">
        <x:v>10-Q Note 6, pp. 12–13</x:v>
      </x:c>
      <x:c r="E16" s="349" t="str">
        <x:v>Components match the reported total.</x:v>
      </x:c>
    </x:row>
    <x:row r="17" ht="42" customHeight="1">
      <x:c r="A17" s="324" t="str">
        <x:v>Finance lease liabilities — current</x:v>
      </x:c>
      <x:c r="B17" s="333" t="n">
        <x:f>IF(ISNUMBER('Data'!B108),'Data'!B108,NA())</x:f>
        <x:v>749000000</x:v>
      </x:c>
      <x:c r="C17" s="334" t="d">
        <x:v>2026-08-31T00:00:00.000Z</x:v>
      </x:c>
      <x:c r="D17" s="335" t="str">
        <x:v>10-Q Note 6, pp. 12–13; filed 2026-09-11</x:v>
      </x:c>
      <x:c r="E17" s="319" t="str">
        <x:v>Recognized lease liability; excluded from baseline borrowing.</x:v>
      </x:c>
    </x:row>
    <x:row r="18" ht="42" customHeight="1">
      <x:c r="A18" s="324" t="str">
        <x:v>Finance lease liabilities — noncurrent</x:v>
      </x:c>
      <x:c r="B18" s="333" t="n">
        <x:f>IF(ISNUMBER('Data'!B109),'Data'!B109,NA())</x:f>
        <x:v>8436000000</x:v>
      </x:c>
      <x:c r="C18" s="334" t="d">
        <x:v>2026-08-31T00:00:00.000Z</x:v>
      </x:c>
      <x:c r="D18" s="335" t="str">
        <x:v>10-Q Note 6, pp. 12–13; filed 2026-09-11</x:v>
      </x:c>
      <x:c r="E18" s="319" t="str">
        <x:v>Recognized lease liability; excluded from baseline borrowing.</x:v>
      </x:c>
    </x:row>
    <x:row r="19" ht="42" customHeight="1">
      <x:c r="A19" s="336" t="str">
        <x:v>Finance lease liabilities — total</x:v>
      </x:c>
      <x:c r="B19" s="337" t="n">
        <x:f>B17+B18</x:f>
        <x:v>9185000000</x:v>
      </x:c>
      <x:c r="C19" s="338" t="d">
        <x:v>2026-08-31T00:00:00.000Z</x:v>
      </x:c>
      <x:c r="D19" s="339" t="str">
        <x:v>10-Q Note 6, pp. 12–13</x:v>
      </x:c>
      <x:c r="E19" s="340" t="str">
        <x:v>Components match the reported total.</x:v>
      </x:c>
    </x:row>
    <x:row r="20" ht="12" customHeight="1">
      <x:c r="A20" s="312"/>
      <x:c r="B20" s="341"/>
      <x:c r="C20" s="342"/>
      <x:c r="D20" s="331"/>
      <x:c r="E20" s="313"/>
    </x:row>
    <x:row r="21" ht="54" customHeight="1">
      <x:c r="A21" s="350" t="str">
        <x:v>Leases not yet commenced</x:v>
      </x:c>
      <x:c r="B21" s="351" t="n">
        <x:f>IF(ISNUMBER('Data'!B111),'Data'!B111,NA())</x:f>
        <x:v>288000000000</x:v>
      </x:c>
      <x:c r="C21" s="352" t="d">
        <x:v>2026-08-31T00:00:00.000Z</x:v>
      </x:c>
      <x:c r="D21" s="353" t="str">
        <x:v>10-Q Note 6, p. 13</x:v>
      </x:c>
      <x:c r="E21" s="354"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5" t="str">
        <x:v>Oracle Corporation</x:v>
      </x:c>
    </x:row>
    <x:row r="3">
      <x:c r="A3" s="356" t="str">
        <x:v>Balance sheet 2026-08-31. TTM 2025-09-01 to 2026-08-31. USD millions, except ratios (x) and percentages (%).</x:v>
      </x:c>
    </x:row>
    <x:row r="5">
      <x:c r="A5" s="316" t="str">
        <x:v>Measure</x:v>
      </x:c>
      <x:c r="B5" s="332" t="str">
        <x:v>Value (USD millions / x / %)</x:v>
      </x:c>
      <x:c r="C5" s="332" t="str">
        <x:v>Period end</x:v>
      </x:c>
      <x:c r="D5" s="317" t="str">
        <x:v>Formula / basis / limitation</x:v>
      </x:c>
    </x:row>
    <x:row r="6" ht="50" customHeight="1">
      <x:c r="A6" s="324" t="str">
        <x:v>Cash and cash equivalents</x:v>
      </x:c>
      <x:c r="B6" s="333" t="n">
        <x:f>IF(ISNUMBER('Data'!B115),'Data'!B115,NA())</x:f>
        <x:v>36369000000</x:v>
      </x:c>
      <x:c r="C6" s="334" t="d">
        <x:v>2026-08-31T00:00:00.000Z</x:v>
      </x:c>
      <x:c r="D6" s="357" t="str">
        <x:v>Cash and cash equivalents excluding restricted cash. Investments are not substituted.</x:v>
      </x:c>
    </x:row>
    <x:row r="7" ht="118" customHeight="1">
      <x:c r="A7" s="345" t="str">
        <x:v>Baseline gross debt</x:v>
      </x:c>
      <x:c r="B7" s="358" t="n">
        <x:f>IF(AND(IF(ISNUMBER('Data'!B116),'Data'!B116,NA())&gt;=0,IF(ISNUMBER('Data'!B117),'Data'!B117,NA())&gt;=0),IF(ISNUMBER('Data'!B116),'Data'!B116,NA())+IF(ISNUMBER('Data'!B117),'Data'!B117,NA()),NA())</x:f>
        <x:v>125337000000</x:v>
      </x:c>
      <x:c r="C7" s="347" t="d">
        <x:v>2026-08-31T00:00:00.000Z</x:v>
      </x:c>
      <x:c r="D7" s="35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345" t="str">
        <x:v>Net debt</x:v>
      </x:c>
      <x:c r="B8" s="346" t="n">
        <x:f>B7-B6</x:f>
        <x:v>88968000000</x:v>
      </x:c>
      <x:c r="C8" s="347" t="d">
        <x:v>2026-08-31T00:00:00.000Z</x:v>
      </x:c>
      <x:c r="D8" s="359" t="str">
        <x:v>Baseline borrowing less cash excluding restricted cash. Same date and filing. Negative net debt is retained.</x:v>
      </x:c>
    </x:row>
    <x:row r="9" ht="53" customHeight="1">
      <x:c r="A9" s="324" t="str">
        <x:v>Current ratio</x:v>
      </x:c>
      <x:c r="B9" s="360" t="n">
        <x:f>IF(IF(ISNUMBER('Data'!B118),'Data'!B118,NA())&gt;0,IF(ISNUMBER('Data'!B119),'Data'!B119,NA())/IF(ISNUMBER('Data'!B118),'Data'!B118,NA()),NA())</x:f>
        <x:v>1.1708128130656228</x:v>
      </x:c>
      <x:c r="C9" s="334" t="d">
        <x:v>2026-08-31T00:00:00.000Z</x:v>
      </x:c>
      <x:c r="D9" s="357" t="str">
        <x:v>Total current assets / total current liabilities from one balance sheet. Liabilities include more than borrowing; assets include more than cash.</x:v>
      </x:c>
    </x:row>
    <x:row r="10" ht="66" customHeight="1">
      <x:c r="A10" s="324" t="str">
        <x:v>Operating cash flow</x:v>
      </x:c>
      <x:c r="B10" s="333" t="n">
        <x:f>(1*IF(ISNUMBER('Data'!B120),'Data'!B120,NA()))+(1*IF(ISNUMBER('Data'!B121),'Data'!B121,NA()))+(-1*IF(ISNUMBER('Data'!B122),'Data'!B122,NA()))</x:f>
        <x:v>46940000000</x:v>
      </x:c>
      <x:c r="C10" s="334" t="d">
        <x:v>2026-08-31T00:00:00.000Z</x:v>
      </x:c>
      <x:c r="D10" s="357"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324" t="str">
        <x:v>Capital expenditures</x:v>
      </x:c>
      <x:c r="B11" s="333" t="n">
        <x:f>(1*IF(ISNUMBER('Data'!B123),'Data'!B123,NA()))+(1*IF(ISNUMBER('Data'!B124),'Data'!B124,NA()))+(-1*IF(ISNUMBER('Data'!B125),'Data'!B125,NA()))</x:f>
        <x:v>75660000000</x:v>
      </x:c>
      <x:c r="C11" s="334" t="d">
        <x:v>2026-08-31T00:00:00.000Z</x:v>
      </x:c>
      <x:c r="D11" s="357" t="str">
        <x:v>Cash capital expenditures. Capex-financing cash flows are not added.</x:v>
      </x:c>
    </x:row>
    <x:row r="12" ht="50" customHeight="1">
      <x:c r="A12" s="345" t="str">
        <x:v>Free cash flow</x:v>
      </x:c>
      <x:c r="B12" s="346" t="n">
        <x:f>B10-B11</x:f>
        <x:v>-28720000000</x:v>
      </x:c>
      <x:c r="C12" s="347" t="d">
        <x:v>2026-08-31T00:00:00.000Z</x:v>
      </x:c>
      <x:c r="D12" s="359" t="str">
        <x:v>OCF less reported capital spending. Uses the spending basis above; excludes acquisitions, dividends and other cash uses.</x:v>
      </x:c>
    </x:row>
    <x:row r="13" ht="50" customHeight="1">
      <x:c r="A13" s="324" t="str">
        <x:v>Operating cash flow / debt</x:v>
      </x:c>
      <x:c r="B13" s="361" t="n">
        <x:f>IF(B7&gt;0,B10/B7,NA())</x:f>
        <x:v>0.37451032017680336</x:v>
      </x:c>
      <x:c r="C13" s="334" t="d">
        <x:v>2026-08-31T00:00:00.000Z</x:v>
      </x:c>
      <x:c r="D13" s="357" t="str">
        <x:v>Historical TTM OCF / period-end baseline borrowing, not average debt or repayment coverage. The reported OCF basis above is retained.</x:v>
      </x:c>
    </x:row>
    <x:row r="14" ht="50" customHeight="1">
      <x:c r="A14" s="324" t="str">
        <x:v>Free cash flow / debt</x:v>
      </x:c>
      <x:c r="B14" s="361" t="n">
        <x:f>IF(B7&gt;0,B12/B7,NA())</x:f>
        <x:v>-0.22914223254106927</x:v>
      </x:c>
      <x:c r="C14" s="334" t="d">
        <x:v>2026-08-31T00:00:00.000Z</x:v>
      </x:c>
      <x:c r="D14" s="357" t="str">
        <x:v>Historical TTM FCF / period-end baseline borrowing. Uses the spending basis above; not repayment coverage.</x:v>
      </x:c>
    </x:row>
    <x:row r="15" ht="79" customHeight="1">
      <x:c r="A15" s="325" t="str">
        <x:v>Historical interest coverage</x:v>
      </x:c>
      <x:c r="B15" s="362" t="n">
        <x:f>'Cash analysis'!B49</x:f>
        <x:v>4.517437304075235</x:v>
      </x:c>
      <x:c r="C15" s="363" t="d">
        <x:v>2026-08-31T00:00:00.000Z</x:v>
      </x:c>
      <x:c r="D15" s="364"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316" t="str">
        <x:v>Method</x:v>
      </x:c>
      <x:c r="B17" s="365"/>
      <x:c r="C17" s="365"/>
      <x:c r="D17" s="317" t="str">
        <x:v>Explanation</x:v>
      </x:c>
    </x:row>
    <x:row r="18" ht="60" customHeight="1">
      <x:c r="A18" s="324" t="str">
        <x:v>Periods</x:v>
      </x:c>
      <x:c r="B18" s="366"/>
      <x:c r="C18" s="366"/>
      <x:c r="D18" s="319" t="str">
        <x:v>All cash-flow and interest ratios use the TTM above. FY + current YTD − prior YTD. Balance-sheet denominators use the period end, not average debt.</x:v>
      </x:c>
    </x:row>
    <x:row r="19" ht="145" customHeight="1">
      <x:c r="A19" s="324" t="str">
        <x:v>Historical interest basis</x:v>
      </x:c>
      <x:c r="B19" s="366"/>
      <x:c r="C19" s="366"/>
      <x:c r="D19" s="319"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324" t="str">
        <x:v>Recalculation</x:v>
      </x:c>
      <x:c r="B20" s="366"/>
      <x:c r="C20" s="366"/>
      <x:c r="D20" s="319" t="str">
        <x:v>The historical interest ratio links to its existing detailed build. Editing source inputs updates formulas; the checked narrative requires a new review.</x:v>
      </x:c>
    </x:row>
    <x:row r="21" ht="72" customHeight="1">
      <x:c r="A21" s="325" t="str">
        <x:v>Interpretation</x:v>
      </x:c>
      <x:c r="B21" s="367"/>
      <x:c r="C21" s="367"/>
      <x:c r="D21" s="321"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2"/>
      <x:c r="B1" s="331"/>
      <x:c r="C1" s="331"/>
      <x:c r="D1" s="313"/>
    </x:row>
    <x:row r="2">
      <x:c r="A2" s="314" t="str">
        <x:v>Oracle Corporation — dated history</x:v>
      </x:c>
      <x:c r="B2" s="331"/>
      <x:c r="C2" s="331"/>
      <x:c r="D2" s="313"/>
    </x:row>
    <x:row r="3">
      <x:c r="A3" s="315" t="str">
        <x:v>USD millions, except ratios (x) and percentages (%). Fiscal year and later TTM both span twelve months and overlap.</x:v>
      </x:c>
      <x:c r="B3" s="331"/>
      <x:c r="C3" s="331"/>
      <x:c r="D3" s="313"/>
    </x:row>
    <x:row r="4">
      <x:c r="A4" s="312"/>
      <x:c r="B4" s="331"/>
      <x:c r="C4" s="331"/>
      <x:c r="D4" s="313"/>
    </x:row>
    <x:row r="5" ht="32" customHeight="1">
      <x:c r="A5" s="316" t="str">
        <x:v>Measure</x:v>
      </x:c>
      <x:c r="B5" s="332" t="str">
        <x:v>As of / FY ended 2026-05-31</x:v>
      </x:c>
      <x:c r="C5" s="332" t="str">
        <x:v>As of / TTM ended 2026-08-31</x:v>
      </x:c>
      <x:c r="D5" s="317" t="str">
        <x:v>Basis / limits</x:v>
      </x:c>
    </x:row>
    <x:row r="6" ht="45" customHeight="1">
      <x:c r="A6" s="324" t="str">
        <x:v>Cash and cash equivalents</x:v>
      </x:c>
      <x:c r="B6" s="333" t="n">
        <x:f>IF(ISNUMBER('Data'!B129),'Data'!B129,NA())</x:f>
        <x:v>31289000000</x:v>
      </x:c>
      <x:c r="C6" s="333" t="n">
        <x:f>'Debt and liquidity'!B6</x:f>
        <x:v>36369000000</x:v>
      </x:c>
      <x:c r="D6" s="319" t="str">
        <x:v>Cash and cash equivalents excluding restricted cash. Investments are not substituted.</x:v>
      </x:c>
    </x:row>
    <x:row r="7" ht="101" customHeight="1">
      <x:c r="A7" s="324" t="str">
        <x:v>Baseline gross debt</x:v>
      </x:c>
      <x:c r="B7" s="333" t="n">
        <x:f>IF(ISNUMBER('Data'!B132),'Data'!B132,NA())+IF(ISNUMBER('Data'!B133),'Data'!B133,NA())</x:f>
        <x:v>129541000000</x:v>
      </x:c>
      <x:c r="C7" s="333" t="n">
        <x:f>'Debt and liquidity'!B7</x:f>
        <x:v>125337000000</x:v>
      </x:c>
      <x:c r="D7" s="319"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324" t="str">
        <x:v>Net debt</x:v>
      </x:c>
      <x:c r="B8" s="368" t="n">
        <x:f>B7-B6</x:f>
        <x:v>98252000000</x:v>
      </x:c>
      <x:c r="C8" s="333" t="n">
        <x:f>'Debt and liquidity'!B8</x:f>
        <x:v>88968000000</x:v>
      </x:c>
      <x:c r="D8" s="319" t="str">
        <x:v>Baseline borrowing less cash excluding restricted cash. Same date and filing. Negative net debt is retained.</x:v>
      </x:c>
    </x:row>
    <x:row r="9" ht="49" customHeight="1">
      <x:c r="A9" s="324" t="str">
        <x:v>Current ratio</x:v>
      </x:c>
      <x:c r="B9" s="360" t="n">
        <x:f>IF(IF(ISNUMBER('Data'!B131),'Data'!B131,NA())&gt;0,IF(ISNUMBER('Data'!B130),'Data'!B130,NA())/IF(ISNUMBER('Data'!B131),'Data'!B131,NA()),NA())</x:f>
        <x:v>1.1150033521693323</x:v>
      </x:c>
      <x:c r="C9" s="360" t="n">
        <x:f>'Debt and liquidity'!B9</x:f>
        <x:v>1.1708128130656228</x:v>
      </x:c>
      <x:c r="D9" s="319" t="str">
        <x:v>Total current assets / total current liabilities from one balance sheet. Liabilities include more than borrowing; assets include more than cash.</x:v>
      </x:c>
    </x:row>
    <x:row r="10" ht="75" customHeight="1">
      <x:c r="A10" s="324" t="str">
        <x:v>Operating cash flow</x:v>
      </x:c>
      <x:c r="B10" s="333" t="n">
        <x:f>IF(ISNUMBER('Data'!B134),'Data'!B134,NA())</x:f>
        <x:v>31977000000</x:v>
      </x:c>
      <x:c r="C10" s="333" t="n">
        <x:f>'Debt and liquidity'!B10</x:f>
        <x:v>46940000000</x:v>
      </x:c>
      <x:c r="D10" s="319"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324" t="str">
        <x:v>Capital expenditures</x:v>
      </x:c>
      <x:c r="B11" s="333" t="n">
        <x:f>IF(ISNUMBER('Data'!B135),'Data'!B135,NA())</x:f>
        <x:v>55663000000</x:v>
      </x:c>
      <x:c r="C11" s="333" t="n">
        <x:f>'Debt and liquidity'!B11</x:f>
        <x:v>75660000000</x:v>
      </x:c>
      <x:c r="D11" s="319" t="str">
        <x:v>Cash capital expenditures. Capex-financing cash flows are not added.</x:v>
      </x:c>
    </x:row>
    <x:row r="12" ht="45" customHeight="1">
      <x:c r="A12" s="324" t="str">
        <x:v>Free cash flow</x:v>
      </x:c>
      <x:c r="B12" s="368" t="n">
        <x:f>B10-B11</x:f>
        <x:v>-23686000000</x:v>
      </x:c>
      <x:c r="C12" s="333" t="n">
        <x:f>'Debt and liquidity'!B12</x:f>
        <x:v>-28720000000</x:v>
      </x:c>
      <x:c r="D12" s="319" t="str">
        <x:v>OCF less reported capital spending. Uses the spending basis above; excludes acquisitions, dividends and other cash uses.</x:v>
      </x:c>
    </x:row>
    <x:row r="13" ht="45" customHeight="1">
      <x:c r="A13" s="324" t="str">
        <x:v>Operating cash flow / debt</x:v>
      </x:c>
      <x:c r="B13" s="361" t="n">
        <x:f>IF(B7&gt;0,B10/B7,NA())</x:f>
        <x:v>0.24684848812345125</x:v>
      </x:c>
      <x:c r="C13" s="369" t="n">
        <x:f>'Debt and liquidity'!B13</x:f>
        <x:v>0.37451032017680336</x:v>
      </x:c>
      <x:c r="D13" s="319" t="str">
        <x:v>Twelve-month flow / borrowing at each period end. Annual column uses FY; latest column uses TTM. Not repayment coverage.</x:v>
      </x:c>
    </x:row>
    <x:row r="14" ht="45" customHeight="1">
      <x:c r="A14" s="324" t="str">
        <x:v>Free cash flow / debt</x:v>
      </x:c>
      <x:c r="B14" s="361" t="n">
        <x:f>IF(B7&gt;0,B12/B7,NA())</x:f>
        <x:v>-0.18284558556750372</x:v>
      </x:c>
      <x:c r="C14" s="369" t="n">
        <x:f>'Debt and liquidity'!B14</x:f>
        <x:v>-0.22914223254106927</x:v>
      </x:c>
      <x:c r="D14" s="319" t="str">
        <x:v>Twelve-month flow / borrowing at each period end. Annual column uses FY; latest column uses TTM. Not repayment coverage.</x:v>
      </x:c>
    </x:row>
    <x:row r="15" ht="49" customHeight="1">
      <x:c r="A15" s="325" t="str">
        <x:v>Historical interest coverage</x:v>
      </x:c>
      <x:c r="B15" s="362" t="n">
        <x:f>IF(AND('Cash analysis'!B46&gt;0),'Cash analysis'!B45/'Cash analysis'!B46,NA())</x:f>
        <x:v>4.480539247662535</x:v>
      </x:c>
      <x:c r="C15" s="362" t="n">
        <x:f>'Debt and liquidity'!B15</x:f>
        <x:v>4.517437304075235</x:v>
      </x:c>
      <x:c r="D15" s="321" t="str">
        <x:v>Annual and later TTM use reported interest expense before interest-income offset. Full composition and capitalization basis remain Unavailable.</x:v>
      </x:c>
    </x:row>
    <x:row r="16">
      <x:c r="A16" s="312"/>
      <x:c r="B16" s="331"/>
      <x:c r="C16" s="331"/>
      <x:c r="D16" s="313"/>
    </x:row>
    <x:row r="17" ht="70" customHeight="1">
      <x:c r="A17" s="328" t="str">
        <x:v>Period definitions</x:v>
      </x:c>
      <x:c r="B17" s="331"/>
      <x:c r="C17" s="331"/>
      <x:c r="D17" s="32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28" t="str">
        <x:v>Fiscal-year flows</x:v>
      </x:c>
      <x:c r="B18" s="331"/>
      <x:c r="C18" s="331"/>
      <x:c r="D18" s="327" t="str">
        <x:v>2025-06-01 to 2026-05-31</x:v>
      </x:c>
    </x:row>
    <x:row r="19">
      <x:c r="A19" s="328" t="str">
        <x:v>Later TTM flows</x:v>
      </x:c>
      <x:c r="B19" s="331"/>
      <x:c r="C19" s="331"/>
      <x:c r="D19" s="327" t="str">
        <x:v>2025-09-01 to 2026-08-31</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2"/>
      <x:c r="B1" s="331"/>
      <x:c r="C1" s="331"/>
      <x:c r="D1" s="313"/>
      <x:c r="E1" s="370"/>
      <x:c r="F1" s="370"/>
      <x:c r="G1" s="370"/>
      <x:c r="H1" s="370"/>
      <x:c r="I1" s="370"/>
      <x:c r="J1" s="370"/>
      <x:c r="K1" s="370"/>
      <x:c r="L1" s="370"/>
      <x:c r="M1" s="370"/>
      <x:c r="N1" s="370"/>
      <x:c r="O1" s="370"/>
    </x:row>
    <x:row r="2" ht="35" customHeight="1">
      <x:c r="A2" s="314" t="str">
        <x:v>ORCL — two chart questions</x:v>
      </x:c>
      <x:c r="B2" s="331"/>
      <x:c r="C2" s="331"/>
      <x:c r="D2" s="313"/>
      <x:c r="E2" s="370"/>
      <x:c r="F2" s="370"/>
      <x:c r="G2" s="370"/>
      <x:c r="H2" s="370"/>
      <x:c r="I2" s="370"/>
      <x:c r="J2" s="370"/>
      <x:c r="K2" s="370"/>
      <x:c r="L2" s="370"/>
      <x:c r="M2" s="370"/>
      <x:c r="N2" s="370"/>
      <x:c r="O2" s="370"/>
    </x:row>
    <x:row r="3" ht="35" customHeight="1">
      <x:c r="A3" s="315" t="str">
        <x:v>TTM 2025-09-01 to 2026-08-31. Values stored in USD, displayed in millions.</x:v>
      </x:c>
      <x:c r="B3" s="331"/>
      <x:c r="C3" s="331"/>
      <x:c r="D3" s="313"/>
      <x:c r="E3" s="370"/>
      <x:c r="F3" s="370"/>
      <x:c r="G3" s="370"/>
      <x:c r="H3" s="370"/>
      <x:c r="I3" s="370"/>
      <x:c r="J3" s="370"/>
      <x:c r="K3" s="370"/>
      <x:c r="L3" s="370"/>
      <x:c r="M3" s="370"/>
      <x:c r="N3" s="370"/>
      <x:c r="O3" s="370"/>
    </x:row>
    <x:row r="4" ht="35" customHeight="1">
      <x:c r="A4" s="312"/>
      <x:c r="B4" s="331"/>
      <x:c r="C4" s="331"/>
      <x:c r="D4" s="313"/>
      <x:c r="E4" s="370"/>
      <x:c r="F4" s="370"/>
      <x:c r="G4" s="370"/>
      <x:c r="H4" s="370"/>
      <x:c r="I4" s="370"/>
      <x:c r="J4" s="370"/>
      <x:c r="K4" s="370"/>
      <x:c r="L4" s="370"/>
      <x:c r="M4" s="370"/>
      <x:c r="N4" s="370"/>
      <x:c r="O4" s="370"/>
    </x:row>
    <x:row r="5" ht="35" customHeight="1">
      <x:c r="A5" s="316" t="str">
        <x:v>TTM measure</x:v>
      </x:c>
      <x:c r="B5" s="371" t="str">
        <x:v>USD millions</x:v>
      </x:c>
      <x:c r="C5" s="331"/>
      <x:c r="D5" s="313"/>
      <x:c r="E5" s="370"/>
      <x:c r="F5" s="370"/>
      <x:c r="G5" s="370"/>
      <x:c r="H5" s="370"/>
      <x:c r="I5" s="370"/>
      <x:c r="J5" s="370"/>
      <x:c r="K5" s="370"/>
      <x:c r="L5" s="370"/>
      <x:c r="M5" s="370"/>
      <x:c r="N5" s="370"/>
      <x:c r="O5" s="370"/>
    </x:row>
    <x:row r="6" ht="35" customHeight="1">
      <x:c r="A6" s="324" t="str">
        <x:v>Operating cash flow</x:v>
      </x:c>
      <x:c r="B6" s="372" t="n">
        <x:f>'Debt and liquidity'!B10</x:f>
        <x:v>46940000000</x:v>
      </x:c>
      <x:c r="C6" s="331"/>
      <x:c r="D6" s="313"/>
      <x:c r="E6" s="370"/>
      <x:c r="F6" s="370"/>
      <x:c r="G6" s="370"/>
      <x:c r="H6" s="370"/>
      <x:c r="I6" s="370"/>
      <x:c r="J6" s="370"/>
      <x:c r="K6" s="370"/>
      <x:c r="L6" s="370"/>
      <x:c r="M6" s="370"/>
      <x:c r="N6" s="370"/>
      <x:c r="O6" s="370"/>
    </x:row>
    <x:row r="7" ht="35" customHeight="1">
      <x:c r="A7" s="324" t="str">
        <x:v>Capital spending</x:v>
      </x:c>
      <x:c r="B7" s="372" t="n">
        <x:f>-'Debt and liquidity'!B11</x:f>
        <x:v>-75660000000</x:v>
      </x:c>
      <x:c r="C7" s="331"/>
      <x:c r="D7" s="313"/>
      <x:c r="E7" s="370"/>
      <x:c r="F7" s="370"/>
      <x:c r="G7" s="370"/>
      <x:c r="H7" s="370"/>
      <x:c r="I7" s="370"/>
      <x:c r="J7" s="370"/>
      <x:c r="K7" s="370"/>
      <x:c r="L7" s="370"/>
      <x:c r="M7" s="370"/>
      <x:c r="N7" s="370"/>
      <x:c r="O7" s="370"/>
    </x:row>
    <x:row r="8" ht="35" customHeight="1">
      <x:c r="A8" s="325" t="str">
        <x:v>Free cash flow</x:v>
      </x:c>
      <x:c r="B8" s="373" t="n">
        <x:f>'Debt and liquidity'!B12</x:f>
        <x:v>-28720000000</x:v>
      </x:c>
      <x:c r="C8" s="331"/>
      <x:c r="D8" s="313"/>
      <x:c r="E8" s="370"/>
      <x:c r="F8" s="370"/>
      <x:c r="G8" s="370"/>
      <x:c r="H8" s="370"/>
      <x:c r="I8" s="370"/>
      <x:c r="J8" s="370"/>
      <x:c r="K8" s="370"/>
      <x:c r="L8" s="370"/>
      <x:c r="M8" s="370"/>
      <x:c r="N8" s="370"/>
      <x:c r="O8" s="370"/>
    </x:row>
    <x:row r="9" ht="35" customHeight="1">
      <x:c r="A9" s="312"/>
      <x:c r="B9" s="331"/>
      <x:c r="C9" s="331"/>
      <x:c r="D9" s="313"/>
      <x:c r="E9" s="370"/>
      <x:c r="F9" s="370"/>
      <x:c r="G9" s="370"/>
      <x:c r="H9" s="370"/>
      <x:c r="I9" s="370"/>
      <x:c r="J9" s="370"/>
      <x:c r="K9" s="370"/>
      <x:c r="L9" s="370"/>
      <x:c r="M9" s="370"/>
      <x:c r="N9" s="370"/>
      <x:c r="O9" s="370"/>
    </x:row>
    <x:row r="10" ht="80" customHeight="1">
      <x:c r="A10" s="328" t="str">
        <x:v>Calculation basis</x:v>
      </x:c>
      <x:c r="B10" s="331"/>
      <x:c r="C10" s="331"/>
      <x:c r="D10" s="327" t="str">
        <x:v>FCF = OCF − capital spending. FCF is a result, not an additional cash flow. Capital spending is shown negative.</x:v>
      </x:c>
      <x:c r="E10" s="370"/>
      <x:c r="F10" s="370"/>
      <x:c r="G10" s="370"/>
      <x:c r="H10" s="370"/>
      <x:c r="I10" s="370"/>
      <x:c r="J10" s="370"/>
      <x:c r="K10" s="370"/>
      <x:c r="L10" s="370"/>
      <x:c r="M10" s="370"/>
      <x:c r="N10" s="370"/>
      <x:c r="O10" s="370"/>
    </x:row>
    <x:row r="11" ht="35" customHeight="1">
      <x:c r="A11" s="312"/>
      <x:c r="B11" s="331"/>
      <x:c r="C11" s="331"/>
      <x:c r="D11" s="313"/>
      <x:c r="E11" s="370"/>
      <x:c r="F11" s="370"/>
      <x:c r="G11" s="370"/>
      <x:c r="H11" s="370"/>
      <x:c r="I11" s="370"/>
      <x:c r="J11" s="370"/>
      <x:c r="K11" s="370"/>
      <x:c r="L11" s="370"/>
      <x:c r="M11" s="370"/>
      <x:c r="N11" s="370"/>
      <x:c r="O11" s="370"/>
    </x:row>
    <x:row r="12" ht="35" customHeight="1">
      <x:c r="A12" s="312"/>
      <x:c r="B12" s="331"/>
      <x:c r="C12" s="331"/>
      <x:c r="D12" s="313"/>
      <x:c r="E12" s="370"/>
      <x:c r="F12" s="370"/>
      <x:c r="G12" s="370"/>
      <x:c r="H12" s="370"/>
      <x:c r="I12" s="370"/>
      <x:c r="J12" s="370"/>
      <x:c r="K12" s="370"/>
      <x:c r="L12" s="370"/>
      <x:c r="M12" s="370"/>
      <x:c r="N12" s="370"/>
      <x:c r="O12" s="370"/>
    </x:row>
    <x:row r="13" ht="35" customHeight="1">
      <x:c r="A13" s="312"/>
      <x:c r="B13" s="331"/>
      <x:c r="C13" s="331"/>
      <x:c r="D13" s="313"/>
      <x:c r="E13" s="370"/>
      <x:c r="F13" s="370"/>
      <x:c r="G13" s="370"/>
      <x:c r="H13" s="370"/>
      <x:c r="I13" s="370"/>
      <x:c r="J13" s="370"/>
      <x:c r="K13" s="370"/>
      <x:c r="L13" s="370"/>
      <x:c r="M13" s="370"/>
      <x:c r="N13" s="370"/>
      <x:c r="O13" s="370"/>
    </x:row>
    <x:row r="14" ht="35" customHeight="1">
      <x:c r="A14" s="312"/>
      <x:c r="B14" s="331"/>
      <x:c r="C14" s="331"/>
      <x:c r="D14" s="313"/>
      <x:c r="E14" s="370"/>
      <x:c r="F14" s="370"/>
      <x:c r="G14" s="370"/>
      <x:c r="H14" s="370"/>
      <x:c r="I14" s="370"/>
      <x:c r="J14" s="370"/>
      <x:c r="K14" s="370"/>
      <x:c r="L14" s="370"/>
      <x:c r="M14" s="370"/>
      <x:c r="N14" s="370"/>
      <x:c r="O14" s="370"/>
    </x:row>
    <x:row r="15" ht="35" customHeight="1">
      <x:c r="A15" s="312"/>
      <x:c r="B15" s="331"/>
      <x:c r="C15" s="331"/>
      <x:c r="D15" s="313"/>
      <x:c r="E15" s="370"/>
      <x:c r="F15" s="370"/>
      <x:c r="G15" s="370"/>
      <x:c r="H15" s="370"/>
      <x:c r="I15" s="370"/>
      <x:c r="J15" s="370"/>
      <x:c r="K15" s="370"/>
      <x:c r="L15" s="370"/>
      <x:c r="M15" s="370"/>
      <x:c r="N15" s="370"/>
      <x:c r="O15" s="370"/>
    </x:row>
    <x:row r="16" ht="35" customHeight="1">
      <x:c r="A16" s="312"/>
      <x:c r="B16" s="331"/>
      <x:c r="C16" s="331"/>
      <x:c r="D16" s="313"/>
      <x:c r="E16" s="370"/>
      <x:c r="F16" s="370"/>
      <x:c r="G16" s="370"/>
      <x:c r="H16" s="370"/>
      <x:c r="I16" s="370"/>
      <x:c r="J16" s="370"/>
      <x:c r="K16" s="370"/>
      <x:c r="L16" s="370"/>
      <x:c r="M16" s="370"/>
      <x:c r="N16" s="370"/>
      <x:c r="O16" s="370"/>
    </x:row>
    <x:row r="17" ht="35" customHeight="1">
      <x:c r="A17" s="312"/>
      <x:c r="B17" s="331"/>
      <x:c r="C17" s="331"/>
      <x:c r="D17" s="313"/>
      <x:c r="E17" s="370"/>
      <x:c r="F17" s="370"/>
      <x:c r="G17" s="370"/>
      <x:c r="H17" s="370"/>
      <x:c r="I17" s="370"/>
      <x:c r="J17" s="370"/>
      <x:c r="K17" s="370"/>
      <x:c r="L17" s="370"/>
      <x:c r="M17" s="370"/>
      <x:c r="N17" s="370"/>
      <x:c r="O17" s="370"/>
    </x:row>
    <x:row r="18" ht="35" customHeight="1">
      <x:c r="A18" s="312"/>
      <x:c r="B18" s="331"/>
      <x:c r="C18" s="331"/>
      <x:c r="D18" s="313"/>
      <x:c r="E18" s="370"/>
      <x:c r="F18" s="370"/>
      <x:c r="G18" s="370"/>
      <x:c r="H18" s="370"/>
      <x:c r="I18" s="370"/>
      <x:c r="J18" s="370"/>
      <x:c r="K18" s="370"/>
      <x:c r="L18" s="370"/>
      <x:c r="M18" s="370"/>
      <x:c r="N18" s="370"/>
      <x:c r="O18" s="370"/>
    </x:row>
    <x:row r="19" ht="35" customHeight="1">
      <x:c r="A19" s="312"/>
      <x:c r="B19" s="331"/>
      <x:c r="C19" s="331"/>
      <x:c r="D19" s="313"/>
      <x:c r="E19" s="370"/>
      <x:c r="F19" s="370"/>
      <x:c r="G19" s="370"/>
      <x:c r="H19" s="370"/>
      <x:c r="I19" s="370"/>
      <x:c r="J19" s="370"/>
      <x:c r="K19" s="370"/>
      <x:c r="L19" s="370"/>
      <x:c r="M19" s="370"/>
      <x:c r="N19" s="370"/>
      <x:c r="O19" s="370"/>
    </x:row>
    <x:row r="20" ht="35" customHeight="1">
      <x:c r="A20" s="312"/>
      <x:c r="B20" s="331"/>
      <x:c r="C20" s="331"/>
      <x:c r="D20" s="313"/>
      <x:c r="E20" s="370"/>
      <x:c r="F20" s="370"/>
      <x:c r="G20" s="370"/>
      <x:c r="H20" s="370"/>
      <x:c r="I20" s="370"/>
      <x:c r="J20" s="370"/>
      <x:c r="K20" s="370"/>
      <x:c r="L20" s="370"/>
      <x:c r="M20" s="370"/>
      <x:c r="N20" s="370"/>
      <x:c r="O20" s="370"/>
    </x:row>
    <x:row r="21" ht="35" customHeight="1">
      <x:c r="A21" s="312"/>
      <x:c r="B21" s="331"/>
      <x:c r="C21" s="331"/>
      <x:c r="D21" s="313"/>
      <x:c r="E21" s="370"/>
      <x:c r="F21" s="370"/>
      <x:c r="G21" s="370"/>
      <x:c r="H21" s="370"/>
      <x:c r="I21" s="370"/>
      <x:c r="J21" s="370"/>
      <x:c r="K21" s="370"/>
      <x:c r="L21" s="370"/>
      <x:c r="M21" s="370"/>
      <x:c r="N21" s="370"/>
      <x:c r="O21" s="370"/>
    </x:row>
    <x:row r="22" ht="35" customHeight="1">
      <x:c r="A22" s="312"/>
      <x:c r="B22" s="331"/>
      <x:c r="C22" s="331"/>
      <x:c r="D22" s="313"/>
      <x:c r="E22" s="370"/>
      <x:c r="F22" s="370"/>
      <x:c r="G22" s="370"/>
      <x:c r="H22" s="370"/>
      <x:c r="I22" s="370"/>
      <x:c r="J22" s="370"/>
      <x:c r="K22" s="370"/>
      <x:c r="L22" s="370"/>
      <x:c r="M22" s="370"/>
      <x:c r="N22" s="370"/>
      <x:c r="O22" s="370"/>
    </x:row>
    <x:row r="23" ht="35" customHeight="1">
      <x:c r="A23" s="312"/>
      <x:c r="B23" s="331"/>
      <x:c r="C23" s="331"/>
      <x:c r="D23" s="313"/>
      <x:c r="E23" s="370"/>
      <x:c r="F23" s="370"/>
      <x:c r="G23" s="370"/>
      <x:c r="H23" s="370"/>
      <x:c r="I23" s="370"/>
      <x:c r="J23" s="370"/>
      <x:c r="K23" s="370"/>
      <x:c r="L23" s="370"/>
      <x:c r="M23" s="370"/>
      <x:c r="N23" s="370"/>
      <x:c r="O23" s="370"/>
    </x:row>
    <x:row r="24" ht="35" customHeight="1">
      <x:c r="A24" s="316" t="str">
        <x:v>Balance-sheet date</x:v>
      </x:c>
      <x:c r="B24" s="332" t="str">
        <x:v>Cash and equivalents</x:v>
      </x:c>
      <x:c r="C24" s="371" t="str">
        <x:v>Baseline borrowing</x:v>
      </x:c>
      <x:c r="D24" s="313"/>
      <x:c r="E24" s="370"/>
      <x:c r="F24" s="370"/>
      <x:c r="G24" s="370"/>
      <x:c r="H24" s="370"/>
      <x:c r="I24" s="370"/>
      <x:c r="J24" s="370"/>
      <x:c r="K24" s="370"/>
      <x:c r="L24" s="370"/>
      <x:c r="M24" s="370"/>
      <x:c r="N24" s="370"/>
      <x:c r="O24" s="370"/>
    </x:row>
    <x:row r="25" ht="35" customHeight="1">
      <x:c r="A25" s="324" t="str">
        <x:v>2026-05-31</x:v>
      </x:c>
      <x:c r="B25" s="333" t="n">
        <x:f>'History'!B6</x:f>
        <x:v>31289000000</x:v>
      </x:c>
      <x:c r="C25" s="372" t="n">
        <x:f>'History'!B7</x:f>
        <x:v>129541000000</x:v>
      </x:c>
      <x:c r="D25" s="313"/>
      <x:c r="E25" s="370"/>
      <x:c r="F25" s="370"/>
      <x:c r="G25" s="370"/>
      <x:c r="H25" s="370"/>
      <x:c r="I25" s="370"/>
      <x:c r="J25" s="370"/>
      <x:c r="K25" s="370"/>
      <x:c r="L25" s="370"/>
      <x:c r="M25" s="370"/>
      <x:c r="N25" s="370"/>
      <x:c r="O25" s="370"/>
    </x:row>
    <x:row r="26" ht="35" customHeight="1">
      <x:c r="A26" s="325" t="str">
        <x:v>2026-08-31</x:v>
      </x:c>
      <x:c r="B26" s="374" t="n">
        <x:f>'History'!C6</x:f>
        <x:v>36369000000</x:v>
      </x:c>
      <x:c r="C26" s="373" t="n">
        <x:f>'History'!C7</x:f>
        <x:v>125337000000</x:v>
      </x:c>
      <x:c r="D26" s="313"/>
      <x:c r="E26" s="370"/>
      <x:c r="F26" s="370"/>
      <x:c r="G26" s="370"/>
      <x:c r="H26" s="370"/>
      <x:c r="I26" s="370"/>
      <x:c r="J26" s="370"/>
      <x:c r="K26" s="370"/>
      <x:c r="L26" s="370"/>
      <x:c r="M26" s="370"/>
      <x:c r="N26" s="370"/>
      <x:c r="O26" s="370"/>
    </x:row>
    <x:row r="27" ht="35" customHeight="1">
      <x:c r="A27" s="312"/>
      <x:c r="B27" s="331"/>
      <x:c r="C27" s="331"/>
      <x:c r="D27" s="313"/>
      <x:c r="E27" s="370"/>
      <x:c r="F27" s="370"/>
      <x:c r="G27" s="370"/>
      <x:c r="H27" s="370"/>
      <x:c r="I27" s="370"/>
      <x:c r="J27" s="370"/>
      <x:c r="K27" s="370"/>
      <x:c r="L27" s="370"/>
      <x:c r="M27" s="370"/>
      <x:c r="N27" s="370"/>
      <x:c r="O27" s="370"/>
    </x:row>
    <x:row r="28" ht="35" customHeight="1">
      <x:c r="A28" s="312"/>
      <x:c r="B28" s="331"/>
      <x:c r="C28" s="331"/>
      <x:c r="D28" s="313"/>
      <x:c r="E28" s="370"/>
      <x:c r="F28" s="370"/>
      <x:c r="G28" s="370"/>
      <x:c r="H28" s="370"/>
      <x:c r="I28" s="370"/>
      <x:c r="J28" s="370"/>
      <x:c r="K28" s="370"/>
      <x:c r="L28" s="370"/>
      <x:c r="M28" s="370"/>
      <x:c r="N28" s="370"/>
      <x:c r="O28" s="370"/>
    </x:row>
    <x:row r="29" ht="95" customHeight="1">
      <x:c r="A29" s="328" t="str">
        <x:v>Scope / missing history</x:v>
      </x:c>
      <x:c r="B29" s="331"/>
      <x:c r="C29" s="331"/>
      <x:c r="D29" s="327" t="str">
        <x:v>Baseline borrowing excludes leases; cash excludes restricted cash and investments. These balances do not establish repayment coverage.</x:v>
      </x:c>
      <x:c r="E29" s="370"/>
      <x:c r="F29" s="370"/>
      <x:c r="G29" s="370"/>
      <x:c r="H29" s="370"/>
      <x:c r="I29" s="370"/>
      <x:c r="J29" s="370"/>
      <x:c r="K29" s="370"/>
      <x:c r="L29" s="370"/>
      <x:c r="M29" s="370"/>
      <x:c r="N29" s="370"/>
      <x:c r="O29" s="370"/>
    </x:row>
    <x:row r="30" ht="35" customHeight="1">
      <x:c r="A30" s="312"/>
      <x:c r="B30" s="331"/>
      <x:c r="C30" s="331"/>
      <x:c r="D30" s="313"/>
      <x:c r="E30" s="370"/>
      <x:c r="F30" s="370"/>
      <x:c r="G30" s="370"/>
      <x:c r="H30" s="370"/>
      <x:c r="I30" s="370"/>
      <x:c r="J30" s="370"/>
      <x:c r="K30" s="370"/>
      <x:c r="L30" s="370"/>
      <x:c r="M30" s="370"/>
      <x:c r="N30" s="370"/>
      <x:c r="O30" s="370"/>
    </x:row>
    <x:row r="31" ht="35" customHeight="1">
      <x:c r="A31" s="312"/>
      <x:c r="B31" s="331"/>
      <x:c r="C31" s="331"/>
      <x:c r="D31" s="313"/>
      <x:c r="E31" s="370"/>
      <x:c r="F31" s="370"/>
      <x:c r="G31" s="370"/>
      <x:c r="H31" s="370"/>
      <x:c r="I31" s="370"/>
      <x:c r="J31" s="370"/>
      <x:c r="K31" s="370"/>
      <x:c r="L31" s="370"/>
      <x:c r="M31" s="370"/>
      <x:c r="N31" s="370"/>
      <x:c r="O31" s="370"/>
    </x:row>
    <x:row r="32" ht="35" customHeight="1">
      <x:c r="A32" s="312"/>
      <x:c r="B32" s="331"/>
      <x:c r="C32" s="331"/>
      <x:c r="D32" s="313"/>
      <x:c r="E32" s="370"/>
      <x:c r="F32" s="370"/>
      <x:c r="G32" s="370"/>
      <x:c r="H32" s="370"/>
      <x:c r="I32" s="370"/>
      <x:c r="J32" s="370"/>
      <x:c r="K32" s="370"/>
      <x:c r="L32" s="370"/>
      <x:c r="M32" s="370"/>
      <x:c r="N32" s="370"/>
      <x:c r="O32" s="370"/>
    </x:row>
    <x:row r="33" ht="35" customHeight="1">
      <x:c r="A33" s="312"/>
      <x:c r="B33" s="331"/>
      <x:c r="C33" s="331"/>
      <x:c r="D33" s="313"/>
      <x:c r="E33" s="370"/>
      <x:c r="F33" s="370"/>
      <x:c r="G33" s="370"/>
      <x:c r="H33" s="370"/>
      <x:c r="I33" s="370"/>
      <x:c r="J33" s="370"/>
      <x:c r="K33" s="370"/>
      <x:c r="L33" s="370"/>
      <x:c r="M33" s="370"/>
      <x:c r="N33" s="370"/>
      <x:c r="O33" s="370"/>
    </x:row>
    <x:row r="34" ht="35" customHeight="1">
      <x:c r="A34" s="312"/>
      <x:c r="B34" s="331"/>
      <x:c r="C34" s="331"/>
      <x:c r="D34" s="313"/>
      <x:c r="E34" s="370"/>
      <x:c r="F34" s="370"/>
      <x:c r="G34" s="370"/>
      <x:c r="H34" s="370"/>
      <x:c r="I34" s="370"/>
      <x:c r="J34" s="370"/>
      <x:c r="K34" s="370"/>
      <x:c r="L34" s="370"/>
      <x:c r="M34" s="370"/>
      <x:c r="N34" s="370"/>
      <x:c r="O34" s="370"/>
    </x:row>
    <x:row r="35" ht="35" customHeight="1">
      <x:c r="A35" s="312"/>
      <x:c r="B35" s="331"/>
      <x:c r="C35" s="331"/>
      <x:c r="D35" s="313"/>
      <x:c r="E35" s="370"/>
      <x:c r="F35" s="370"/>
      <x:c r="G35" s="370"/>
      <x:c r="H35" s="370"/>
      <x:c r="I35" s="370"/>
      <x:c r="J35" s="370"/>
      <x:c r="K35" s="370"/>
      <x:c r="L35" s="370"/>
      <x:c r="M35" s="370"/>
      <x:c r="N35" s="370"/>
      <x:c r="O35" s="370"/>
    </x:row>
    <x:row r="36" ht="35" customHeight="1">
      <x:c r="A36" s="312"/>
      <x:c r="B36" s="331"/>
      <x:c r="C36" s="331"/>
      <x:c r="D36" s="313"/>
      <x:c r="E36" s="370"/>
      <x:c r="F36" s="370"/>
      <x:c r="G36" s="370"/>
      <x:c r="H36" s="370"/>
      <x:c r="I36" s="370"/>
      <x:c r="J36" s="370"/>
      <x:c r="K36" s="370"/>
      <x:c r="L36" s="370"/>
      <x:c r="M36" s="370"/>
      <x:c r="N36" s="370"/>
      <x:c r="O36" s="370"/>
    </x:row>
    <x:row r="37" ht="35" customHeight="1">
      <x:c r="A37" s="312"/>
      <x:c r="B37" s="331"/>
      <x:c r="C37" s="331"/>
      <x:c r="D37" s="313"/>
      <x:c r="E37" s="370"/>
      <x:c r="F37" s="370"/>
      <x:c r="G37" s="370"/>
      <x:c r="H37" s="370"/>
      <x:c r="I37" s="370"/>
      <x:c r="J37" s="370"/>
      <x:c r="K37" s="370"/>
      <x:c r="L37" s="370"/>
      <x:c r="M37" s="370"/>
      <x:c r="N37" s="370"/>
      <x:c r="O37" s="370"/>
    </x:row>
    <x:row r="38" ht="35" customHeight="1">
      <x:c r="A38" s="312"/>
      <x:c r="B38" s="331"/>
      <x:c r="C38" s="331"/>
      <x:c r="D38" s="313"/>
      <x:c r="E38" s="370"/>
      <x:c r="F38" s="370"/>
      <x:c r="G38" s="370"/>
      <x:c r="H38" s="370"/>
      <x:c r="I38" s="370"/>
      <x:c r="J38" s="370"/>
      <x:c r="K38" s="370"/>
      <x:c r="L38" s="370"/>
      <x:c r="M38" s="370"/>
      <x:c r="N38" s="370"/>
      <x:c r="O38" s="370"/>
    </x:row>
    <x:row r="39" ht="35" customHeight="1">
      <x:c r="A39" s="312"/>
      <x:c r="B39" s="331"/>
      <x:c r="C39" s="331"/>
      <x:c r="D39" s="313"/>
      <x:c r="E39" s="370"/>
      <x:c r="F39" s="370"/>
      <x:c r="G39" s="370"/>
      <x:c r="H39" s="370"/>
      <x:c r="I39" s="370"/>
      <x:c r="J39" s="370"/>
      <x:c r="K39" s="370"/>
      <x:c r="L39" s="370"/>
      <x:c r="M39" s="370"/>
      <x:c r="N39" s="370"/>
      <x:c r="O39" s="370"/>
    </x:row>
    <x:row r="40" ht="35" customHeight="1">
      <x:c r="A40" s="312"/>
      <x:c r="B40" s="331"/>
      <x:c r="C40" s="331"/>
      <x:c r="D40" s="313"/>
      <x:c r="E40" s="370"/>
      <x:c r="F40" s="370"/>
      <x:c r="G40" s="370"/>
      <x:c r="H40" s="370"/>
      <x:c r="I40" s="370"/>
      <x:c r="J40" s="370"/>
      <x:c r="K40" s="370"/>
      <x:c r="L40" s="370"/>
      <x:c r="M40" s="370"/>
      <x:c r="N40" s="370"/>
      <x:c r="O40" s="370"/>
    </x:row>
    <x:row r="41" ht="65" customHeight="1">
      <x:c r="A41" s="328" t="str">
        <x:v>Evidence trail</x:v>
      </x:c>
      <x:c r="B41" s="331"/>
      <x:c r="C41" s="331"/>
      <x:c r="D41" s="327" t="str">
        <x:v>Chart values link to Debt and liquidity and History. Data retains the exact input periods, tags, accessions and source URLs.</x:v>
      </x:c>
      <x:c r="E41" s="370"/>
      <x:c r="F41" s="370"/>
      <x:c r="G41" s="370"/>
      <x:c r="H41" s="370"/>
      <x:c r="I41" s="370"/>
      <x:c r="J41" s="370"/>
      <x:c r="K41" s="370"/>
      <x:c r="L41" s="370"/>
      <x:c r="M41" s="370"/>
      <x:c r="N41" s="370"/>
      <x:c r="O41" s="370"/>
    </x:row>
    <x:row r="42" ht="35" customHeight="1">
      <x:c r="A42" s="312"/>
      <x:c r="B42" s="331"/>
      <x:c r="C42" s="331"/>
      <x:c r="D42" s="313"/>
      <x:c r="E42" s="370"/>
      <x:c r="F42" s="370"/>
      <x:c r="G42" s="370"/>
      <x:c r="H42" s="370"/>
      <x:c r="I42" s="370"/>
      <x:c r="J42" s="370"/>
      <x:c r="K42" s="370"/>
      <x:c r="L42" s="370"/>
      <x:c r="M42" s="370"/>
      <x:c r="N42" s="370"/>
      <x:c r="O42" s="370"/>
    </x:row>
    <x:row r="43" ht="35" customHeight="1">
      <x:c r="A43" s="312"/>
      <x:c r="B43" s="331"/>
      <x:c r="C43" s="331"/>
      <x:c r="D43" s="313"/>
      <x:c r="E43" s="370"/>
      <x:c r="F43" s="370"/>
      <x:c r="G43" s="370"/>
      <x:c r="H43" s="370"/>
      <x:c r="I43" s="370"/>
      <x:c r="J43" s="370"/>
      <x:c r="K43" s="370"/>
      <x:c r="L43" s="370"/>
      <x:c r="M43" s="370"/>
      <x:c r="N43" s="370"/>
      <x:c r="O43" s="370"/>
    </x:row>
  </x:sheetData>
  <x:pageMargins left="0.7" right="0.7" top="0.75" bottom="0.75" header="0.3" footer="0.3"/>
  <x:drawing ns1: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375" t="str">
        <x:v>Oracle repayment funding review</x:v>
      </x:c>
      <x:c r="B2" s="376"/>
      <x:c r="C2" s="376"/>
      <x:c r="D2" s="376"/>
      <x:c r="E2" s="376"/>
      <x:c r="F2" s="376"/>
      <x:c r="G2" s="377"/>
    </x:row>
    <x:row r="3" ht="24" customHeight="1">
      <x:c r="A3" s="378" t="str">
        <x:v>At August 31, 2026. USD millions. Future coverage is Unavailable; no combined funding total.</x:v>
      </x:c>
      <x:c r="B3" s="376"/>
      <x:c r="C3" s="376"/>
      <x:c r="D3" s="376"/>
      <x:c r="E3" s="376"/>
      <x:c r="F3" s="376"/>
      <x:c r="G3" s="377"/>
    </x:row>
    <x:row r="4" ht="24" customHeight="1">
      <x:c r="A4" s="379"/>
      <x:c r="B4" s="376"/>
      <x:c r="C4" s="376"/>
      <x:c r="D4" s="376"/>
      <x:c r="E4" s="376"/>
      <x:c r="F4" s="376"/>
      <x:c r="G4" s="377"/>
    </x:row>
    <x:row r="5" ht="48" customHeight="1">
      <x:c r="A5" s="380" t="str">
        <x:v>Resource</x:v>
      </x:c>
      <x:c r="B5" s="381" t="str">
        <x:v>USD millions</x:v>
      </x:c>
      <x:c r="C5" s="381" t="str">
        <x:v>Date / period</x:v>
      </x:c>
      <x:c r="D5" s="381" t="str">
        <x:v>Available for future payments?</x:v>
      </x:c>
      <x:c r="E5" s="382" t="str">
        <x:v>Evidence / condition</x:v>
      </x:c>
      <x:c r="F5" s="383"/>
      <x:c r="G5" s="384"/>
    </x:row>
    <x:row r="6" ht="100" customHeight="1">
      <x:c r="A6" s="385" t="str">
        <x:v>Cash excluding restricted cash</x:v>
      </x:c>
      <x:c r="B6" s="386" t="n">
        <x:f>IF(ISNUMBER('Data'!B21),'Data'!B21,NA())</x:f>
        <x:v>36369000000</x:v>
      </x:c>
      <x:c r="C6" s="387" t="str">
        <x:v>2026-08-31</x:v>
      </x:c>
      <x:c r="D6" s="387" t="str">
        <x:v>Not allocated; future availability Unavailable</x:v>
      </x:c>
      <x:c r="E6" s="388" t="str">
        <x:v>August cash pool, not reserved for future payments. Operating needs, capital spending and other obligations compete for it. Availability at payment dates is Unavailable.</x:v>
      </x:c>
      <x:c r="F6" s="383"/>
      <x:c r="G6" s="384"/>
    </x:row>
    <x:row r="7" ht="100" customHeight="1">
      <x:c r="A7" s="385" t="str">
        <x:v>Restricted cash</x:v>
      </x:c>
      <x:c r="B7" s="386" t="n">
        <x:f>'Cash analysis'!B21</x:f>
        <x:v>2565000000</x:v>
      </x:c>
      <x:c r="C7" s="387" t="str">
        <x:v>2026-08-31</x:v>
      </x:c>
      <x:c r="D7" s="387" t="str">
        <x:v>Excluded</x:v>
      </x:c>
      <x:c r="E7" s="388" t="str">
        <x:v>Excluded from the general repayment pool. Release timing and permitted uses are Unavailable.</x:v>
      </x:c>
      <x:c r="F7" s="383"/>
      <x:c r="G7" s="384"/>
    </x:row>
    <x:row r="8" ht="100" customHeight="1">
      <x:c r="A8" s="385" t="str">
        <x:v>Reported operating cash flow</x:v>
      </x:c>
      <x:c r="B8" s="386" t="n">
        <x:f>IF(ISNUMBER('Data'!B2),'Data'!B2,NA())</x:f>
        <x:v>23103000000</x:v>
      </x:c>
      <x:c r="C8" s="387" t="str">
        <x:v>2026-06-01 to 2026-08-31</x:v>
      </x:c>
      <x:c r="D8" s="387" t="str">
        <x:v>Historical flow; already in cash</x:v>
      </x:c>
      <x:c r="E8" s="388" t="str">
        <x:v>Historical cash generation, including the specified prepayments. Already reflected in closing cash. Future OCF and future operating costs are Unavailable.</x:v>
      </x:c>
      <x:c r="F8" s="383"/>
      <x:c r="G8" s="384"/>
    </x:row>
    <x:row r="9" ht="100" customHeight="1">
      <x:c r="A9" s="385" t="str">
        <x:v>Specified customer prepayments</x:v>
      </x:c>
      <x:c r="B9" s="386" t="n">
        <x:f>IF(ISNUMBER('Data'!B3),'Data'!B3,NA())</x:f>
        <x:v>11363000000</x:v>
      </x:c>
      <x:c r="C9" s="387" t="str">
        <x:v>2026-06-01 to 2026-08-31</x:v>
      </x:c>
      <x:c r="D9" s="387" t="str">
        <x:v>Historical flow; already in cash</x:v>
      </x:c>
      <x:c r="E9" s="388" t="str">
        <x:v>Part of reported OCF and already in closing cash. Supports future customer performance obligations. Future prepayments and related service costs are Unavailable.</x:v>
      </x:c>
      <x:c r="F9" s="383"/>
      <x:c r="G9" s="384"/>
    </x:row>
    <x:row r="10" ht="100" customHeight="1">
      <x:c r="A10" s="385" t="str">
        <x:v>ATM equity proceeds, net</x:v>
      </x:c>
      <x:c r="B10" s="386" t="n">
        <x:f>IF(ISNUMBER('Data'!B8),'Data'!B8,NA())</x:f>
        <x:v>19909000000</x:v>
      </x:c>
      <x:c r="C10" s="387" t="str">
        <x:v>2026-06-01 to 2026-08-31</x:v>
      </x:c>
      <x:c r="D10" s="387" t="str">
        <x:v>Historical flow; already in cash</x:v>
      </x:c>
      <x:c r="E10" s="388" t="str">
        <x:v>Already in closing cash. The $20B gross ATM program was fully utilized. No unused capacity or additional future equity proceeds are established.</x:v>
      </x:c>
      <x:c r="F10" s="383"/>
      <x:c r="G10" s="384"/>
    </x:row>
    <x:row r="11" ht="130" customHeight="1">
      <x:c r="A11" s="389" t="str">
        <x:v>Original revolver commitment</x:v>
      </x:c>
      <x:c r="B11" s="390" t="n">
        <x:f>IF(ISNUMBER('Data'!B57),'Data'!B57,NA())</x:f>
        <x:v>10000000000</x:v>
      </x:c>
      <x:c r="C11" s="391" t="str">
        <x:v>2026-03-06 to 2031-03-06</x:v>
      </x:c>
      <x:c r="D11" s="391" t="str">
        <x:v>Drawable capacity Unavailable</x:v>
      </x:c>
      <x:c r="E11" s="392"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383"/>
      <x:c r="G11" s="384"/>
    </x:row>
    <x:row r="12" ht="24" customHeight="1">
      <x:c r="A12" s="393"/>
      <x:c r="B12" s="383"/>
      <x:c r="C12" s="383"/>
      <x:c r="D12" s="383"/>
      <x:c r="E12" s="383"/>
      <x:c r="F12" s="383"/>
      <x:c r="G12" s="384"/>
    </x:row>
    <x:row r="13" ht="46" customHeight="1">
      <x:c r="A13" s="394" t="str">
        <x:v>Shared cash pool</x:v>
      </x:c>
      <x:c r="B13" s="383"/>
      <x:c r="C13" s="383"/>
      <x:c r="D13" s="395" t="str">
        <x:v>OCF, prepayments and equity proceeds are already in closing cash and are not added again.</x:v>
      </x:c>
      <x:c r="E13" s="383"/>
      <x:c r="F13" s="383"/>
      <x:c r="G13" s="384"/>
    </x:row>
    <x:row r="14" ht="24" customHeight="1">
      <x:c r="A14" s="393"/>
      <x:c r="B14" s="383"/>
      <x:c r="C14" s="383"/>
      <x:c r="D14" s="383"/>
      <x:c r="E14" s="383"/>
      <x:c r="F14" s="383"/>
      <x:c r="G14" s="384"/>
    </x:row>
    <x:row r="15" ht="48" customHeight="1">
      <x:c r="A15" s="380" t="str">
        <x:v>Due period</x:v>
      </x:c>
      <x:c r="B15" s="381" t="str">
        <x:v>Obligation</x:v>
      </x:c>
      <x:c r="C15" s="381" t="str">
        <x:v>USD millions</x:v>
      </x:c>
      <x:c r="D15" s="381" t="str">
        <x:v>Potential funding</x:v>
      </x:c>
      <x:c r="E15" s="381" t="str">
        <x:v>Confirmed funds at due date, USD millions</x:v>
      </x:c>
      <x:c r="F15" s="381" t="str">
        <x:v>Coverage (x)</x:v>
      </x:c>
      <x:c r="G15" s="396" t="str">
        <x:v>Competing uses / missing evidence</x:v>
      </x:c>
    </x:row>
    <x:row r="16" ht="65" customHeight="1">
      <x:c r="A16" s="385" t="str">
        <x:v>Remainder FY2027</x:v>
      </x:c>
      <x:c r="B16" s="387" t="str">
        <x:v>Operating leases</x:v>
      </x:c>
      <x:c r="C16" s="386" t="n">
        <x:f>IF(ISNUMBER('Data'!B23),'Data'!B23,NA())</x:f>
        <x:v>3219000000</x:v>
      </x:c>
      <x:c r="D16" s="387" t="str">
        <x:v>August cash pool; conditional revolver. No payment allocation established.</x:v>
      </x:c>
      <x:c r="E16" s="397"/>
      <x:c r="F16" s="387" t="str">
        <x:v>Unavailable</x:v>
      </x:c>
      <x:c r="G16" s="398" t="str">
        <x:v>Operating needs and capex also use cash. Do not deduct lease payments already inside OCF twice. Dated cash allocation, future OCF and drawable credit are not established.</x:v>
      </x:c>
    </x:row>
    <x:row r="17" ht="65" customHeight="1">
      <x:c r="A17" s="385" t="str">
        <x:v>Remainder FY2027</x:v>
      </x:c>
      <x:c r="B17" s="387" t="str">
        <x:v>Finance leases</x:v>
      </x:c>
      <x:c r="C17" s="386" t="n">
        <x:f>IF(ISNUMBER('Data'!B30),'Data'!B30,NA())</x:f>
        <x:v>620000000</x:v>
      </x:c>
      <x:c r="D17" s="387" t="str">
        <x:v>August cash pool; conditional revolver. No payment allocation established.</x:v>
      </x:c>
      <x:c r="E17" s="397"/>
      <x:c r="F17" s="387" t="str">
        <x:v>Unavailable</x:v>
      </x:c>
      <x:c r="G17" s="398" t="str">
        <x:v>Includes principal and interest. Do not deduct any interest already inside OCF twice. Dated cash allocation, future OCF and drawable credit are not established.</x:v>
      </x:c>
    </x:row>
    <x:row r="18" ht="65" customHeight="1">
      <x:c r="A18" s="385" t="str">
        <x:v>Remainder FY2027</x:v>
      </x:c>
      <x:c r="B18" s="387" t="str">
        <x:v>Purchase and other obligations</x:v>
      </x:c>
      <x:c r="C18" s="386" t="n">
        <x:f>IF(ISNUMBER('Data'!B37),'Data'!B37,NA())</x:f>
        <x:v>5449000000</x:v>
      </x:c>
      <x:c r="D18" s="387" t="str">
        <x:v>August cash pool; conditional revolver. No payment allocation established.</x:v>
      </x:c>
      <x:c r="E18" s="397"/>
      <x:c r="F18" s="387" t="str">
        <x:v>Unavailable</x:v>
      </x:c>
      <x:c r="G18" s="398" t="str">
        <x:v>Cloud supplies and power commitments may overlap capex, unpaid capex or leases. No combined total. Dated cash allocation, future OCF and drawable credit are not established.</x:v>
      </x:c>
    </x:row>
    <x:row r="19" ht="65" customHeight="1">
      <x:c r="A19" s="385" t="str">
        <x:v>FY2028</x:v>
      </x:c>
      <x:c r="B19" s="387" t="str">
        <x:v>Operating leases</x:v>
      </x:c>
      <x:c r="C19" s="386" t="n">
        <x:f>IF(ISNUMBER('Data'!B24),'Data'!B24,NA())</x:f>
        <x:v>4135000000</x:v>
      </x:c>
      <x:c r="D19" s="387" t="str">
        <x:v>August cash pool; conditional revolver. No payment allocation established.</x:v>
      </x:c>
      <x:c r="E19" s="397"/>
      <x:c r="F19" s="387" t="str">
        <x:v>Unavailable</x:v>
      </x:c>
      <x:c r="G19" s="398" t="str">
        <x:v>Operating needs and capex also use cash. Do not deduct lease payments already inside OCF twice. Dated cash allocation, future OCF and drawable credit are not established.</x:v>
      </x:c>
    </x:row>
    <x:row r="20" ht="65" customHeight="1">
      <x:c r="A20" s="385" t="str">
        <x:v>FY2028</x:v>
      </x:c>
      <x:c r="B20" s="387" t="str">
        <x:v>Finance leases</x:v>
      </x:c>
      <x:c r="C20" s="386" t="n">
        <x:f>IF(ISNUMBER('Data'!B31),'Data'!B31,NA())</x:f>
        <x:v>852000000</x:v>
      </x:c>
      <x:c r="D20" s="387" t="str">
        <x:v>August cash pool; conditional revolver. No payment allocation established.</x:v>
      </x:c>
      <x:c r="E20" s="397"/>
      <x:c r="F20" s="387" t="str">
        <x:v>Unavailable</x:v>
      </x:c>
      <x:c r="G20" s="398" t="str">
        <x:v>Includes principal and interest. Do not deduct any interest already inside OCF twice. Dated cash allocation, future OCF and drawable credit are not established.</x:v>
      </x:c>
    </x:row>
    <x:row r="21" ht="65" customHeight="1">
      <x:c r="A21" s="385" t="str">
        <x:v>FY2028</x:v>
      </x:c>
      <x:c r="B21" s="387" t="str">
        <x:v>Purchase and other obligations</x:v>
      </x:c>
      <x:c r="C21" s="386" t="n">
        <x:f>IF(ISNUMBER('Data'!B38),'Data'!B38,NA())</x:f>
        <x:v>6176000000</x:v>
      </x:c>
      <x:c r="D21" s="387" t="str">
        <x:v>August cash pool; conditional revolver. No payment allocation established.</x:v>
      </x:c>
      <x:c r="E21" s="397"/>
      <x:c r="F21" s="387" t="str">
        <x:v>Unavailable</x:v>
      </x:c>
      <x:c r="G21" s="398" t="str">
        <x:v>Cloud supplies and power commitments may overlap capex, unpaid capex or leases. No combined total. Dated cash allocation, future OCF and drawable credit are not established.</x:v>
      </x:c>
    </x:row>
    <x:row r="22" ht="65" customHeight="1">
      <x:c r="A22" s="385" t="str">
        <x:v>FY2029</x:v>
      </x:c>
      <x:c r="B22" s="387" t="str">
        <x:v>Operating leases</x:v>
      </x:c>
      <x:c r="C22" s="386" t="n">
        <x:f>IF(ISNUMBER('Data'!B25),'Data'!B25,NA())</x:f>
        <x:v>4097000000</x:v>
      </x:c>
      <x:c r="D22" s="387" t="str">
        <x:v>August cash pool; conditional revolver. No payment allocation established.</x:v>
      </x:c>
      <x:c r="E22" s="397"/>
      <x:c r="F22" s="387" t="str">
        <x:v>Unavailable</x:v>
      </x:c>
      <x:c r="G22" s="398" t="str">
        <x:v>Operating needs and capex also use cash. Do not deduct lease payments already inside OCF twice. Dated cash allocation, future OCF and drawable credit are not established.</x:v>
      </x:c>
    </x:row>
    <x:row r="23" ht="65" customHeight="1">
      <x:c r="A23" s="385" t="str">
        <x:v>FY2029</x:v>
      </x:c>
      <x:c r="B23" s="387" t="str">
        <x:v>Finance leases</x:v>
      </x:c>
      <x:c r="C23" s="386" t="n">
        <x:f>IF(ISNUMBER('Data'!B32),'Data'!B32,NA())</x:f>
        <x:v>923000000</x:v>
      </x:c>
      <x:c r="D23" s="387" t="str">
        <x:v>August cash pool; conditional revolver. No payment allocation established.</x:v>
      </x:c>
      <x:c r="E23" s="397"/>
      <x:c r="F23" s="387" t="str">
        <x:v>Unavailable</x:v>
      </x:c>
      <x:c r="G23" s="398" t="str">
        <x:v>Includes principal and interest. Do not deduct any interest already inside OCF twice. Dated cash allocation, future OCF and drawable credit are not established.</x:v>
      </x:c>
    </x:row>
    <x:row r="24" ht="65" customHeight="1">
      <x:c r="A24" s="385" t="str">
        <x:v>FY2029</x:v>
      </x:c>
      <x:c r="B24" s="387" t="str">
        <x:v>Purchase and other obligations</x:v>
      </x:c>
      <x:c r="C24" s="386" t="n">
        <x:f>IF(ISNUMBER('Data'!B39),'Data'!B39,NA())</x:f>
        <x:v>3863000000</x:v>
      </x:c>
      <x:c r="D24" s="387" t="str">
        <x:v>August cash pool; conditional revolver. No payment allocation established.</x:v>
      </x:c>
      <x:c r="E24" s="397"/>
      <x:c r="F24" s="387" t="str">
        <x:v>Unavailable</x:v>
      </x:c>
      <x:c r="G24" s="398" t="str">
        <x:v>Cloud supplies and power commitments may overlap capex, unpaid capex or leases. No combined total. Dated cash allocation, future OCF and drawable credit are not established.</x:v>
      </x:c>
    </x:row>
    <x:row r="25" ht="65" customHeight="1">
      <x:c r="A25" s="385" t="str">
        <x:v>FY2030</x:v>
      </x:c>
      <x:c r="B25" s="387" t="str">
        <x:v>Operating leases</x:v>
      </x:c>
      <x:c r="C25" s="386" t="n">
        <x:f>IF(ISNUMBER('Data'!B26),'Data'!B26,NA())</x:f>
        <x:v>4109000000</x:v>
      </x:c>
      <x:c r="D25" s="387" t="str">
        <x:v>August cash pool; conditional revolver. No payment allocation established.</x:v>
      </x:c>
      <x:c r="E25" s="397"/>
      <x:c r="F25" s="387" t="str">
        <x:v>Unavailable</x:v>
      </x:c>
      <x:c r="G25" s="398" t="str">
        <x:v>Operating needs and capex also use cash. Do not deduct lease payments already inside OCF twice. Dated cash allocation, future OCF and drawable credit are not established.</x:v>
      </x:c>
    </x:row>
    <x:row r="26" ht="65" customHeight="1">
      <x:c r="A26" s="385" t="str">
        <x:v>FY2030</x:v>
      </x:c>
      <x:c r="B26" s="387" t="str">
        <x:v>Finance leases</x:v>
      </x:c>
      <x:c r="C26" s="386" t="n">
        <x:f>IF(ISNUMBER('Data'!B33),'Data'!B33,NA())</x:f>
        <x:v>947000000</x:v>
      </x:c>
      <x:c r="D26" s="387" t="str">
        <x:v>August cash pool; conditional revolver. No payment allocation established.</x:v>
      </x:c>
      <x:c r="E26" s="397"/>
      <x:c r="F26" s="387" t="str">
        <x:v>Unavailable</x:v>
      </x:c>
      <x:c r="G26" s="398" t="str">
        <x:v>Includes principal and interest. Do not deduct any interest already inside OCF twice. Dated cash allocation, future OCF and drawable credit are not established.</x:v>
      </x:c>
    </x:row>
    <x:row r="27" ht="65" customHeight="1">
      <x:c r="A27" s="385" t="str">
        <x:v>FY2030</x:v>
      </x:c>
      <x:c r="B27" s="387" t="str">
        <x:v>Purchase and other obligations</x:v>
      </x:c>
      <x:c r="C27" s="386" t="n">
        <x:f>IF(ISNUMBER('Data'!B40),'Data'!B40,NA())</x:f>
        <x:v>4318000000</x:v>
      </x:c>
      <x:c r="D27" s="387" t="str">
        <x:v>August cash pool; conditional revolver. No payment allocation established.</x:v>
      </x:c>
      <x:c r="E27" s="397"/>
      <x:c r="F27" s="387" t="str">
        <x:v>Unavailable</x:v>
      </x:c>
      <x:c r="G27" s="398" t="str">
        <x:v>Cloud supplies and power commitments may overlap capex, unpaid capex or leases. No combined total. Dated cash allocation, future OCF and drawable credit are not established.</x:v>
      </x:c>
    </x:row>
    <x:row r="28" ht="65" customHeight="1">
      <x:c r="A28" s="385" t="str">
        <x:v>FY2031</x:v>
      </x:c>
      <x:c r="B28" s="387" t="str">
        <x:v>Operating leases</x:v>
      </x:c>
      <x:c r="C28" s="386" t="n">
        <x:f>IF(ISNUMBER('Data'!B27),'Data'!B27,NA())</x:f>
        <x:v>4089000000</x:v>
      </x:c>
      <x:c r="D28" s="387" t="str">
        <x:v>August cash pool; revolver expires within this bucket. Funding after expiry is Unavailable.</x:v>
      </x:c>
      <x:c r="E28" s="397"/>
      <x:c r="F28" s="387" t="str">
        <x:v>Unavailable</x:v>
      </x:c>
      <x:c r="G28" s="398" t="str">
        <x:v>Operating needs and capex also use cash. Do not deduct lease payments already inside OCF twice. Dated cash allocation, future OCF and drawable credit are not established.</x:v>
      </x:c>
    </x:row>
    <x:row r="29" ht="65" customHeight="1">
      <x:c r="A29" s="385" t="str">
        <x:v>FY2031</x:v>
      </x:c>
      <x:c r="B29" s="387" t="str">
        <x:v>Finance leases</x:v>
      </x:c>
      <x:c r="C29" s="386" t="n">
        <x:f>IF(ISNUMBER('Data'!B34),'Data'!B34,NA())</x:f>
        <x:v>971000000</x:v>
      </x:c>
      <x:c r="D29" s="387" t="str">
        <x:v>August cash pool; revolver expires within this bucket. Funding after expiry is Unavailable.</x:v>
      </x:c>
      <x:c r="E29" s="397"/>
      <x:c r="F29" s="387" t="str">
        <x:v>Unavailable</x:v>
      </x:c>
      <x:c r="G29" s="398" t="str">
        <x:v>Includes principal and interest. Do not deduct any interest already inside OCF twice. Dated cash allocation, future OCF and drawable credit are not established.</x:v>
      </x:c>
    </x:row>
    <x:row r="30" ht="65" customHeight="1">
      <x:c r="A30" s="385" t="str">
        <x:v>FY2031</x:v>
      </x:c>
      <x:c r="B30" s="387" t="str">
        <x:v>Purchase and other obligations</x:v>
      </x:c>
      <x:c r="C30" s="386" t="n">
        <x:f>IF(ISNUMBER('Data'!B41),'Data'!B41,NA())</x:f>
        <x:v>6768000000</x:v>
      </x:c>
      <x:c r="D30" s="387" t="str">
        <x:v>August cash pool; revolver expires within this bucket. Funding after expiry is Unavailable.</x:v>
      </x:c>
      <x:c r="E30" s="397"/>
      <x:c r="F30" s="387" t="str">
        <x:v>Unavailable</x:v>
      </x:c>
      <x:c r="G30" s="398" t="str">
        <x:v>Cloud supplies and power commitments may overlap capex, unpaid capex or leases. No combined total. Dated cash allocation, future OCF and drawable credit are not established.</x:v>
      </x:c>
    </x:row>
    <x:row r="31" ht="65" customHeight="1">
      <x:c r="A31" s="385" t="str">
        <x:v>FY2032</x:v>
      </x:c>
      <x:c r="B31" s="387" t="str">
        <x:v>Operating leases</x:v>
      </x:c>
      <x:c r="C31" s="386" t="n">
        <x:f>IF(ISNUMBER('Data'!B28),'Data'!B28,NA())</x:f>
        <x:v>4030000000</x:v>
      </x:c>
      <x:c r="D31" s="387" t="str">
        <x:v>Future cash or new financing Unavailable. Original revolver expires before this bucket.</x:v>
      </x:c>
      <x:c r="E31" s="397"/>
      <x:c r="F31" s="387" t="str">
        <x:v>Unavailable</x:v>
      </x:c>
      <x:c r="G31" s="398" t="str">
        <x:v>Operating needs and capex also use cash. Do not deduct lease payments already inside OCF twice. Dated cash allocation, future OCF and drawable credit are not established.</x:v>
      </x:c>
    </x:row>
    <x:row r="32" ht="65" customHeight="1">
      <x:c r="A32" s="385" t="str">
        <x:v>FY2032</x:v>
      </x:c>
      <x:c r="B32" s="387" t="str">
        <x:v>Finance leases</x:v>
      </x:c>
      <x:c r="C32" s="386" t="n">
        <x:f>IF(ISNUMBER('Data'!B35),'Data'!B35,NA())</x:f>
        <x:v>996000000</x:v>
      </x:c>
      <x:c r="D32" s="387" t="str">
        <x:v>Future cash or new financing Unavailable. Original revolver expires before this bucket.</x:v>
      </x:c>
      <x:c r="E32" s="397"/>
      <x:c r="F32" s="387" t="str">
        <x:v>Unavailable</x:v>
      </x:c>
      <x:c r="G32" s="398" t="str">
        <x:v>Includes principal and interest. Do not deduct any interest already inside OCF twice. Dated cash allocation, future OCF and drawable credit are not established.</x:v>
      </x:c>
    </x:row>
    <x:row r="33" ht="65" customHeight="1">
      <x:c r="A33" s="385" t="str">
        <x:v>FY2032</x:v>
      </x:c>
      <x:c r="B33" s="387" t="str">
        <x:v>Purchase and other obligations</x:v>
      </x:c>
      <x:c r="C33" s="386" t="n">
        <x:f>IF(ISNUMBER('Data'!B42),'Data'!B42,NA())</x:f>
        <x:v>954000000</x:v>
      </x:c>
      <x:c r="D33" s="387" t="str">
        <x:v>Future cash or new financing Unavailable. Original revolver expires before this bucket.</x:v>
      </x:c>
      <x:c r="E33" s="397"/>
      <x:c r="F33" s="387" t="str">
        <x:v>Unavailable</x:v>
      </x:c>
      <x:c r="G33" s="398" t="str">
        <x:v>Cloud supplies and power commitments may overlap capex, unpaid capex or leases. No combined total. Dated cash allocation, future OCF and drawable credit are not established.</x:v>
      </x:c>
    </x:row>
    <x:row r="34" ht="65" customHeight="1">
      <x:c r="A34" s="385" t="str">
        <x:v>Thereafter</x:v>
      </x:c>
      <x:c r="B34" s="387" t="str">
        <x:v>Operating leases</x:v>
      </x:c>
      <x:c r="C34" s="386" t="n">
        <x:f>IF(ISNUMBER('Data'!B29),'Data'!B29,NA())</x:f>
        <x:v>24371000000</x:v>
      </x:c>
      <x:c r="D34" s="387" t="str">
        <x:v>Future cash or new financing Unavailable. Original revolver expires before this bucket.</x:v>
      </x:c>
      <x:c r="E34" s="397"/>
      <x:c r="F34" s="387" t="str">
        <x:v>Unavailable</x:v>
      </x:c>
      <x:c r="G34" s="398"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385" t="str">
        <x:v>Thereafter</x:v>
      </x:c>
      <x:c r="B35" s="387" t="str">
        <x:v>Finance leases</x:v>
      </x:c>
      <x:c r="C35" s="386" t="n">
        <x:f>IF(ISNUMBER('Data'!B36),'Data'!B36,NA())</x:f>
        <x:v>9886000000</x:v>
      </x:c>
      <x:c r="D35" s="387" t="str">
        <x:v>Future cash or new financing Unavailable. Original revolver expires before this bucket.</x:v>
      </x:c>
      <x:c r="E35" s="397"/>
      <x:c r="F35" s="387" t="str">
        <x:v>Unavailable</x:v>
      </x:c>
      <x:c r="G35" s="398" t="str">
        <x:v>Includes principal and interest. Do not deduct any interest already inside OCF twice. Dated cash allocation, future OCF and drawable credit are not established. Thereafter combines multiple years with no final payment date.</x:v>
      </x:c>
    </x:row>
    <x:row r="36" ht="65" customHeight="1">
      <x:c r="A36" s="389" t="str">
        <x:v>Thereafter</x:v>
      </x:c>
      <x:c r="B36" s="391" t="str">
        <x:v>Purchase and other obligations</x:v>
      </x:c>
      <x:c r="C36" s="390" t="n">
        <x:f>IF(ISNUMBER('Data'!B43),'Data'!B43,NA())</x:f>
        <x:v>6622000000</x:v>
      </x:c>
      <x:c r="D36" s="391" t="str">
        <x:v>Future cash or new financing Unavailable. Original revolver expires before this bucket.</x:v>
      </x:c>
      <x:c r="E36" s="399"/>
      <x:c r="F36" s="391" t="str">
        <x:v>Unavailable</x:v>
      </x:c>
      <x:c r="G36" s="40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393"/>
      <x:c r="B37" s="383"/>
      <x:c r="C37" s="383"/>
      <x:c r="D37" s="383"/>
      <x:c r="E37" s="383"/>
      <x:c r="F37" s="383"/>
      <x:c r="G37" s="384"/>
    </x:row>
    <x:row r="38" ht="24" customHeight="1">
      <x:c r="A38" s="394" t="str">
        <x:v>Dates are fiscal buckets, not specific payment days. See Payment dates for exact period boundaries.</x:v>
      </x:c>
      <x:c r="B38" s="383"/>
      <x:c r="C38" s="383"/>
      <x:c r="D38" s="383"/>
      <x:c r="E38" s="383"/>
      <x:c r="F38" s="383"/>
      <x:c r="G38" s="384"/>
    </x:row>
    <x:row r="39" ht="24" customHeight="1">
      <x:c r="A39" s="394" t="str">
        <x:v>Blank confirmed funding is Unavailable, not zero. No cash pool is allocated to several obligations.</x:v>
      </x:c>
      <x:c r="B39" s="383"/>
      <x:c r="C39" s="383"/>
      <x:c r="D39" s="383"/>
      <x:c r="E39" s="383"/>
      <x:c r="F39" s="383"/>
      <x:c r="G39" s="384"/>
    </x:row>
    <x:row r="40" ht="24" customHeight="1">
      <x:c r="A40" s="394" t="str">
        <x:v>Note and term-loan principal is dated in Payment dates, row 35 onward. Commercial paper and interest dates are Unavailable.</x:v>
      </x:c>
      <x:c r="B40" s="383"/>
      <x:c r="C40" s="383"/>
      <x:c r="D40" s="383"/>
      <x:c r="E40" s="383"/>
      <x:c r="F40" s="383"/>
      <x:c r="G40" s="384"/>
    </x:row>
    <x:row r="41" ht="24" customHeight="1">
      <x:c r="A41" s="393"/>
      <x:c r="B41" s="383"/>
      <x:c r="C41" s="383"/>
      <x:c r="D41" s="383"/>
      <x:c r="E41" s="383"/>
      <x:c r="F41" s="383"/>
      <x:c r="G41" s="384"/>
    </x:row>
    <x:row r="42" ht="24" customHeight="1">
      <x:c r="A42" s="394" t="str">
        <x:v>Historical debt principal at May 31, 2026 — not the remaining August schedule</x:v>
      </x:c>
      <x:c r="B42" s="383"/>
      <x:c r="C42" s="383"/>
      <x:c r="D42" s="383"/>
      <x:c r="E42" s="383"/>
      <x:c r="F42" s="383"/>
      <x:c r="G42" s="384"/>
    </x:row>
    <x:row r="43" ht="48" customHeight="1">
      <x:c r="A43" s="380" t="str">
        <x:v>Historical bucket</x:v>
      </x:c>
      <x:c r="B43" s="381" t="str">
        <x:v>USD millions</x:v>
      </x:c>
      <x:c r="C43" s="381" t="str">
        <x:v>Due from</x:v>
      </x:c>
      <x:c r="D43" s="381" t="str">
        <x:v>Due through</x:v>
      </x:c>
      <x:c r="E43" s="381" t="str">
        <x:v>Basis</x:v>
      </x:c>
      <x:c r="F43" s="382" t="str">
        <x:v>Why not used for coverage?</x:v>
      </x:c>
      <x:c r="G43" s="384"/>
    </x:row>
    <x:row r="44" ht="65" customHeight="1">
      <x:c r="A44" s="385" t="str">
        <x:v>Fiscal 2027</x:v>
      </x:c>
      <x:c r="B44" s="386" t="n">
        <x:f>IF(ISNUMBER('Data'!B51),'Data'!B51,NA())</x:f>
        <x:v>7210000000</x:v>
      </x:c>
      <x:c r="C44" s="401" t="d">
        <x:v>2026-06-01T00:00:00.000Z</x:v>
      </x:c>
      <x:c r="D44" s="401" t="d">
        <x:v>2027-05-31T00:00:00.000Z</x:v>
      </x:c>
      <x:c r="E44" s="387" t="str">
        <x:v>May 31 principal, excluding interest and leases</x:v>
      </x:c>
      <x:c r="F44" s="388" t="str">
        <x:v>Quarter repayments cannot be assigned to these buckets; no August roll-forward is inferred.</x:v>
      </x:c>
      <x:c r="G44" s="384"/>
    </x:row>
    <x:row r="45" ht="65" customHeight="1">
      <x:c r="A45" s="385" t="str">
        <x:v>Fiscal 2028</x:v>
      </x:c>
      <x:c r="B45" s="386" t="n">
        <x:f>IF(ISNUMBER('Data'!B52),'Data'!B52,NA())</x:f>
        <x:v>10145000000</x:v>
      </x:c>
      <x:c r="C45" s="401" t="d">
        <x:v>2027-06-01T00:00:00.000Z</x:v>
      </x:c>
      <x:c r="D45" s="401" t="d">
        <x:v>2028-05-31T00:00:00.000Z</x:v>
      </x:c>
      <x:c r="E45" s="387" t="str">
        <x:v>May 31 principal, excluding interest and leases</x:v>
      </x:c>
      <x:c r="F45" s="388" t="str">
        <x:v>Quarter repayments cannot be assigned to these buckets; no August roll-forward is inferred.</x:v>
      </x:c>
      <x:c r="G45" s="384"/>
    </x:row>
    <x:row r="46" ht="65" customHeight="1">
      <x:c r="A46" s="385" t="str">
        <x:v>Fiscal 2029</x:v>
      </x:c>
      <x:c r="B46" s="386" t="n">
        <x:f>IF(ISNUMBER('Data'!B53),'Data'!B53,NA())</x:f>
        <x:v>5500000000</x:v>
      </x:c>
      <x:c r="C46" s="401" t="d">
        <x:v>2028-06-01T00:00:00.000Z</x:v>
      </x:c>
      <x:c r="D46" s="401" t="d">
        <x:v>2029-05-31T00:00:00.000Z</x:v>
      </x:c>
      <x:c r="E46" s="387" t="str">
        <x:v>May 31 principal, excluding interest and leases</x:v>
      </x:c>
      <x:c r="F46" s="388" t="str">
        <x:v>Quarter repayments cannot be assigned to these buckets; no August roll-forward is inferred.</x:v>
      </x:c>
      <x:c r="G46" s="384"/>
    </x:row>
    <x:row r="47" ht="65" customHeight="1">
      <x:c r="A47" s="385" t="str">
        <x:v>Fiscal 2030</x:v>
      </x:c>
      <x:c r="B47" s="386" t="n">
        <x:f>IF(ISNUMBER('Data'!B54),'Data'!B54,NA())</x:f>
        <x:v>7250000000</x:v>
      </x:c>
      <x:c r="C47" s="401" t="d">
        <x:v>2029-06-01T00:00:00.000Z</x:v>
      </x:c>
      <x:c r="D47" s="401" t="d">
        <x:v>2030-05-31T00:00:00.000Z</x:v>
      </x:c>
      <x:c r="E47" s="387" t="str">
        <x:v>May 31 principal, excluding interest and leases</x:v>
      </x:c>
      <x:c r="F47" s="388" t="str">
        <x:v>Quarter repayments cannot be assigned to these buckets; no August roll-forward is inferred.</x:v>
      </x:c>
      <x:c r="G47" s="384"/>
    </x:row>
    <x:row r="48" ht="65" customHeight="1">
      <x:c r="A48" s="385" t="str">
        <x:v>Fiscal 2031</x:v>
      </x:c>
      <x:c r="B48" s="386" t="n">
        <x:f>IF(ISNUMBER('Data'!B55),'Data'!B55,NA())</x:f>
        <x:v>9750000000</x:v>
      </x:c>
      <x:c r="C48" s="401" t="d">
        <x:v>2030-06-01T00:00:00.000Z</x:v>
      </x:c>
      <x:c r="D48" s="401" t="d">
        <x:v>2031-05-31T00:00:00.000Z</x:v>
      </x:c>
      <x:c r="E48" s="387" t="str">
        <x:v>May 31 principal, excluding interest and leases</x:v>
      </x:c>
      <x:c r="F48" s="388" t="str">
        <x:v>Quarter repayments cannot be assigned to these buckets; no August roll-forward is inferred.</x:v>
      </x:c>
      <x:c r="G48" s="384"/>
    </x:row>
    <x:row r="49" ht="65" customHeight="1">
      <x:c r="A49" s="389" t="str">
        <x:v>Thereafter</x:v>
      </x:c>
      <x:c r="B49" s="390" t="n">
        <x:f>IF(ISNUMBER('Data'!B56),'Data'!B56,NA())</x:f>
        <x:v>90250000000</x:v>
      </x:c>
      <x:c r="C49" s="402" t="d">
        <x:v>2031-06-01T00:00:00.000Z</x:v>
      </x:c>
      <x:c r="D49" s="403"/>
      <x:c r="E49" s="391" t="str">
        <x:v>May 31 principal, excluding interest and leases</x:v>
      </x:c>
      <x:c r="F49" s="392" t="str">
        <x:v>Quarter repayments cannot be assigned to these buckets; no August roll-forward is inferred.</x:v>
      </x:c>
      <x:c r="G49" s="384"/>
    </x:row>
    <x:row r="50" ht="24" customHeight="1">
      <x:c r="A50" s="393"/>
      <x:c r="B50" s="383"/>
      <x:c r="C50" s="383"/>
      <x:c r="D50" s="383"/>
      <x:c r="E50" s="383"/>
      <x:c r="F50" s="383"/>
      <x:c r="G50" s="384"/>
    </x:row>
    <x:row r="51" ht="24" customHeight="1">
      <x:c r="A51" s="394" t="str">
        <x:v>Obligations without usable payment dates</x:v>
      </x:c>
      <x:c r="B51" s="383"/>
      <x:c r="C51" s="383"/>
      <x:c r="D51" s="383"/>
      <x:c r="E51" s="383"/>
      <x:c r="F51" s="383"/>
      <x:c r="G51" s="384"/>
    </x:row>
    <x:row r="52" ht="48" customHeight="1">
      <x:c r="A52" s="380" t="str">
        <x:v>Disclosure</x:v>
      </x:c>
      <x:c r="B52" s="381" t="str">
        <x:v>USD millions</x:v>
      </x:c>
      <x:c r="C52" s="381" t="str">
        <x:v>Payment timing</x:v>
      </x:c>
      <x:c r="D52" s="382" t="str">
        <x:v>Limitation</x:v>
      </x:c>
      <x:c r="E52" s="383"/>
      <x:c r="F52" s="383"/>
      <x:c r="G52" s="384"/>
    </x:row>
    <x:row r="53" ht="100" customHeight="1">
      <x:c r="A53" s="385" t="str">
        <x:v>Commercial paper and interest at August 31</x:v>
      </x:c>
      <x:c r="B53" s="404"/>
      <x:c r="C53" s="387" t="str">
        <x:v>Unavailable</x:v>
      </x:c>
      <x:c r="D53" s="388" t="str">
        <x:v>Senior-note and term-loan principal is dated by instrument in the August 31 principal calendar. Commercial paper's August balance and maturity dates, and interest payment amounts, are Unavailable. Quarter repayments are not assigned to instruments.</x:v>
      </x:c>
      <x:c r="E53" s="383"/>
      <x:c r="F53" s="383"/>
      <x:c r="G53" s="384"/>
    </x:row>
    <x:row r="54" ht="100" customHeight="1">
      <x:c r="A54" s="385" t="str">
        <x:v>Operating leases not yet commenced</x:v>
      </x:c>
      <x:c r="B54" s="386" t="n">
        <x:f>IF(ISNUMBER('Data'!B22),'Data'!B22,NA())</x:f>
        <x:v>288000000000</x:v>
      </x:c>
      <x:c r="C54" s="387" t="str">
        <x:v>Unavailable</x:v>
      </x:c>
      <x:c r="D54" s="388" t="str">
        <x:v>Expected commencement in FY2027–2029 and 15–19 year terms do not establish payment dates. Annual amounts and overlap with other commitments are Unavailable.</x:v>
      </x:c>
      <x:c r="E54" s="383"/>
      <x:c r="F54" s="383"/>
      <x:c r="G54" s="384"/>
    </x:row>
    <x:row r="55" ht="100" customHeight="1">
      <x:c r="A55" s="389" t="str">
        <x:v>Unpaid capital expenditures</x:v>
      </x:c>
      <x:c r="B55" s="390" t="n">
        <x:f>IF(ISNUMBER('Data'!B18),'Data'!B18,NA())</x:f>
        <x:v>6247000000</x:v>
      </x:c>
      <x:c r="C55" s="391" t="str">
        <x:v>Unavailable</x:v>
      </x:c>
      <x:c r="D55" s="392" t="str">
        <x:v>Noncash quarter disclosure. Payment dates and overlap with purchase obligations are Unavailable. It is not added to historical cash capex.</x:v>
      </x:c>
      <x:c r="E55" s="383"/>
      <x:c r="F55" s="383"/>
      <x:c r="G55" s="384"/>
    </x:row>
    <x:row r="56" ht="24" customHeight="1">
      <x:c r="A56" s="379"/>
      <x:c r="B56" s="376"/>
      <x:c r="C56" s="376"/>
      <x:c r="D56" s="376"/>
      <x:c r="E56" s="376"/>
      <x:c r="F56" s="376"/>
      <x:c r="G56" s="377"/>
    </x:row>
    <x:row r="57" ht="24" customHeight="1">
      <x:c r="A57" s="378" t="str">
        <x:v>Revolver availability by evidence date</x:v>
      </x:c>
      <x:c r="B57" s="376"/>
      <x:c r="C57" s="376"/>
      <x:c r="D57" s="376"/>
      <x:c r="E57" s="376"/>
      <x:c r="F57" s="376"/>
      <x:c r="G57" s="377"/>
    </x:row>
    <x:row r="58" ht="52" customHeight="1">
      <x:c r="A58" s="380" t="str">
        <x:v>Evidence date</x:v>
      </x:c>
      <x:c r="B58" s="381" t="str">
        <x:v>Commitment, USD millions</x:v>
      </x:c>
      <x:c r="C58" s="381" t="str">
        <x:v>Advances, USD millions</x:v>
      </x:c>
      <x:c r="D58" s="381" t="str">
        <x:v>Undrawn commitment, USD millions</x:v>
      </x:c>
      <x:c r="E58" s="381" t="str">
        <x:v>Drawable capacity</x:v>
      </x:c>
      <x:c r="F58" s="381" t="str">
        <x:v>Covenant evidence</x:v>
      </x:c>
      <x:c r="G58" s="396" t="str">
        <x:v>Date-specific limit</x:v>
      </x:c>
    </x:row>
    <x:row r="59" ht="100" customHeight="1">
      <x:c r="A59" s="405" t="d">
        <x:v>2026-03-06T00:00:00.000Z</x:v>
      </x:c>
      <x:c r="B59" s="386" t="n">
        <x:f>IF(ISNUMBER('Data'!B57),'Data'!B57,NA())</x:f>
        <x:v>10000000000</x:v>
      </x:c>
      <x:c r="C59" s="404"/>
      <x:c r="D59" s="397"/>
      <x:c r="E59" s="387" t="str">
        <x:v>Unavailable</x:v>
      </x:c>
      <x:c r="F59" s="387" t="str">
        <x:v>Unavailable: no borrowing-date compliance evidence in the agreement.</x:v>
      </x:c>
      <x:c r="G59" s="398" t="str">
        <x:v>Original contractual commitment. The agreement does not establish actual borrowings on this date. Unavailable: same-date commitment, outstanding advances and draw conditions are not established.</x:v>
      </x:c>
    </x:row>
    <x:row r="60" ht="100" customHeight="1">
      <x:c r="A60" s="405" t="d">
        <x:v>2026-05-31T00:00:00.000Z</x:v>
      </x:c>
      <x:c r="B60" s="386" t="n">
        <x:f>IF(ISNUMBER('Data'!B60),'Data'!B60,NA())</x:f>
        <x:v>10000000000</x:v>
      </x:c>
      <x:c r="C60" s="386" t="n">
        <x:f>IF(ISNUMBER('Data'!B58),'Data'!B58,NA())</x:f>
        <x:v>0</x:v>
      </x:c>
      <x:c r="D60" s="406" t="n">
        <x:f>IF(COUNT(B60:C60)=2,B60-C60,NA())</x:f>
        <x:v>10000000000</x:v>
      </x:c>
      <x:c r="E60" s="387" t="str">
        <x:v>Unavailable</x:v>
      </x:c>
      <x:c r="F60" s="387" t="str">
        <x:v>Reported compliant with debt-related covenants at May 31. Ratio and headroom not disclosed.</x:v>
      </x:c>
      <x:c r="G60" s="398" t="str">
        <x:v>The 10-K confirms the $10B facility and zero outstanding borrowing. Undrawn commitment is arithmetic, not a verified draw authorization. Unavailable: public evidence does not establish all conditions for a specific borrowing.</x:v>
      </x:c>
    </x:row>
    <x:row r="61" ht="100" customHeight="1">
      <x:c r="A61" s="407" t="d">
        <x:v>2026-08-31T00:00:00.000Z</x:v>
      </x:c>
      <x:c r="B61" s="399"/>
      <x:c r="C61" s="399"/>
      <x:c r="D61" s="399"/>
      <x:c r="E61" s="391" t="str">
        <x:v>Unavailable</x:v>
      </x:c>
      <x:c r="F61" s="391" t="str">
        <x:v>Unavailable: no updated revolver compliance statement or contract ratio in this 10-Q.</x:v>
      </x:c>
      <x:c r="G61" s="40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393"/>
      <x:c r="B62" s="383"/>
      <x:c r="C62" s="383"/>
      <x:c r="D62" s="383"/>
      <x:c r="E62" s="383"/>
      <x:c r="F62" s="383"/>
      <x:c r="G62" s="384"/>
    </x:row>
    <x:row r="63" ht="24" customHeight="1">
      <x:c r="A63" s="394" t="str">
        <x:v>Revolver contract terms. Source evidence is on Data.</x:v>
      </x:c>
      <x:c r="B63" s="383"/>
      <x:c r="C63" s="383"/>
      <x:c r="D63" s="383"/>
      <x:c r="E63" s="383"/>
      <x:c r="F63" s="383"/>
      <x:c r="G63" s="384"/>
    </x:row>
    <x:row r="64" ht="52" customHeight="1">
      <x:c r="A64" s="380" t="str">
        <x:v>Term</x:v>
      </x:c>
      <x:c r="B64" s="381" t="str">
        <x:v>USD millions, if applicable</x:v>
      </x:c>
      <x:c r="C64" s="381" t="str">
        <x:v>Filing location</x:v>
      </x:c>
      <x:c r="D64" s="382" t="str">
        <x:v>Interpretation / condition</x:v>
      </x:c>
      <x:c r="E64" s="383"/>
      <x:c r="F64" s="383"/>
      <x:c r="G64" s="384"/>
    </x:row>
    <x:row r="65" ht="48" customHeight="1">
      <x:c r="A65" s="385" t="str">
        <x:v>Replacement of the old facility</x:v>
      </x:c>
      <x:c r="B65" s="397"/>
      <x:c r="C65" s="387" t="str">
        <x:v>10-K Note 6, p. 85</x:v>
      </x:c>
      <x:c r="D65" s="388" t="str">
        <x:f>'Data'!O62</x:f>
        <x:v>The old $6B revolver was terminated on March 6, 2026 when the new $10B facility was entered. They are not two concurrent commitments.</x:v>
      </x:c>
      <x:c r="E65" s="383"/>
      <x:c r="F65" s="383"/>
      <x:c r="G65" s="384"/>
    </x:row>
    <x:row r="66" ht="85" customHeight="1">
      <x:c r="A66" s="385" t="str">
        <x:v>Exposure and letters of credit</x:v>
      </x:c>
      <x:c r="B66" s="397"/>
      <x:c r="C66" s="387" t="str">
        <x:v>§1.01 Revolving Credit Exposure; §2.01</x:v>
      </x:c>
      <x:c r="D66" s="388"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383"/>
      <x:c r="F66" s="383"/>
      <x:c r="G66" s="384"/>
    </x:row>
    <x:row r="67" ht="95" customHeight="1">
      <x:c r="A67" s="385" t="str">
        <x:v>Reductions and termination</x:v>
      </x:c>
      <x:c r="B67" s="397"/>
      <x:c r="C67" s="387" t="str">
        <x:v>§§2.04, 7.01</x:v>
      </x:c>
      <x:c r="D67" s="388"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383"/>
      <x:c r="F67" s="383"/>
      <x:c r="G67" s="384"/>
    </x:row>
    <x:row r="68" ht="72" customHeight="1">
      <x:c r="A68" s="385" t="str">
        <x:v>Conditional increase ceiling</x:v>
      </x:c>
      <x:c r="B68" s="386" t="n">
        <x:f>IF(ISNUMBER('Data'!B61),'Data'!B61,NA())</x:f>
        <x:v>12000000000</x:v>
      </x:c>
      <x:c r="C68" s="387" t="str">
        <x:v>§2.05, especially (d)</x:v>
      </x:c>
      <x:c r="D68" s="388"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383"/>
      <x:c r="F68" s="383"/>
      <x:c r="G68" s="384"/>
    </x:row>
    <x:row r="69" ht="105" customHeight="1">
      <x:c r="A69" s="385" t="str">
        <x:v>Borrowing procedure and conditions</x:v>
      </x:c>
      <x:c r="B69" s="397"/>
      <x:c r="C69" s="387" t="str">
        <x:v>§§2.02, 4.02</x:v>
      </x:c>
      <x:c r="D69" s="388"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383"/>
      <x:c r="F69" s="383"/>
      <x:c r="G69" s="384"/>
    </x:row>
    <x:row r="70" ht="125" customHeight="1">
      <x:c r="A70" s="385" t="str">
        <x:v>Covenant and evidence needed</x:v>
      </x:c>
      <x:c r="B70" s="397"/>
      <x:c r="C70" s="387" t="str">
        <x:v>§§1.01, 6.01(f)(iii), 6.02(c)</x:v>
      </x:c>
      <x:c r="D70" s="388"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383"/>
      <x:c r="F70" s="383"/>
      <x:c r="G70" s="384"/>
    </x:row>
    <x:row r="71" ht="65" customHeight="1">
      <x:c r="A71" s="385" t="str">
        <x:v>Permitted uses</x:v>
      </x:c>
      <x:c r="B71" s="397"/>
      <x:c r="C71" s="387" t="str">
        <x:v>§§2.21, 6.01(g)</x:v>
      </x:c>
      <x:c r="D71" s="388" t="str">
        <x:f>'Data'!O68</x:f>
        <x:v>Working capital and other general corporate purposes, subject to Regulation U/X and sanctions, anti-corruption, anti-bribery and anti-money-laundering restrictions. No allocation to a particular repayment is established.</x:v>
      </x:c>
      <x:c r="E71" s="383"/>
      <x:c r="F71" s="383"/>
      <x:c r="G71" s="384"/>
    </x:row>
    <x:row r="72" ht="100" customHeight="1">
      <x:c r="A72" s="389" t="str">
        <x:v>Expiration and extensions</x:v>
      </x:c>
      <x:c r="B72" s="399"/>
      <x:c r="C72" s="391" t="str">
        <x:v>§§1.01, 2.06, 2.07</x:v>
      </x:c>
      <x:c r="D72" s="392"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383"/>
      <x:c r="F72" s="383"/>
      <x:c r="G72" s="384"/>
    </x:row>
    <x:row r="73" ht="24" customHeight="1">
      <x:c r="A73" s="393"/>
      <x:c r="B73" s="383"/>
      <x:c r="C73" s="383"/>
      <x:c r="D73" s="383"/>
      <x:c r="E73" s="383"/>
      <x:c r="F73" s="383"/>
      <x:c r="G73" s="384"/>
    </x:row>
    <x:row r="74" ht="24" customHeight="1">
      <x:c r="A74" s="394" t="str">
        <x:v>Later saved filings. Balances are not carried forward.</x:v>
      </x:c>
      <x:c r="B74" s="383"/>
      <x:c r="C74" s="383"/>
      <x:c r="D74" s="383"/>
      <x:c r="E74" s="383"/>
      <x:c r="F74" s="383"/>
      <x:c r="G74" s="384"/>
    </x:row>
    <x:row r="75" ht="52" customHeight="1">
      <x:c r="A75" s="380" t="str">
        <x:v>Filed</x:v>
      </x:c>
      <x:c r="B75" s="381" t="str">
        <x:v>Documents checked</x:v>
      </x:c>
      <x:c r="C75" s="381" t="str">
        <x:v>Event date</x:v>
      </x:c>
      <x:c r="D75" s="382" t="str">
        <x:v>Revolver finding</x:v>
      </x:c>
      <x:c r="E75" s="383"/>
      <x:c r="F75" s="383"/>
      <x:c r="G75" s="384"/>
    </x:row>
    <x:row r="76" ht="75" customHeight="1">
      <x:c r="A76" s="405" t="d">
        <x:v>2026-09-10T00:00:00.000Z</x:v>
      </x:c>
      <x:c r="B76" s="387" t="str">
        <x:v>8-K and Exhibit 99.1</x:v>
      </x:c>
      <x:c r="C76" s="401" t="d">
        <x:v>2026-09-10T00:00:00.000Z</x:v>
      </x:c>
      <x:c r="D76" s="388" t="str">
        <x:v>Results, the already completed equity sale and dividends. No updated revolver balance, increase, reduction, extension or drawable amount established.</x:v>
      </x:c>
      <x:c r="E76" s="383"/>
      <x:c r="F76" s="383"/>
      <x:c r="G76" s="384"/>
    </x:row>
    <x:row r="77" ht="75" customHeight="1">
      <x:c r="A77" s="407" t="d">
        <x:v>2026-09-14T00:00:00.000Z</x:v>
      </x:c>
      <x:c r="B77" s="391" t="str">
        <x:v>8-K and Exhibit 99.1</x:v>
      </x:c>
      <x:c r="C77" s="402" t="d">
        <x:v>2026-09-12T00:00:00.000Z</x:v>
      </x:c>
      <x:c r="D77" s="392" t="str">
        <x:v>Filed September 14 for the September 12 insider trading-plan cancellation. No corporate revolver update established.</x:v>
      </x:c>
      <x:c r="E77" s="383"/>
      <x:c r="F77" s="383"/>
      <x:c r="G77" s="384"/>
    </x:row>
    <x:row r="78" ht="24" customHeight="1">
      <x:c r="A78" s="393"/>
      <x:c r="B78" s="383"/>
      <x:c r="C78" s="383"/>
      <x:c r="D78" s="383"/>
      <x:c r="E78" s="383"/>
      <x:c r="F78" s="383"/>
      <x:c r="G78" s="384"/>
    </x:row>
    <x:row r="79" ht="145" customHeight="1">
      <x:c r="A79" s="394" t="str">
        <x:v>Saved-source scope</x:v>
      </x:c>
      <x:c r="B79" s="383"/>
      <x:c r="C79" s="383"/>
      <x:c r="D79" s="395"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383"/>
      <x:c r="F79" s="383"/>
      <x:c r="G79" s="384"/>
    </x:row>
    <x:row r="80" ht="24" customHeight="1">
      <x:c r="A80" s="379"/>
      <x:c r="B80" s="376"/>
      <x:c r="C80" s="376"/>
      <x:c r="D80" s="376"/>
      <x:c r="E80" s="376"/>
      <x:c r="F80" s="376"/>
      <x:c r="G80" s="377"/>
    </x:row>
    <x:row r="81" ht="24" customHeight="1">
      <x:c r="A81" s="378" t="str">
        <x:v>Blank commitment, advances or undrawn cells mean Unavailable. A dash is a reported zero.</x:v>
      </x:c>
      <x:c r="B81" s="376"/>
      <x:c r="C81" s="376"/>
      <x:c r="D81" s="376"/>
      <x:c r="E81" s="376"/>
      <x:c r="F81" s="376"/>
      <x:c r="G81" s="377"/>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cash sources and uses</x:v>
      </x:c>
      <x:c r="B2" s="376"/>
      <x:c r="C2" s="376"/>
      <x:c r="D2" s="376"/>
      <x:c r="E2" s="376"/>
      <x:c r="F2" s="376"/>
      <x:c r="G2" s="376"/>
      <x:c r="H2" s="376"/>
      <x:c r="I2" s="377"/>
    </x:row>
    <x:row r="3" ht="24" customHeight="1">
      <x:c r="A3" s="408" t="str">
        <x:v>June 1–August 31, 2026. USD millions. Cash totals include restricted cash.</x:v>
      </x:c>
      <x:c r="B3" s="376"/>
      <x:c r="C3" s="376"/>
      <x:c r="D3" s="376"/>
      <x:c r="E3" s="376"/>
      <x:c r="F3" s="376"/>
      <x:c r="G3" s="376"/>
      <x:c r="H3" s="376"/>
      <x:c r="I3" s="377"/>
    </x:row>
    <x:row r="4" ht="24" customHeight="1">
      <x:c r="A4" s="409" t="str">
        <x:v>Quarter cash analysis</x:v>
      </x:c>
      <x:c r="B4" s="410" t="str">
        <x:v>USD millions</x:v>
      </x:c>
      <x:c r="C4" s="376"/>
      <x:c r="D4" s="411" t="str">
        <x:v>June–August 2026. USD millions. The second bar subtracts specified prepayments from OCF.</x:v>
      </x:c>
      <x:c r="E4" s="376"/>
      <x:c r="F4" s="376"/>
      <x:c r="G4" s="376"/>
      <x:c r="H4" s="376"/>
      <x:c r="I4" s="377"/>
    </x:row>
    <x:row r="5" ht="30" customHeight="1">
      <x:c r="A5" s="385" t="str">
        <x:v>Opening cash, including restricted</x:v>
      </x:c>
      <x:c r="B5" s="412" t="n">
        <x:f>IF(ISNUMBER('Data'!B19),'Data'!B19,NA())</x:f>
        <x:v>31289000000</x:v>
      </x:c>
      <x:c r="C5" s="376"/>
      <x:c r="D5" s="383"/>
      <x:c r="E5" s="376"/>
      <x:c r="F5" s="376"/>
      <x:c r="G5" s="376"/>
      <x:c r="H5" s="376"/>
      <x:c r="I5" s="377"/>
    </x:row>
    <x:row r="6" ht="30" customHeight="1">
      <x:c r="A6" s="385" t="str">
        <x:v>Reported operating cash flow</x:v>
      </x:c>
      <x:c r="B6" s="412" t="n">
        <x:f>IF(ISNUMBER('Data'!B2),'Data'!B2,NA())</x:f>
        <x:v>23103000000</x:v>
      </x:c>
      <x:c r="C6" s="376"/>
      <x:c r="D6" s="383"/>
      <x:c r="E6" s="376"/>
      <x:c r="F6" s="376"/>
      <x:c r="G6" s="376"/>
      <x:c r="H6" s="376"/>
      <x:c r="I6" s="377"/>
    </x:row>
    <x:row r="7" ht="30" customHeight="1">
      <x:c r="A7" s="385" t="str">
        <x:v>Specified customer-prepayment contribution</x:v>
      </x:c>
      <x:c r="B7" s="412" t="n">
        <x:f>IF(ISNUMBER('Data'!B3),'Data'!B3,NA())</x:f>
        <x:v>11363000000</x:v>
      </x:c>
      <x:c r="C7" s="376"/>
      <x:c r="D7" s="383"/>
      <x:c r="E7" s="376"/>
      <x:c r="F7" s="376"/>
      <x:c r="G7" s="376"/>
      <x:c r="H7" s="376"/>
      <x:c r="I7" s="377"/>
    </x:row>
    <x:row r="8" ht="30" customHeight="1">
      <x:c r="A8" s="413" t="str">
        <x:v>OCF less specified prepayments</x:v>
      </x:c>
      <x:c r="B8" s="414" t="n">
        <x:f>B6-B7</x:f>
        <x:v>11740000000</x:v>
      </x:c>
      <x:c r="C8" s="376"/>
      <x:c r="D8" s="383"/>
      <x:c r="E8" s="376"/>
      <x:c r="F8" s="376"/>
      <x:c r="G8" s="376"/>
      <x:c r="H8" s="376"/>
      <x:c r="I8" s="377"/>
    </x:row>
    <x:row r="9" ht="30" customHeight="1">
      <x:c r="A9" s="385" t="str">
        <x:v>ATM equity proceeds, net</x:v>
      </x:c>
      <x:c r="B9" s="412" t="n">
        <x:f>IF(ISNUMBER('Data'!B8),'Data'!B8,NA())</x:f>
        <x:v>19909000000</x:v>
      </x:c>
      <x:c r="C9" s="376"/>
      <x:c r="D9" s="383"/>
      <x:c r="E9" s="376"/>
      <x:c r="F9" s="376"/>
      <x:c r="G9" s="376"/>
      <x:c r="H9" s="376"/>
      <x:c r="I9" s="377"/>
    </x:row>
    <x:row r="10" ht="30" customHeight="1">
      <x:c r="A10" s="385" t="str">
        <x:v>Cash capital spending</x:v>
      </x:c>
      <x:c r="B10" s="412" t="n">
        <x:f>IF(ISNUMBER('Data'!B4),'Data'!B4,NA())</x:f>
        <x:v>28499000000</x:v>
      </x:c>
      <x:c r="C10" s="376"/>
      <x:c r="D10" s="383"/>
      <x:c r="E10" s="376"/>
      <x:c r="F10" s="376"/>
      <x:c r="G10" s="376"/>
      <x:c r="H10" s="376"/>
      <x:c r="I10" s="377"/>
    </x:row>
    <x:row r="11" ht="30" customHeight="1">
      <x:c r="A11" s="413" t="str">
        <x:v>Reported OCF less cash capex</x:v>
      </x:c>
      <x:c r="B11" s="415" t="n">
        <x:f>B6-B10</x:f>
        <x:v>-5396000000</x:v>
      </x:c>
      <x:c r="C11" s="376"/>
      <x:c r="D11" s="383"/>
      <x:c r="E11" s="376"/>
      <x:c r="F11" s="376"/>
      <x:c r="G11" s="376"/>
      <x:c r="H11" s="376"/>
      <x:c r="I11" s="377"/>
    </x:row>
    <x:row r="12" ht="30" customHeight="1">
      <x:c r="A12" s="416" t="str">
        <x:v>OCF less specified prepayments and capex</x:v>
      </x:c>
      <x:c r="B12" s="417" t="n">
        <x:f>B8-B10</x:f>
        <x:v>-16759000000</x:v>
      </x:c>
      <x:c r="C12" s="376"/>
      <x:c r="D12" s="383"/>
      <x:c r="E12" s="376"/>
      <x:c r="F12" s="376"/>
      <x:c r="G12" s="376"/>
      <x:c r="H12" s="376"/>
      <x:c r="I12" s="377"/>
    </x:row>
    <x:row r="13" ht="30" customHeight="1">
      <x:c r="A13" s="418" t="str">
        <x:v>Cash dividends</x:v>
      </x:c>
      <x:c r="B13" s="419" t="n">
        <x:f>IF(ISNUMBER('Data'!B10),'Data'!B10,NA())</x:f>
        <x:v>1565000000</x:v>
      </x:c>
      <x:c r="C13" s="376"/>
      <x:c r="D13" s="383"/>
      <x:c r="E13" s="376"/>
      <x:c r="F13" s="376"/>
      <x:c r="G13" s="376"/>
      <x:c r="H13" s="376"/>
      <x:c r="I13" s="377"/>
    </x:row>
    <x:row r="14" ht="30" customHeight="1">
      <x:c r="A14" s="385" t="str">
        <x:v>Grouped debt repayments</x:v>
      </x:c>
      <x:c r="B14" s="412" t="n">
        <x:f>IF(ISNUMBER('Data'!B13),'Data'!B13,NA())</x:f>
        <x:v>4202000000</x:v>
      </x:c>
      <x:c r="C14" s="376"/>
      <x:c r="D14" s="383"/>
      <x:c r="E14" s="376"/>
      <x:c r="F14" s="376"/>
      <x:c r="G14" s="376"/>
      <x:c r="H14" s="376"/>
      <x:c r="I14" s="377"/>
    </x:row>
    <x:row r="15" ht="30" customHeight="1">
      <x:c r="A15" s="385" t="str">
        <x:v>Other cash flows, net</x:v>
      </x:c>
      <x:c r="B15" s="412" t="n">
        <x:f>IF(COUNT('Data'!B5,'Data'!B6,'Data'!B9,'Data'!B11,'Data'!B12,'Data'!B14,'Data'!B16)=7,-'Data'!B5+'Data'!B6+'Data'!B9-'Data'!B11+'Data'!B12+'Data'!B14+'Data'!B16,NA())</x:f>
        <x:v>-1101000000</x:v>
      </x:c>
      <x:c r="C15" s="376"/>
      <x:c r="D15" s="383"/>
      <x:c r="E15" s="376"/>
      <x:c r="F15" s="376"/>
      <x:c r="G15" s="376"/>
      <x:c r="H15" s="376"/>
      <x:c r="I15" s="377"/>
    </x:row>
    <x:row r="16" ht="30" customHeight="1">
      <x:c r="A16" s="413" t="str">
        <x:v>Calculated cash increase</x:v>
      </x:c>
      <x:c r="B16" s="415" t="n">
        <x:f>B6+B9-B10-B13-B14+B15</x:f>
        <x:v>7645000000</x:v>
      </x:c>
      <x:c r="C16" s="376"/>
      <x:c r="D16" s="383"/>
      <x:c r="E16" s="376"/>
      <x:c r="F16" s="376"/>
      <x:c r="G16" s="376"/>
      <x:c r="H16" s="376"/>
      <x:c r="I16" s="377"/>
    </x:row>
    <x:row r="17" ht="30" customHeight="1">
      <x:c r="A17" s="413" t="str">
        <x:v>Calculated ending cash, including restricted</x:v>
      </x:c>
      <x:c r="B17" s="415" t="n">
        <x:f>B5+B16</x:f>
        <x:v>38934000000</x:v>
      </x:c>
      <x:c r="C17" s="376"/>
      <x:c r="D17" s="383"/>
      <x:c r="E17" s="376"/>
      <x:c r="F17" s="376"/>
      <x:c r="G17" s="376"/>
      <x:c r="H17" s="376"/>
      <x:c r="I17" s="377"/>
    </x:row>
    <x:row r="18" ht="30" customHeight="1">
      <x:c r="A18" s="385" t="str">
        <x:v>Reported ending cash, including restricted</x:v>
      </x:c>
      <x:c r="B18" s="412" t="n">
        <x:f>IF(ISNUMBER('Data'!B20),'Data'!B20,NA())</x:f>
        <x:v>38934000000</x:v>
      </x:c>
      <x:c r="C18" s="376"/>
      <x:c r="D18" s="383"/>
      <x:c r="E18" s="376"/>
      <x:c r="F18" s="376"/>
      <x:c r="G18" s="376"/>
      <x:c r="H18" s="376"/>
      <x:c r="I18" s="377"/>
    </x:row>
    <x:row r="19" ht="30" customHeight="1">
      <x:c r="A19" s="385" t="str">
        <x:v>Ending-cash reconciliation difference</x:v>
      </x:c>
      <x:c r="B19" s="420" t="n">
        <x:f>B17-B18</x:f>
        <x:v>0</x:v>
      </x:c>
      <x:c r="C19" s="376"/>
      <x:c r="D19" s="383"/>
      <x:c r="E19" s="376"/>
      <x:c r="F19" s="376"/>
      <x:c r="G19" s="376"/>
      <x:c r="H19" s="376"/>
      <x:c r="I19" s="377"/>
    </x:row>
    <x:row r="20" ht="30" customHeight="1">
      <x:c r="A20" s="413" t="str">
        <x:v>Balance-sheet cash excluding restricted</x:v>
      </x:c>
      <x:c r="B20" s="421" t="n">
        <x:f>IF(ISNUMBER('Data'!B21),'Data'!B21,NA())</x:f>
        <x:v>36369000000</x:v>
      </x:c>
      <x:c r="C20" s="376"/>
      <x:c r="D20" s="383"/>
      <x:c r="E20" s="376"/>
      <x:c r="F20" s="376"/>
      <x:c r="G20" s="376"/>
      <x:c r="H20" s="376"/>
      <x:c r="I20" s="377"/>
    </x:row>
    <x:row r="21" ht="30" customHeight="1">
      <x:c r="A21" s="385" t="str">
        <x:v>Restricted cash at August 31</x:v>
      </x:c>
      <x:c r="B21" s="422" t="n">
        <x:f>B18-B20</x:f>
        <x:v>2565000000</x:v>
      </x:c>
      <x:c r="C21" s="376"/>
      <x:c r="D21" s="383"/>
      <x:c r="E21" s="376"/>
      <x:c r="F21" s="376"/>
      <x:c r="G21" s="376"/>
      <x:c r="H21" s="376"/>
      <x:c r="I21" s="377"/>
    </x:row>
    <x:row r="22" ht="30" customHeight="1">
      <x:c r="A22" s="385" t="str">
        <x:v>Reported cash increase</x:v>
      </x:c>
      <x:c r="B22" s="412" t="n">
        <x:f>IF(ISNUMBER('Data'!B17),'Data'!B17,NA())</x:f>
        <x:v>7645000000</x:v>
      </x:c>
      <x:c r="C22" s="376"/>
      <x:c r="D22" s="411" t="str">
        <x:v>Reported OCF less capex = B6 − B10.</x:v>
      </x:c>
      <x:c r="E22" s="376"/>
      <x:c r="F22" s="376"/>
      <x:c r="G22" s="376"/>
      <x:c r="H22" s="376"/>
      <x:c r="I22" s="377"/>
    </x:row>
    <x:row r="23" ht="30" customHeight="1">
      <x:c r="A23" s="389" t="str">
        <x:v>Cash-increase reconciliation difference</x:v>
      </x:c>
      <x:c r="B23" s="423" t="n">
        <x:f>B16-B22</x:f>
        <x:v>0</x:v>
      </x:c>
      <x:c r="C23" s="376"/>
      <x:c r="D23" s="411" t="str">
        <x:v>Excluding specified prepayments = B8 − B10.</x:v>
      </x:c>
      <x:c r="E23" s="376"/>
      <x:c r="F23" s="376"/>
      <x:c r="G23" s="376"/>
      <x:c r="H23" s="376"/>
      <x:c r="I23" s="377"/>
    </x:row>
    <x:row r="24" ht="30" customHeight="1">
      <x:c r="A24" s="393"/>
      <x:c r="B24" s="424"/>
      <x:c r="C24" s="376"/>
      <x:c r="D24" s="376"/>
      <x:c r="E24" s="376"/>
      <x:c r="F24" s="376"/>
      <x:c r="G24" s="376"/>
      <x:c r="H24" s="376"/>
      <x:c r="I24" s="377"/>
    </x:row>
    <x:row r="25" ht="30" customHeight="1">
      <x:c r="A25" s="413" t="str">
        <x:v>Cash increase less ATM equity proceeds</x:v>
      </x:c>
      <x:c r="B25" s="415" t="n">
        <x:f>B16-B9</x:f>
        <x:v>-12264000000</x:v>
      </x:c>
      <x:c r="C25" s="376"/>
      <x:c r="D25" s="411" t="str">
        <x:v>The prepayment exclusion is historical arithmetic, not recurring cash generation.</x:v>
      </x:c>
      <x:c r="E25" s="376"/>
      <x:c r="F25" s="376"/>
      <x:c r="G25" s="376"/>
      <x:c r="H25" s="376"/>
      <x:c r="I25" s="377"/>
    </x:row>
    <x:row r="26" ht="30" customHeight="1">
      <x:c r="A26" s="413" t="str">
        <x:v>Cash increase less ATM and specified prepayments</x:v>
      </x:c>
      <x:c r="B26" s="415" t="n">
        <x:f>B25-B7</x:f>
        <x:v>-23627000000</x:v>
      </x:c>
      <x:c r="C26" s="376"/>
      <x:c r="D26" s="383"/>
      <x:c r="E26" s="376"/>
      <x:c r="F26" s="376"/>
      <x:c r="G26" s="376"/>
      <x:c r="H26" s="376"/>
      <x:c r="I26" s="377"/>
    </x:row>
    <x:row r="27" ht="30" customHeight="1">
      <x:c r="A27" s="389" t="str">
        <x:v>Specified prepayments / reported OCF</x:v>
      </x:c>
      <x:c r="B27" s="425" t="n">
        <x:f>IF(B6&gt;0,B7/B6,NA())</x:f>
        <x:v>0.49184088646496127</x:v>
      </x:c>
      <x:c r="C27" s="376"/>
      <x:c r="D27" s="383"/>
      <x:c r="E27" s="376"/>
      <x:c r="F27" s="376"/>
      <x:c r="G27" s="376"/>
      <x:c r="H27" s="376"/>
      <x:c r="I27" s="377"/>
    </x:row>
    <x:row r="28" ht="24" customHeight="1">
      <x:c r="A28" s="379"/>
      <x:c r="B28" s="424"/>
      <x:c r="C28" s="376"/>
      <x:c r="D28" s="383"/>
      <x:c r="E28" s="376"/>
      <x:c r="F28" s="376"/>
      <x:c r="G28" s="376"/>
      <x:c r="H28" s="376"/>
      <x:c r="I28" s="377"/>
    </x:row>
    <x:row r="29" ht="24" customHeight="1">
      <x:c r="A29" s="408" t="str">
        <x:v>Rows 25–26 hold every other reported flow fixed. They are historical arithmetic, not forecasts.</x:v>
      </x:c>
      <x:c r="B29" s="424"/>
      <x:c r="C29" s="376"/>
      <x:c r="D29" s="376"/>
      <x:c r="E29" s="376"/>
      <x:c r="F29" s="376"/>
      <x:c r="G29" s="376"/>
      <x:c r="H29" s="376"/>
      <x:c r="I29" s="377"/>
    </x:row>
    <x:row r="30" ht="24" customHeight="1">
      <x:c r="A30" s="408" t="str">
        <x:v>No cash runway or future repayment surplus is calculated. August debt maturity amounts and drawable credit are Unavailable.</x:v>
      </x:c>
      <x:c r="B30" s="424"/>
      <x:c r="C30" s="376"/>
      <x:c r="D30" s="376"/>
      <x:c r="E30" s="376"/>
      <x:c r="F30" s="376"/>
      <x:c r="G30" s="376"/>
      <x:c r="H30" s="376"/>
      <x:c r="I30" s="377"/>
    </x:row>
    <x:row r="31" ht="24" customHeight="1">
      <x:c r="A31" s="408" t="str">
        <x:v>Interest and operating lease cash payments within OCF are not subtracted again.</x:v>
      </x:c>
      <x:c r="B31" s="424"/>
      <x:c r="C31" s="376"/>
      <x:c r="D31" s="376"/>
      <x:c r="E31" s="376"/>
      <x:c r="F31" s="376"/>
      <x:c r="G31" s="376"/>
      <x:c r="H31" s="376"/>
      <x:c r="I31" s="377"/>
    </x:row>
    <x:row r="32" ht="24" customHeight="1">
      <x:c r="A32" s="408" t="str">
        <x:v>The 11.363B prepayment contribution is already in OCF; the 19.909B ATM proceeds are already in August cash.</x:v>
      </x:c>
      <x:c r="B32" s="424"/>
      <x:c r="C32" s="376"/>
      <x:c r="D32" s="376"/>
      <x:c r="E32" s="376"/>
      <x:c r="F32" s="376"/>
      <x:c r="G32" s="376"/>
      <x:c r="H32" s="376"/>
      <x:c r="I32" s="377"/>
    </x:row>
    <x:row r="33" ht="24" customHeight="1">
      <x:c r="A33" s="379"/>
      <x:c r="B33" s="424"/>
      <x:c r="C33" s="376"/>
      <x:c r="D33" s="376"/>
      <x:c r="E33" s="376"/>
      <x:c r="F33" s="376"/>
      <x:c r="G33" s="376"/>
      <x:c r="H33" s="376"/>
      <x:c r="I33" s="377"/>
    </x:row>
    <x:row r="34" ht="24" customHeight="1">
      <x:c r="A34" s="379"/>
      <x:c r="B34" s="376"/>
      <x:c r="C34" s="376"/>
      <x:c r="D34" s="376"/>
      <x:c r="E34" s="376"/>
      <x:c r="F34" s="376"/>
      <x:c r="G34" s="376"/>
      <x:c r="H34" s="376"/>
      <x:c r="I34" s="377"/>
    </x:row>
    <x:row r="35" ht="38" customHeight="1">
      <x:c r="A35" s="379"/>
      <x:c r="B35" s="376"/>
      <x:c r="C35" s="376"/>
      <x:c r="D35" s="376"/>
      <x:c r="E35" s="376"/>
      <x:c r="F35" s="376"/>
      <x:c r="G35" s="376"/>
      <x:c r="H35" s="426" t="str">
        <x:v>Quarter measure</x:v>
      </x:c>
      <x:c r="I35" s="396" t="str">
        <x:v>USD</x:v>
      </x:c>
    </x:row>
    <x:row r="36" ht="38" customHeight="1">
      <x:c r="A36" s="379"/>
      <x:c r="B36" s="376"/>
      <x:c r="C36" s="376"/>
      <x:c r="D36" s="376"/>
      <x:c r="E36" s="376"/>
      <x:c r="F36" s="376"/>
      <x:c r="G36" s="376"/>
      <x:c r="H36" s="427" t="str">
        <x:v>Reported
OCF</x:v>
      </x:c>
      <x:c r="I36" s="428" t="n">
        <x:f>B6</x:f>
        <x:v>23103000000</x:v>
      </x:c>
    </x:row>
    <x:row r="37" ht="38" customHeight="1">
      <x:c r="A37" s="379"/>
      <x:c r="B37" s="376"/>
      <x:c r="C37" s="376"/>
      <x:c r="D37" s="376"/>
      <x:c r="E37" s="376"/>
      <x:c r="F37" s="376"/>
      <x:c r="G37" s="376"/>
      <x:c r="H37" s="427" t="str">
        <x:v>OCF excluding specified
prepayments</x:v>
      </x:c>
      <x:c r="I37" s="428" t="n">
        <x:f>B8</x:f>
        <x:v>11740000000</x:v>
      </x:c>
    </x:row>
    <x:row r="38" ht="38" customHeight="1">
      <x:c r="A38" s="379"/>
      <x:c r="B38" s="376"/>
      <x:c r="C38" s="376"/>
      <x:c r="D38" s="376"/>
      <x:c r="E38" s="376"/>
      <x:c r="F38" s="376"/>
      <x:c r="G38" s="376"/>
      <x:c r="H38" s="429" t="str">
        <x:v>Cash
capex</x:v>
      </x:c>
      <x:c r="I38" s="430" t="n">
        <x:f>B10</x:f>
        <x:v>28499000000</x:v>
      </x:c>
    </x:row>
    <x:row r="39" ht="24" customHeight="1">
      <x:c r="A39" s="379"/>
      <x:c r="B39" s="376"/>
      <x:c r="C39" s="376"/>
      <x:c r="D39" s="376"/>
      <x:c r="E39" s="376"/>
      <x:c r="F39" s="376"/>
      <x:c r="G39" s="376"/>
      <x:c r="H39" s="376"/>
      <x:c r="I39" s="377"/>
    </x:row>
    <x:row r="40" ht="24" customHeight="1">
      <x:c r="A40" s="379"/>
      <x:c r="B40" s="376"/>
      <x:c r="C40" s="376"/>
      <x:c r="D40" s="376"/>
      <x:c r="E40" s="376"/>
      <x:c r="F40" s="376"/>
      <x:c r="G40" s="376"/>
      <x:c r="H40" s="376"/>
      <x:c r="I40" s="377"/>
    </x:row>
    <x:row r="41" ht="24" customHeight="1">
      <x:c r="A41" s="375" t="str">
        <x:v>Historical operating-income interest coverage</x:v>
      </x:c>
      <x:c r="B41" s="376"/>
      <x:c r="C41" s="376"/>
      <x:c r="D41" s="376"/>
      <x:c r="E41" s="376"/>
      <x:c r="F41" s="376"/>
      <x:c r="G41" s="376"/>
      <x:c r="H41" s="376"/>
      <x:c r="I41" s="377"/>
    </x:row>
    <x:row r="42" ht="24" customHeight="1">
      <x:c r="A42" s="378" t="str">
        <x:v>TTM September 1, 2025–August 31, 2026. Reported interest line; capitalization basis Unavailable.</x:v>
      </x:c>
      <x:c r="B42" s="376"/>
      <x:c r="C42" s="376"/>
      <x:c r="D42" s="376"/>
      <x:c r="E42" s="376"/>
      <x:c r="F42" s="376"/>
      <x:c r="G42" s="376"/>
      <x:c r="H42" s="376"/>
      <x:c r="I42" s="377"/>
    </x:row>
    <x:row r="43" ht="24" customHeight="1">
      <x:c r="A43" s="379"/>
      <x:c r="B43" s="376"/>
      <x:c r="C43" s="376"/>
      <x:c r="D43" s="376"/>
      <x:c r="E43" s="376"/>
      <x:c r="F43" s="376"/>
      <x:c r="G43" s="376"/>
      <x:c r="H43" s="376"/>
      <x:c r="I43" s="377"/>
    </x:row>
    <x:row r="44" ht="32" customHeight="1">
      <x:c r="A44" s="380" t="str">
        <x:v>Build, USD millions</x:v>
      </x:c>
      <x:c r="B44" s="381" t="str">
        <x:v>FY2026</x:v>
      </x:c>
      <x:c r="C44" s="381" t="str">
        <x:v>+ Q1 FY2027</x:v>
      </x:c>
      <x:c r="D44" s="381" t="str">
        <x:v>− Q1 FY2026</x:v>
      </x:c>
      <x:c r="E44" s="382" t="str">
        <x:v>TTM</x:v>
      </x:c>
      <x:c r="F44" s="376"/>
      <x:c r="G44" s="376"/>
      <x:c r="H44" s="376"/>
      <x:c r="I44" s="377"/>
    </x:row>
    <x:row r="45" ht="32" customHeight="1">
      <x:c r="A45" s="431" t="str">
        <x:v>Reported operating income</x:v>
      </x:c>
      <x:c r="B45" s="432" t="n">
        <x:f>IF(ISNUMBER('Data'!B77),'Data'!B77,NA())</x:f>
        <x:v>20606000000</x:v>
      </x:c>
      <x:c r="C45" s="432" t="n">
        <x:f>IF(ISNUMBER('Data'!B80),'Data'!B80,NA())</x:f>
        <x:v>6728000000</x:v>
      </x:c>
      <x:c r="D45" s="432" t="n">
        <x:f>IF(ISNUMBER('Data'!B83),'Data'!B83,NA())</x:f>
        <x:v>4277000000</x:v>
      </x:c>
      <x:c r="E45" s="433" t="n">
        <x:f>B45+C45-D45</x:f>
        <x:v>23057000000</x:v>
      </x:c>
      <x:c r="F45" s="376"/>
      <x:c r="G45" s="376"/>
      <x:c r="H45" s="376"/>
      <x:c r="I45" s="377"/>
    </x:row>
    <x:row r="46" ht="32" customHeight="1">
      <x:c r="A46" s="431" t="str">
        <x:v>Reported Interest expense</x:v>
      </x:c>
      <x:c r="B46" s="432" t="n">
        <x:f>IF(ISNUMBER('Data'!B78),'Data'!B78,NA())</x:f>
        <x:v>4599000000</x:v>
      </x:c>
      <x:c r="C46" s="432" t="n">
        <x:f>IF(ISNUMBER('Data'!B81),'Data'!B81,NA())</x:f>
        <x:v>1428000000</x:v>
      </x:c>
      <x:c r="D46" s="432" t="n">
        <x:f>IF(ISNUMBER('Data'!B84),'Data'!B84,NA())</x:f>
        <x:v>923000000</x:v>
      </x:c>
      <x:c r="E46" s="433" t="n">
        <x:f>B46+C46-D46</x:f>
        <x:v>5104000000</x:v>
      </x:c>
      <x:c r="F46" s="376"/>
      <x:c r="G46" s="376"/>
      <x:c r="H46" s="376"/>
      <x:c r="I46" s="377"/>
    </x:row>
    <x:row r="47" ht="32" customHeight="1">
      <x:c r="A47" s="434" t="str">
        <x:v>Lease-note interest, context only</x:v>
      </x:c>
      <x:c r="B47" s="435" t="n">
        <x:f>IF(ISNUMBER('Data'!B79),'Data'!B79,NA())</x:f>
        <x:v>279000000</x:v>
      </x:c>
      <x:c r="C47" s="435" t="n">
        <x:f>IF(ISNUMBER('Data'!B82),'Data'!B82,NA())</x:f>
        <x:v>126000000</x:v>
      </x:c>
      <x:c r="D47" s="435" t="n">
        <x:f>IF(ISNUMBER('Data'!B85),'Data'!B85,NA())</x:f>
        <x:v>48000000</x:v>
      </x:c>
      <x:c r="E47" s="436" t="n">
        <x:f>B47+C47-D47</x:f>
        <x:v>357000000</x:v>
      </x:c>
      <x:c r="F47" s="376"/>
      <x:c r="G47" s="376"/>
      <x:c r="H47" s="376"/>
      <x:c r="I47" s="377"/>
    </x:row>
    <x:row r="48" ht="32" customHeight="1">
      <x:c r="A48" s="379"/>
      <x:c r="B48" s="376"/>
      <x:c r="C48" s="376"/>
      <x:c r="D48" s="376"/>
      <x:c r="E48" s="376"/>
      <x:c r="F48" s="376"/>
      <x:c r="G48" s="376"/>
      <x:c r="H48" s="376"/>
      <x:c r="I48" s="377"/>
    </x:row>
    <x:row r="49" ht="32" customHeight="1">
      <x:c r="A49" s="437" t="str">
        <x:v>Historical reported-line interest coverage</x:v>
      </x:c>
      <x:c r="B49" s="438" t="n">
        <x:f>IF(E46&gt;0,E45/E46,NA())</x:f>
        <x:v>4.517437304075235</x:v>
      </x:c>
      <x:c r="C49" s="376"/>
      <x:c r="D49" s="376"/>
      <x:c r="E49" s="376"/>
      <x:c r="F49" s="376"/>
      <x:c r="G49" s="376"/>
      <x:c r="H49" s="376"/>
      <x:c r="I49" s="377"/>
    </x:row>
    <x:row r="50" ht="24" customHeight="1">
      <x:c r="A50" s="379"/>
      <x:c r="B50" s="376"/>
      <x:c r="C50" s="376"/>
      <x:c r="D50" s="376"/>
      <x:c r="E50" s="376"/>
      <x:c r="F50" s="376"/>
      <x:c r="G50" s="376"/>
      <x:c r="H50" s="376"/>
      <x:c r="I50" s="377"/>
    </x:row>
    <x:row r="51" ht="26" customHeight="1">
      <x:c r="A51" s="378" t="str">
        <x:v>Capitalization basis: Unavailable. See About.</x:v>
      </x:c>
      <x:c r="B51" s="376"/>
      <x:c r="C51" s="376"/>
      <x:c r="D51" s="376"/>
      <x:c r="E51" s="376"/>
      <x:c r="F51" s="376"/>
      <x:c r="G51" s="376"/>
      <x:c r="H51" s="376"/>
      <x:c r="I51" s="377"/>
    </x:row>
    <x:row r="52" ht="26" customHeight="1">
      <x:c r="A52" s="378" t="str">
        <x:v>Borrowing-only coverage: Unavailable. See About.</x:v>
      </x:c>
      <x:c r="B52" s="376"/>
      <x:c r="C52" s="376"/>
      <x:c r="D52" s="376"/>
      <x:c r="E52" s="376"/>
      <x:c r="F52" s="376"/>
      <x:c r="G52" s="376"/>
      <x:c r="H52" s="376"/>
      <x:c r="I52" s="377"/>
    </x:row>
    <x:row r="53" ht="26" customHeight="1">
      <x:c r="A53" s="378" t="str">
        <x:v>Covenant headroom: Unavailable. Different contract formula.</x:v>
      </x:c>
      <x:c r="B53" s="376"/>
      <x:c r="C53" s="376"/>
      <x:c r="D53" s="376"/>
      <x:c r="E53" s="376"/>
      <x:c r="F53" s="376"/>
      <x:c r="G53" s="376"/>
      <x:c r="H53" s="376"/>
      <x:c r="I53" s="377"/>
    </x:row>
    <x:row r="54" ht="26" customHeight="1">
      <x:c r="A54" s="378" t="str">
        <x:v>Lease overlap: Unavailable; row 47 is not added.</x:v>
      </x:c>
      <x:c r="B54" s="376"/>
      <x:c r="C54" s="376"/>
      <x:c r="D54" s="376"/>
      <x:c r="E54" s="376"/>
      <x:c r="F54" s="376"/>
      <x:c r="G54" s="376"/>
      <x:c r="H54" s="376"/>
      <x:c r="I54" s="377"/>
    </x:row>
  </x:sheetData>
  <x:pageMargins left="0.7" right="0.7" top="0.75" bottom="0.75" header="0.3" footer="0.3"/>
  <x:drawing ns1:id="Rf6809d7e4af04fc1"/>
</x:worksheet>
</file>

<file path=xl/worksheets/sheet8.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payment dates and financing limits</x:v>
      </x:c>
      <x:c r="B2" s="376"/>
      <x:c r="C2" s="376"/>
      <x:c r="D2" s="376"/>
      <x:c r="E2" s="376"/>
      <x:c r="F2" s="377"/>
    </x:row>
    <x:row r="3" ht="24" customHeight="1">
      <x:c r="A3" s="408" t="str">
        <x:v>At August 31, 2026. USD millions. Leases include interest; no combined obligations total.</x:v>
      </x:c>
      <x:c r="B3" s="376"/>
      <x:c r="C3" s="376"/>
      <x:c r="D3" s="376"/>
      <x:c r="E3" s="376"/>
      <x:c r="F3" s="377"/>
    </x:row>
    <x:row r="4" ht="24" customHeight="1">
      <x:c r="A4" s="379"/>
      <x:c r="B4" s="376"/>
      <x:c r="C4" s="376"/>
      <x:c r="D4" s="376"/>
      <x:c r="E4" s="376"/>
      <x:c r="F4" s="377"/>
    </x:row>
    <x:row r="5" ht="24" customHeight="1">
      <x:c r="A5" s="409" t="str">
        <x:v>Due period</x:v>
      </x:c>
      <x:c r="B5" s="439" t="str">
        <x:v>Operating leases</x:v>
      </x:c>
      <x:c r="C5" s="440" t="str">
        <x:v>Finance leases</x:v>
      </x:c>
      <x:c r="D5" s="381" t="str">
        <x:v>Purchase and other</x:v>
      </x:c>
      <x:c r="E5" s="440" t="str">
        <x:v>Due from</x:v>
      </x:c>
      <x:c r="F5" s="441" t="str">
        <x:v>Due through</x:v>
      </x:c>
    </x:row>
    <x:row r="6" ht="24" customHeight="1">
      <x:c r="A6" s="431" t="str">
        <x:v>Remainder FY2027</x:v>
      </x:c>
      <x:c r="B6" s="442" t="n">
        <x:f>IF(ISNUMBER('Data'!B23),'Data'!B23,NA())</x:f>
        <x:v>3219000000</x:v>
      </x:c>
      <x:c r="C6" s="442" t="n">
        <x:f>IF(ISNUMBER('Data'!B30),'Data'!B30,NA())</x:f>
        <x:v>620000000</x:v>
      </x:c>
      <x:c r="D6" s="443" t="n">
        <x:f>IF(ISNUMBER('Data'!B37),'Data'!B37,NA())</x:f>
        <x:v>5449000000</x:v>
      </x:c>
      <x:c r="E6" s="444" t="d">
        <x:v>2026-09-01T00:00:00.000Z</x:v>
      </x:c>
      <x:c r="F6" s="445" t="d">
        <x:v>2027-05-31T00:00:00.000Z</x:v>
      </x:c>
    </x:row>
    <x:row r="7" ht="24" customHeight="1">
      <x:c r="A7" s="431" t="str">
        <x:v>FY2028</x:v>
      </x:c>
      <x:c r="B7" s="442" t="n">
        <x:f>IF(ISNUMBER('Data'!B24),'Data'!B24,NA())</x:f>
        <x:v>4135000000</x:v>
      </x:c>
      <x:c r="C7" s="442" t="n">
        <x:f>IF(ISNUMBER('Data'!B31),'Data'!B31,NA())</x:f>
        <x:v>852000000</x:v>
      </x:c>
      <x:c r="D7" s="443" t="n">
        <x:f>IF(ISNUMBER('Data'!B38),'Data'!B38,NA())</x:f>
        <x:v>6176000000</x:v>
      </x:c>
      <x:c r="E7" s="444" t="d">
        <x:v>2027-06-01T00:00:00.000Z</x:v>
      </x:c>
      <x:c r="F7" s="445" t="d">
        <x:v>2028-05-31T00:00:00.000Z</x:v>
      </x:c>
    </x:row>
    <x:row r="8" ht="24" customHeight="1">
      <x:c r="A8" s="431" t="str">
        <x:v>FY2029</x:v>
      </x:c>
      <x:c r="B8" s="442" t="n">
        <x:f>IF(ISNUMBER('Data'!B25),'Data'!B25,NA())</x:f>
        <x:v>4097000000</x:v>
      </x:c>
      <x:c r="C8" s="442" t="n">
        <x:f>IF(ISNUMBER('Data'!B32),'Data'!B32,NA())</x:f>
        <x:v>923000000</x:v>
      </x:c>
      <x:c r="D8" s="443" t="n">
        <x:f>IF(ISNUMBER('Data'!B39),'Data'!B39,NA())</x:f>
        <x:v>3863000000</x:v>
      </x:c>
      <x:c r="E8" s="444" t="d">
        <x:v>2028-06-01T00:00:00.000Z</x:v>
      </x:c>
      <x:c r="F8" s="445" t="d">
        <x:v>2029-05-31T00:00:00.000Z</x:v>
      </x:c>
    </x:row>
    <x:row r="9" ht="24" customHeight="1">
      <x:c r="A9" s="431" t="str">
        <x:v>FY2030</x:v>
      </x:c>
      <x:c r="B9" s="442" t="n">
        <x:f>IF(ISNUMBER('Data'!B26),'Data'!B26,NA())</x:f>
        <x:v>4109000000</x:v>
      </x:c>
      <x:c r="C9" s="442" t="n">
        <x:f>IF(ISNUMBER('Data'!B33),'Data'!B33,NA())</x:f>
        <x:v>947000000</x:v>
      </x:c>
      <x:c r="D9" s="443" t="n">
        <x:f>IF(ISNUMBER('Data'!B40),'Data'!B40,NA())</x:f>
        <x:v>4318000000</x:v>
      </x:c>
      <x:c r="E9" s="444" t="d">
        <x:v>2029-06-01T00:00:00.000Z</x:v>
      </x:c>
      <x:c r="F9" s="445" t="d">
        <x:v>2030-05-31T00:00:00.000Z</x:v>
      </x:c>
    </x:row>
    <x:row r="10" ht="24" customHeight="1">
      <x:c r="A10" s="431" t="str">
        <x:v>FY2031</x:v>
      </x:c>
      <x:c r="B10" s="442" t="n">
        <x:f>IF(ISNUMBER('Data'!B27),'Data'!B27,NA())</x:f>
        <x:v>4089000000</x:v>
      </x:c>
      <x:c r="C10" s="442" t="n">
        <x:f>IF(ISNUMBER('Data'!B34),'Data'!B34,NA())</x:f>
        <x:v>971000000</x:v>
      </x:c>
      <x:c r="D10" s="443" t="n">
        <x:f>IF(ISNUMBER('Data'!B41),'Data'!B41,NA())</x:f>
        <x:v>6768000000</x:v>
      </x:c>
      <x:c r="E10" s="444" t="d">
        <x:v>2030-06-01T00:00:00.000Z</x:v>
      </x:c>
      <x:c r="F10" s="445" t="d">
        <x:v>2031-05-31T00:00:00.000Z</x:v>
      </x:c>
    </x:row>
    <x:row r="11" ht="24" customHeight="1">
      <x:c r="A11" s="431" t="str">
        <x:v>FY2032</x:v>
      </x:c>
      <x:c r="B11" s="442" t="n">
        <x:f>IF(ISNUMBER('Data'!B28),'Data'!B28,NA())</x:f>
        <x:v>4030000000</x:v>
      </x:c>
      <x:c r="C11" s="442" t="n">
        <x:f>IF(ISNUMBER('Data'!B35),'Data'!B35,NA())</x:f>
        <x:v>996000000</x:v>
      </x:c>
      <x:c r="D11" s="443" t="n">
        <x:f>IF(ISNUMBER('Data'!B42),'Data'!B42,NA())</x:f>
        <x:v>954000000</x:v>
      </x:c>
      <x:c r="E11" s="444" t="d">
        <x:v>2031-06-01T00:00:00.000Z</x:v>
      </x:c>
      <x:c r="F11" s="445" t="d">
        <x:v>2032-05-31T00:00:00.000Z</x:v>
      </x:c>
    </x:row>
    <x:row r="12" ht="24" customHeight="1">
      <x:c r="A12" s="431" t="str">
        <x:v>Thereafter</x:v>
      </x:c>
      <x:c r="B12" s="442" t="n">
        <x:f>IF(ISNUMBER('Data'!B29),'Data'!B29,NA())</x:f>
        <x:v>24371000000</x:v>
      </x:c>
      <x:c r="C12" s="442" t="n">
        <x:f>IF(ISNUMBER('Data'!B36),'Data'!B36,NA())</x:f>
        <x:v>9886000000</x:v>
      </x:c>
      <x:c r="D12" s="443" t="n">
        <x:f>IF(ISNUMBER('Data'!B43),'Data'!B43,NA())</x:f>
        <x:v>6622000000</x:v>
      </x:c>
      <x:c r="E12" s="444" t="d">
        <x:v>2032-06-01T00:00:00.000Z</x:v>
      </x:c>
      <x:c r="F12" s="446"/>
    </x:row>
    <x:row r="13" ht="24" customHeight="1">
      <x:c r="A13" s="447"/>
      <x:c r="B13" s="448"/>
      <x:c r="C13" s="448"/>
      <x:c r="D13" s="397"/>
      <x:c r="E13" s="449"/>
      <x:c r="F13" s="450"/>
    </x:row>
    <x:row r="14" ht="24" customHeight="1">
      <x:c r="A14" s="451" t="str">
        <x:v>Calculated payment total</x:v>
      </x:c>
      <x:c r="B14" s="452" t="n">
        <x:f>SUM(B6:B12)</x:f>
        <x:v>48050000000</x:v>
      </x:c>
      <x:c r="C14" s="452" t="n">
        <x:f>SUM(C6:C12)</x:f>
        <x:v>15195000000</x:v>
      </x:c>
      <x:c r="D14" s="453" t="n">
        <x:f>SUM(D6:D12)</x:f>
        <x:v>34150000000</x:v>
      </x:c>
      <x:c r="E14" s="449"/>
      <x:c r="F14" s="450"/>
    </x:row>
    <x:row r="15" ht="24" customHeight="1">
      <x:c r="A15" s="431" t="str">
        <x:v>Reported payment total</x:v>
      </x:c>
      <x:c r="B15" s="442" t="n">
        <x:f>IF(ISNUMBER('Data'!B44),'Data'!B44,NA())</x:f>
        <x:v>48050000000</x:v>
      </x:c>
      <x:c r="C15" s="442" t="n">
        <x:f>IF(ISNUMBER('Data'!B47),'Data'!B47,NA())</x:f>
        <x:v>15195000000</x:v>
      </x:c>
      <x:c r="D15" s="443" t="n">
        <x:f>IF(ISNUMBER('Data'!B50),'Data'!B50,NA())</x:f>
        <x:v>34150000000</x:v>
      </x:c>
      <x:c r="E15" s="449"/>
      <x:c r="F15" s="450"/>
    </x:row>
    <x:row r="16" ht="24" customHeight="1">
      <x:c r="A16" s="431" t="str">
        <x:v>Payment-total difference</x:v>
      </x:c>
      <x:c r="B16" s="454" t="n">
        <x:f>B14-B15</x:f>
        <x:v>0</x:v>
      </x:c>
      <x:c r="C16" s="454" t="n">
        <x:f>C14-C15</x:f>
        <x:v>0</x:v>
      </x:c>
      <x:c r="D16" s="455" t="n">
        <x:f>D14-D15</x:f>
        <x:v>0</x:v>
      </x:c>
      <x:c r="E16" s="449"/>
      <x:c r="F16" s="450"/>
    </x:row>
    <x:row r="17" ht="24" customHeight="1">
      <x:c r="A17" s="431" t="str">
        <x:v>Less: imputed interest</x:v>
      </x:c>
      <x:c r="B17" s="442" t="n">
        <x:f>IF(ISNUMBER('Data'!B45),'Data'!B45,NA())</x:f>
        <x:v>13429000000</x:v>
      </x:c>
      <x:c r="C17" s="442" t="n">
        <x:f>IF(ISNUMBER('Data'!B48),'Data'!B48,NA())</x:f>
        <x:v>6010000000</x:v>
      </x:c>
      <x:c r="D17" s="397"/>
      <x:c r="E17" s="449"/>
      <x:c r="F17" s="450"/>
    </x:row>
    <x:row r="18" ht="24" customHeight="1">
      <x:c r="A18" s="451" t="str">
        <x:v>Calculated lease liability</x:v>
      </x:c>
      <x:c r="B18" s="452" t="n">
        <x:f>B14-B17</x:f>
        <x:v>34621000000</x:v>
      </x:c>
      <x:c r="C18" s="452" t="n">
        <x:f>C14-C17</x:f>
        <x:v>9185000000</x:v>
      </x:c>
      <x:c r="D18" s="456"/>
      <x:c r="E18" s="449"/>
      <x:c r="F18" s="450"/>
    </x:row>
    <x:row r="19" ht="24" customHeight="1">
      <x:c r="A19" s="431" t="str">
        <x:v>Reported lease liability</x:v>
      </x:c>
      <x:c r="B19" s="442" t="n">
        <x:f>IF(ISNUMBER('Data'!B46),'Data'!B46,NA())</x:f>
        <x:v>34621000000</x:v>
      </x:c>
      <x:c r="C19" s="442" t="n">
        <x:f>IF(ISNUMBER('Data'!B49),'Data'!B49,NA())</x:f>
        <x:v>9185000000</x:v>
      </x:c>
      <x:c r="D19" s="397"/>
      <x:c r="E19" s="449"/>
      <x:c r="F19" s="450"/>
    </x:row>
    <x:row r="20" ht="24" customHeight="1">
      <x:c r="A20" s="434" t="str">
        <x:v>Lease-liability difference</x:v>
      </x:c>
      <x:c r="B20" s="457" t="n">
        <x:f>B18-B19</x:f>
        <x:v>0</x:v>
      </x:c>
      <x:c r="C20" s="457" t="n">
        <x:f>C18-C19</x:f>
        <x:v>0</x:v>
      </x:c>
      <x:c r="D20" s="458"/>
      <x:c r="E20" s="459"/>
      <x:c r="F20" s="460"/>
    </x:row>
    <x:row r="21" ht="24" customHeight="1">
      <x:c r="A21" s="379"/>
      <x:c r="B21" s="424"/>
      <x:c r="C21" s="376"/>
      <x:c r="D21" s="383"/>
      <x:c r="E21" s="376"/>
      <x:c r="F21" s="377"/>
    </x:row>
    <x:row r="22" ht="42" customHeight="1">
      <x:c r="A22" s="461" t="str">
        <x:v>Operating leases not yet commenced</x:v>
      </x:c>
      <x:c r="B22" s="462" t="n">
        <x:f>IF(ISNUMBER('Data'!B22),'Data'!B22,NA())</x:f>
        <x:v>288000000000</x:v>
      </x:c>
      <x:c r="C22" s="376"/>
      <x:c r="D22" s="395" t="str">
        <x:v>Commencement FY2027–2029; terms 15–19 years. Annual payment timing Unavailable.</x:v>
      </x:c>
      <x:c r="E22" s="383"/>
      <x:c r="F22" s="384"/>
    </x:row>
    <x:row r="23" ht="24" customHeight="1">
      <x:c r="A23" s="379"/>
      <x:c r="B23" s="424"/>
      <x:c r="C23" s="376"/>
      <x:c r="D23" s="383"/>
      <x:c r="E23" s="383"/>
      <x:c r="F23" s="384"/>
    </x:row>
    <x:row r="24" ht="42" customHeight="1">
      <x:c r="A24" s="463" t="str">
        <x:v>Original revolver commitment</x:v>
      </x:c>
      <x:c r="B24" s="419" t="n">
        <x:f>IF(ISNUMBER('Data'!B57),'Data'!B57,NA())</x:f>
        <x:v>10000000000</x:v>
      </x:c>
      <x:c r="C24" s="376"/>
      <x:c r="D24" s="395" t="str">
        <x:v>Agreement dated March 6, 2026. Original maturity March 6, 2031.</x:v>
      </x:c>
      <x:c r="E24" s="383"/>
      <x:c r="F24" s="384"/>
    </x:row>
    <x:row r="25" ht="42" customHeight="1">
      <x:c r="A25" s="431" t="str">
        <x:v>Revolver drawn at May 31</x:v>
      </x:c>
      <x:c r="B25" s="412" t="n">
        <x:f>IF(ISNUMBER('Data'!B58),'Data'!B58,NA())</x:f>
        <x:v>0</x:v>
      </x:c>
      <x:c r="C25" s="376"/>
      <x:c r="D25" s="395" t="str">
        <x:v>Historical drawing balance only.</x:v>
      </x:c>
      <x:c r="E25" s="383"/>
      <x:c r="F25" s="384"/>
    </x:row>
    <x:row r="26" ht="42" customHeight="1">
      <x:c r="A26" s="431" t="str">
        <x:v>August drawable revolver capacity</x:v>
      </x:c>
      <x:c r="B26" s="464"/>
      <x:c r="C26" s="376"/>
      <x:c r="D26" s="395" t="str">
        <x:v>Unavailable: current drawings, conditions and covenant headroom not established.</x:v>
      </x:c>
      <x:c r="E26" s="383"/>
      <x:c r="F26" s="384"/>
    </x:row>
    <x:row r="27" ht="42" customHeight="1">
      <x:c r="A27" s="434" t="str">
        <x:v>Minimum contractual interest coverage</x:v>
      </x:c>
      <x:c r="B27" s="465" t="n">
        <x:f>IF(ISNUMBER('Data'!B59),'Data'!B59,NA())</x:f>
        <x:v>3</x:v>
      </x:c>
      <x:c r="C27" s="376"/>
      <x:c r="D27" s="395" t="str">
        <x:v>3.0x, contract-defined. Current covenant headroom Unavailable.</x:v>
      </x:c>
      <x:c r="E27" s="383"/>
      <x:c r="F27" s="384"/>
    </x:row>
    <x:row r="28" ht="24" customHeight="1">
      <x:c r="A28" s="379"/>
      <x:c r="B28" s="424"/>
      <x:c r="C28" s="376"/>
      <x:c r="D28" s="383"/>
      <x:c r="E28" s="383"/>
      <x:c r="F28" s="384"/>
    </x:row>
    <x:row r="29" ht="24" customHeight="1">
      <x:c r="A29" s="408" t="str">
        <x:v>The May borrowing schedule is historical. August 31 principal by instrument starts at row 35; commercial paper is Unavailable.</x:v>
      </x:c>
      <x:c r="B29" s="424"/>
      <x:c r="C29" s="376"/>
      <x:c r="D29" s="383"/>
      <x:c r="E29" s="383"/>
      <x:c r="F29" s="384"/>
    </x:row>
    <x:row r="30" ht="24" customHeight="1">
      <x:c r="A30" s="408" t="str">
        <x:v>The $20B gross ATM program was fully used in Q1. It is not unused equity capacity.</x:v>
      </x:c>
      <x:c r="B30" s="424"/>
      <x:c r="C30" s="376"/>
      <x:c r="D30" s="383"/>
      <x:c r="E30" s="383"/>
      <x:c r="F30" s="384"/>
    </x:row>
    <x:row r="31" ht="24" customHeight="1">
      <x:c r="A31" s="408" t="str">
        <x:v>Purchase obligations, unpaid capex and leases may overlap. No aggregate funding requirement is inferred.</x:v>
      </x:c>
      <x:c r="B31" s="424"/>
      <x:c r="C31" s="376"/>
      <x:c r="D31" s="383"/>
      <x:c r="E31" s="383"/>
      <x:c r="F31" s="384"/>
    </x:row>
    <x:row r="32" ht="24" customHeight="1">
      <x:c r="A32" s="466"/>
      <x:c r="B32" s="424"/>
      <x:c r="C32" s="376"/>
      <x:c r="D32" s="383"/>
      <x:c r="E32" s="383"/>
      <x:c r="F32" s="384"/>
    </x:row>
    <x:row r="33" ht="42" customHeight="1">
      <x:c r="A33" s="461" t="str">
        <x:v>Unpaid capex, noncash disclosure</x:v>
      </x:c>
      <x:c r="B33" s="467" t="n">
        <x:f>IF(ISNUMBER('Data'!B18),'Data'!B18,NA())</x:f>
        <x:v>6247000000</x:v>
      </x:c>
      <x:c r="C33" s="376"/>
      <x:c r="D33" s="395" t="str">
        <x:v>Payment dates and overlap with purchase obligations are Unavailable.</x:v>
      </x:c>
      <x:c r="E33" s="383"/>
      <x:c r="F33" s="384"/>
    </x:row>
    <x:row r="35" ht="24" customHeight="1">
      <x:c r="A35" s="468" t="str">
        <x:v>August 31, 2026 borrowing principal by instrument</x:v>
      </x:c>
    </x:row>
    <x:row r="36" ht="54" customHeight="1">
      <x:c r="A36" s="39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469" t="str">
        <x:v>Due September 2026–August 2027</x:v>
      </x:c>
      <x:c r="B38" s="470" t="str">
        <x:v>Due date</x:v>
      </x:c>
      <x:c r="C38" s="470" t="str">
        <x:v>Principal (USD millions)</x:v>
      </x:c>
      <x:c r="D38" s="470" t="str">
        <x:v>Basis</x:v>
      </x:c>
    </x:row>
    <x:row r="39" ht="18" customHeight="1">
      <x:c r="A39" s="378" t="str">
        <x:v>Term loan, scheduled installment (2.50% of the amount borrowed)</x:v>
      </x:c>
      <x:c r="B39" s="471" t="d">
        <x:v>2026-09-30T00:00:00.000Z</x:v>
      </x:c>
      <x:c r="C39" s="472" t="n">
        <x:f>C86</x:f>
        <x:v>140750000</x:v>
      </x:c>
      <x:c r="D39" s="395" t="str">
        <x:v>Contract installment, calculated; not separately reported.</x:v>
      </x:c>
    </x:row>
    <x:row r="40" ht="18" customHeight="1">
      <x:c r="A40" s="378" t="str">
        <x:v>Term loan, scheduled installment (2.50% of the amount borrowed)</x:v>
      </x:c>
      <x:c r="B40" s="471" t="d">
        <x:v>2026-12-31T00:00:00.000Z</x:v>
      </x:c>
      <x:c r="C40" s="472" t="n">
        <x:f>C87</x:f>
        <x:v>140750000</x:v>
      </x:c>
      <x:c r="D40" s="395" t="str">
        <x:v>Contract installment, calculated; not separately reported.</x:v>
      </x:c>
    </x:row>
    <x:row r="41" ht="18" customHeight="1">
      <x:c r="A41" s="378" t="str">
        <x:v>Term loan, scheduled installment (2.50% of the amount borrowed)</x:v>
      </x:c>
      <x:c r="B41" s="471" t="d">
        <x:v>2027-03-31T00:00:00.000Z</x:v>
      </x:c>
      <x:c r="C41" s="472" t="n">
        <x:f>C88</x:f>
        <x:v>140750000</x:v>
      </x:c>
      <x:c r="D41" s="395" t="str">
        <x:v>Contract installment, calculated; not separately reported.</x:v>
      </x:c>
    </x:row>
    <x:row r="42" ht="18" customHeight="1">
      <x:c r="A42" s="378" t="str">
        <x:v>$2,250M, 2.80%, due April 2027</x:v>
      </x:c>
      <x:c r="B42" s="471" t="d">
        <x:v>2027-04-01T00:00:00.000Z</x:v>
      </x:c>
      <x:c r="C42" s="472" t="n">
        <x:f>E96</x:f>
        <x:v>2250000000</x:v>
      </x:c>
      <x:c r="D42" s="395" t="str">
        <x:v>Senior note at its stated maturity.</x:v>
      </x:c>
    </x:row>
    <x:row r="43" ht="18" customHeight="1">
      <x:c r="A43" s="378" t="str">
        <x:v>Term loan, scheduled installment (2.50% of the amount borrowed)</x:v>
      </x:c>
      <x:c r="B43" s="471" t="d">
        <x:v>2027-06-30T00:00:00.000Z</x:v>
      </x:c>
      <x:c r="C43" s="472" t="n">
        <x:f>C89</x:f>
        <x:v>140750000</x:v>
      </x:c>
      <x:c r="D43" s="395" t="str">
        <x:v>Contract installment, calculated; not separately reported.</x:v>
      </x:c>
    </x:row>
    <x:row r="44" ht="18" customHeight="1">
      <x:c r="A44" s="378" t="str">
        <x:v>Term loan, remaining principal</x:v>
      </x:c>
      <x:c r="B44" s="471" t="d">
        <x:v>2027-08-16T00:00:00.000Z</x:v>
      </x:c>
      <x:c r="C44" s="472" t="n">
        <x:f>C90</x:f>
        <x:v>4504000000</x:v>
      </x:c>
      <x:c r="D44" s="395" t="str">
        <x:v>Calculated remainder. Oracle may extend the date by up to 2 years.</x:v>
      </x:c>
    </x:row>
    <x:row r="45" ht="18" customHeight="1">
      <x:c r="A45" s="378" t="str">
        <x:v>Commercial paper</x:v>
      </x:c>
      <x:c r="D45" s="395" t="str">
        <x:v>Unavailable: August 31 balance and maturity dates are not reported.</x:v>
      </x:c>
    </x:row>
    <x:row r="46" ht="18" customHeight="1">
      <x:c r="A46" s="473" t="str">
        <x:v>Next twelve months, excluding commercial paper</x:v>
      </x:c>
      <x:c r="C46" s="474" t="n">
        <x:f>SUM(C39:C44)</x:f>
        <x:v>7317000000</x:v>
      </x:c>
    </x:row>
    <x:row r="48" ht="30" customHeight="1">
      <x:c r="A48" s="469" t="str">
        <x:v>Fiscal year</x:v>
      </x:c>
      <x:c r="B48" s="470" t="str">
        <x:v>From</x:v>
      </x:c>
      <x:c r="C48" s="470" t="str">
        <x:v>Principal (USD millions)</x:v>
      </x:c>
      <x:c r="D48" s="470" t="str">
        <x:v>Through</x:v>
      </x:c>
      <x:c r="E48" s="469" t="str">
        <x:v>FY2032 onward, by decade</x:v>
      </x:c>
      <x:c r="F48" s="470" t="str">
        <x:v>Principal (USD millions)</x:v>
      </x:c>
    </x:row>
    <x:row r="49" ht="18" customHeight="1">
      <x:c r="A49" s="378" t="str">
        <x:v>Remainder FY2027</x:v>
      </x:c>
      <x:c r="B49" s="471" t="d">
        <x:v>2026-09-01T00:00:00.000Z</x:v>
      </x:c>
      <x:c r="C49" s="472" t="n">
        <x:f>SUMIFS($E$95:$E$152,$B$95:$B$152,"&gt;="&amp;B49,$B$95:$B$152,"&lt;="&amp;D49,$F$95:$F$152,"&lt;&gt;Term loan")+SUMIFS($C$78:$C$90,$B$78:$B$90,"&gt;="&amp;B49,$B$78:$B$90,"&lt;="&amp;D49)</x:f>
        <x:v>2672250000</x:v>
      </x:c>
      <x:c r="D49" s="471" t="d">
        <x:v>2027-05-31T00:00:00.000Z</x:v>
      </x:c>
      <x:c r="E49" s="378" t="str">
        <x:v>FY2032–36</x:v>
      </x:c>
      <x:c r="F49" s="472" t="n">
        <x:f>SUMIFS($E$95:$E$152,$B$95:$B$152,"&gt;="&amp;DATE(2031,6,1),$B$95:$B$152,"&lt;="&amp;DATE(2036,5,31),$F$95:$F$152,"&lt;&gt;Term loan")</x:f>
        <x:v>26500000000</x:v>
      </x:c>
    </x:row>
    <x:row r="50" ht="18" customHeight="1">
      <x:c r="A50" s="378" t="str">
        <x:v>FY2028</x:v>
      </x:c>
      <x:c r="B50" s="471" t="d">
        <x:v>2027-06-01T00:00:00.000Z</x:v>
      </x:c>
      <x:c r="C50" s="472" t="n">
        <x:f>SUMIFS($E$95:$E$152,$B$95:$B$152,"&gt;="&amp;B50,$B$95:$B$152,"&lt;="&amp;D50,$F$95:$F$152,"&lt;&gt;Term loan")+SUMIFS($C$78:$C$90,$B$78:$B$90,"&gt;="&amp;B50,$B$78:$B$90,"&lt;="&amp;D50)</x:f>
        <x:v>10144750000</x:v>
      </x:c>
      <x:c r="D50" s="471" t="d">
        <x:v>2028-05-31T00:00:00.000Z</x:v>
      </x:c>
      <x:c r="E50" s="378" t="str">
        <x:v>FY2037–46</x:v>
      </x:c>
      <x:c r="F50" s="472" t="n">
        <x:f>SUMIFS($E$95:$E$152,$B$95:$B$152,"&gt;="&amp;DATE(2036,6,1),$B$95:$B$152,"&lt;="&amp;DATE(2046,5,31),$F$95:$F$152,"&lt;&gt;Term loan")</x:f>
        <x:v>20750000000</x:v>
      </x:c>
    </x:row>
    <x:row r="51" ht="18" customHeight="1">
      <x:c r="A51" s="378" t="str">
        <x:v>FY2029</x:v>
      </x:c>
      <x:c r="B51" s="471" t="d">
        <x:v>2028-06-01T00:00:00.000Z</x:v>
      </x:c>
      <x:c r="C51" s="472" t="n">
        <x:f>SUMIFS($E$95:$E$152,$B$95:$B$152,"&gt;="&amp;B51,$B$95:$B$152,"&lt;="&amp;D51,$F$95:$F$152,"&lt;&gt;Term loan")+SUMIFS($C$78:$C$90,$B$78:$B$90,"&gt;="&amp;B51,$B$78:$B$90,"&lt;="&amp;D51)</x:f>
        <x:v>5500000000</x:v>
      </x:c>
      <x:c r="D51" s="471" t="d">
        <x:v>2029-05-31T00:00:00.000Z</x:v>
      </x:c>
      <x:c r="E51" s="378" t="str">
        <x:v>FY2047–56</x:v>
      </x:c>
      <x:c r="F51" s="472" t="n">
        <x:f>SUMIFS($E$95:$E$152,$B$95:$B$152,"&gt;="&amp;DATE(2046,6,1),$B$95:$B$152,"&lt;="&amp;DATE(2056,5,31),$F$95:$F$152,"&lt;&gt;Term loan")</x:f>
        <x:v>31000000000</x:v>
      </x:c>
    </x:row>
    <x:row r="52" ht="18" customHeight="1">
      <x:c r="A52" s="378" t="str">
        <x:v>FY2030</x:v>
      </x:c>
      <x:c r="B52" s="471" t="d">
        <x:v>2029-06-01T00:00:00.000Z</x:v>
      </x:c>
      <x:c r="C52" s="472" t="n">
        <x:f>SUMIFS($E$95:$E$152,$B$95:$B$152,"&gt;="&amp;B52,$B$95:$B$152,"&lt;="&amp;D52,$F$95:$F$152,"&lt;&gt;Term loan")+SUMIFS($C$78:$C$90,$B$78:$B$90,"&gt;="&amp;B52,$B$78:$B$90,"&lt;="&amp;D52)</x:f>
        <x:v>7250000000</x:v>
      </x:c>
      <x:c r="D52" s="471" t="d">
        <x:v>2030-05-31T00:00:00.000Z</x:v>
      </x:c>
      <x:c r="E52" s="378" t="str">
        <x:v>FY2057–66</x:v>
      </x:c>
      <x:c r="F52" s="472" t="n">
        <x:f>SUMIFS($E$95:$E$152,$B$95:$B$152,"&gt;="&amp;DATE(2056,6,1),$B$95:$B$152,"&lt;="&amp;DATE(2066,5,31),$F$95:$F$152,"&lt;&gt;Term loan")</x:f>
        <x:v>12000000000</x:v>
      </x:c>
    </x:row>
    <x:row r="53" ht="18" customHeight="1">
      <x:c r="A53" s="378" t="str">
        <x:v>FY2031</x:v>
      </x:c>
      <x:c r="B53" s="471" t="d">
        <x:v>2030-06-01T00:00:00.000Z</x:v>
      </x:c>
      <x:c r="C53" s="472" t="n">
        <x:f>SUMIFS($E$95:$E$152,$B$95:$B$152,"&gt;="&amp;B53,$B$95:$B$152,"&lt;="&amp;D53,$F$95:$F$152,"&lt;&gt;Term loan")+SUMIFS($C$78:$C$90,$B$78:$B$90,"&gt;="&amp;B53,$B$78:$B$90,"&lt;="&amp;D53)</x:f>
        <x:v>9750000000</x:v>
      </x:c>
      <x:c r="D53" s="471" t="d">
        <x:v>2031-05-31T00:00:00.000Z</x:v>
      </x:c>
      <x:c r="E53" s="473" t="str">
        <x:v>Sum of decades</x:v>
      </x:c>
      <x:c r="F53" s="474" t="n">
        <x:f>SUM(F49:F52)</x:f>
        <x:v>90250000000</x:v>
      </x:c>
    </x:row>
    <x:row r="54" ht="18" customHeight="1">
      <x:c r="A54" s="378" t="str">
        <x:v>Thereafter</x:v>
      </x:c>
      <x:c r="B54" s="471" t="d">
        <x:v>2031-06-01T00:00:00.000Z</x:v>
      </x:c>
      <x:c r="C54" s="472" t="n">
        <x:f>SUMIFS($E$95:$E$152,$B$95:$B$152,"&gt;="&amp;B54,$F$95:$F$152,"&lt;&gt;Term loan")+SUMIFS($C$78:$C$90,$B$78:$B$90,"&gt;="&amp;B54)</x:f>
        <x:v>90250000000</x:v>
      </x:c>
      <x:c r="D54" s="411" t="str">
        <x:v>Final maturity</x:v>
      </x:c>
      <x:c r="E54" s="378" t="str">
        <x:v>Less Thereafter (C54); should be 0</x:v>
      </x:c>
      <x:c r="F54" s="472" t="n">
        <x:f>F53-C54</x:f>
        <x:v>0</x:v>
      </x:c>
    </x:row>
    <x:row r="55" ht="18" customHeight="1">
      <x:c r="A55" s="473" t="str">
        <x:v>Total, excluding commercial paper</x:v>
      </x:c>
      <x:c r="C55" s="474" t="n">
        <x:f>SUM(C49:C54)</x:f>
        <x:v>125567000000</x:v>
      </x:c>
    </x:row>
    <x:row r="57" ht="30" customHeight="1">
      <x:c r="A57" s="469" t="str">
        <x:v>Principal versus carrying value</x:v>
      </x:c>
      <x:c r="C57" s="470" t="str">
        <x:v>USD millions</x:v>
      </x:c>
      <x:c r="D57" s="470" t="str">
        <x:v>Basis</x:v>
      </x:c>
    </x:row>
    <x:row r="58" ht="30" customHeight="1">
      <x:c r="A58" s="378" t="str">
        <x:v>Senior-note and term-loan principal at August 31</x:v>
      </x:c>
      <x:c r="C58" s="472" t="n">
        <x:f>C55</x:f>
        <x:v>125567000000</x:v>
      </x:c>
      <x:c r="D58" s="395" t="str">
        <x:v>Sum of the calendar above.</x:v>
      </x:c>
    </x:row>
    <x:row r="59" ht="30" customHeight="1">
      <x:c r="A59" s="378" t="str">
        <x:v>Long-term borrowing at carrying value, as tagged</x:v>
      </x:c>
      <x:c r="C59" s="475" t="n">
        <x:v>125000000000</x:v>
      </x:c>
      <x:c r="D59" s="395" t="str">
        <x:v>10-Q Note 2, p. 9: $125.0B, decimals -8 (nearest $100M). us-gaap:DebtInstrumentCarryingAmount, senior notes and other long-term borrowings.</x:v>
      </x:c>
    </x:row>
    <x:row r="60" ht="30" customHeight="1">
      <x:c r="A60" s="378" t="str">
        <x:v>Implied unamortized discount and issuance costs, low</x:v>
      </x:c>
      <x:c r="C60" s="472" t="n">
        <x:f>C58-(C59+50000000)</x:f>
        <x:v>517000000</x:v>
      </x:c>
      <x:c r="D60" s="395" t="str">
        <x:v>Not reported at August 31. Rounding of the tagged figure gives a range.</x:v>
      </x:c>
    </x:row>
    <x:row r="61" ht="18" customHeight="1">
      <x:c r="A61" s="378" t="str">
        <x:v>Implied unamortized discount and issuance costs, high</x:v>
      </x:c>
      <x:c r="C61" s="472" t="n">
        <x:f>C58-(C59-50000000)</x:f>
        <x:v>617000000</x:v>
      </x:c>
    </x:row>
    <x:row r="62" ht="30" customHeight="1">
      <x:c r="A62" s="378" t="str">
        <x:v>Unamortized discount and issuance costs at May 31</x:v>
      </x:c>
      <x:c r="C62" s="475" t="n">
        <x:v>564000000</x:v>
      </x:c>
      <x:c r="D62" s="395" t="str">
        <x:v>10-K Note 6, p. 84. It falls as costs amortize; no new issuance in the quarter.</x:v>
      </x:c>
    </x:row>
    <x:row r="63" ht="30" customHeight="1">
      <x:c r="A63" s="378" t="str">
        <x:v>Current borrowing at carrying value</x:v>
      </x:c>
      <x:c r="C63" s="475" t="n">
        <x:v>7625000000</x:v>
      </x:c>
      <x:c r="D63" s="395" t="str">
        <x:v>10-Q balance sheet, p. 1.</x:v>
      </x:c>
    </x:row>
    <x:row r="64" ht="30" customHeight="1">
      <x:c r="A64" s="378" t="str">
        <x:v>Noncurrent borrowing at carrying value</x:v>
      </x:c>
      <x:c r="C64" s="475" t="n">
        <x:v>117712000000</x:v>
      </x:c>
      <x:c r="D64" s="395" t="str">
        <x:v>10-Q balance sheet, p. 1.</x:v>
      </x:c>
    </x:row>
    <x:row r="65" ht="18" customHeight="1">
      <x:c r="A65" s="378" t="str">
        <x:v>Total borrowing at carrying value</x:v>
      </x:c>
      <x:c r="C65" s="472" t="n">
        <x:f>C63+C64</x:f>
        <x:v>125337000000</x:v>
      </x:c>
    </x:row>
    <x:row r="66" ht="30" customHeight="1">
      <x:c r="A66" s="378" t="str">
        <x:v>Commercial paper implied, low</x:v>
      </x:c>
      <x:c r="C66" s="472" t="n">
        <x:f>C65-(C59+50000000)</x:f>
        <x:v>287000000</x:v>
      </x:c>
      <x:c r="D66" s="395" t="str">
        <x:v>Total carrying less the rounded long-term figure. A range, so the balance stays Unavailable.</x:v>
      </x:c>
    </x:row>
    <x:row r="67" ht="18" customHeight="1">
      <x:c r="A67" s="378" t="str">
        <x:v>Commercial paper implied, high</x:v>
      </x:c>
      <x:c r="C67" s="472" t="n">
        <x:f>C65-(C59-50000000)</x:f>
        <x:v>387000000</x:v>
      </x:c>
    </x:row>
    <x:row r="68" ht="30" customHeight="1">
      <x:c r="A68" s="378" t="str">
        <x:v>Grouped June–August repayments</x:v>
      </x:c>
      <x:c r="C68" s="475" t="n">
        <x:v>4202000000</x:v>
      </x:c>
      <x:c r="D68" s="395" t="str">
        <x:v>10-Q cash flows, p. 5: senior notes, term loan and other borrowings. Not assigned to instruments.</x:v>
      </x:c>
    </x:row>
    <x:row r="69" ht="30" customHeight="1">
      <x:c r="A69" s="378" t="str">
        <x:v>Scheduled principal due June–August</x:v>
      </x:c>
      <x:c r="C69" s="472" t="n">
        <x:f>C95+C85</x:f>
        <x:v>3070375000</x:v>
      </x:c>
      <x:c r="D69" s="395" t="str">
        <x:v>July 15, 2026 notes plus the June 30 term-loan installment. MD&amp;A: about $3.1B of scheduled repayments.</x:v>
      </x:c>
    </x:row>
    <x:row r="70" ht="30" customHeight="1">
      <x:c r="A70" s="378" t="str">
        <x:v>Grouped repayments less scheduled principal</x:v>
      </x:c>
      <x:c r="C70" s="472" t="n">
        <x:f>C68-C69</x:f>
        <x:v>1131625000</x:v>
      </x:c>
      <x:c r="D70" s="395" t="str">
        <x:v>MD&amp;A describes about $1.1B of commercial-paper repayment; the commercial-paper row is zero. Not subtracted.</x:v>
      </x:c>
    </x:row>
    <x:row r="71" ht="30" customHeight="1">
      <x:c r="A71" s="378" t="str">
        <x:v>Instrument principal at May 31</x:v>
      </x:c>
      <x:c r="C71" s="472" t="n">
        <x:f>SUM(C95:C152)</x:f>
        <x:v>130105000000</x:v>
      </x:c>
      <x:c r="D71" s="395" t="str">
        <x:v>Sum of the instrument table.</x:v>
      </x:c>
    </x:row>
    <x:row r="72" ht="30" customHeight="1">
      <x:c r="A72" s="378" t="str">
        <x:v>Reported principal total at May 31</x:v>
      </x:c>
      <x:c r="C72" s="475" t="n">
        <x:v>130105000000</x:v>
      </x:c>
      <x:c r="D72" s="395" t="str">
        <x:v>10-K Note 6, p. 84; us-gaap:DebtInstrumentCarryingAmount, undimensioned.</x:v>
      </x:c>
    </x:row>
    <x:row r="73" ht="18" customHeight="1">
      <x:c r="A73" s="473" t="str">
        <x:v>Difference</x:v>
      </x:c>
      <x:c r="C73" s="474" t="n">
        <x:f>C71-C72</x:f>
        <x:v>0</x:v>
      </x:c>
    </x:row>
    <x:row r="76" ht="18" customHeight="1">
      <x:c r="A76" s="469" t="str">
        <x:v>Term loan: amortization from the stated terms (10-K Note 6, pp. 85–86)</x:v>
      </x:c>
      <x:c r="B76" s="470" t="str">
        <x:v>Date</x:v>
      </x:c>
      <x:c r="C76" s="470" t="str">
        <x:v>USD millions</x:v>
      </x:c>
      <x:c r="D76" s="470" t="str">
        <x:v>Basis</x:v>
      </x:c>
    </x:row>
    <x:row r="77" ht="18" customHeight="1">
      <x:c r="A77" s="378" t="str">
        <x:v>Amount borrowed</x:v>
      </x:c>
      <x:c r="C77" s="475" t="n">
        <x:v>5630000000</x:v>
      </x:c>
      <x:c r="D77" s="395" t="str">
        <x:v>us-gaap:DebtInstrumentFaceAmount, term loan member, May 31, 2026. Assumes no prepayment.</x:v>
      </x:c>
    </x:row>
    <x:row r="78" ht="18" customHeight="1">
      <x:c r="A78" s="378" t="str">
        <x:v>Installment, paid</x:v>
      </x:c>
      <x:c r="B78" s="471" t="d">
        <x:v>2024-09-30T00:00:00.000Z</x:v>
      </x:c>
      <x:c r="C78" s="472" t="n">
        <x:f>ROUND($C$77*0.0125,0)</x:f>
        <x:v>70375000</x:v>
      </x:c>
      <x:c r="D78" s="395" t="str">
        <x:v>1.25% of the amount borrowed</x:v>
      </x:c>
    </x:row>
    <x:row r="79" ht="18" customHeight="1">
      <x:c r="A79" s="378" t="str">
        <x:v>Installment, paid</x:v>
      </x:c>
      <x:c r="B79" s="471" t="d">
        <x:v>2024-12-31T00:00:00.000Z</x:v>
      </x:c>
      <x:c r="C79" s="472" t="n">
        <x:f>ROUND($C$77*0.0125,0)</x:f>
        <x:v>70375000</x:v>
      </x:c>
      <x:c r="D79" s="395" t="str">
        <x:v>1.25% of the amount borrowed</x:v>
      </x:c>
    </x:row>
    <x:row r="80" ht="18" customHeight="1">
      <x:c r="A80" s="378" t="str">
        <x:v>Installment, paid</x:v>
      </x:c>
      <x:c r="B80" s="471" t="d">
        <x:v>2025-03-31T00:00:00.000Z</x:v>
      </x:c>
      <x:c r="C80" s="472" t="n">
        <x:f>ROUND($C$77*0.0125,0)</x:f>
        <x:v>70375000</x:v>
      </x:c>
      <x:c r="D80" s="395" t="str">
        <x:v>1.25% of the amount borrowed</x:v>
      </x:c>
    </x:row>
    <x:row r="81" ht="18" customHeight="1">
      <x:c r="A81" s="378" t="str">
        <x:v>Installment, paid</x:v>
      </x:c>
      <x:c r="B81" s="471" t="d">
        <x:v>2025-06-30T00:00:00.000Z</x:v>
      </x:c>
      <x:c r="C81" s="472" t="n">
        <x:f>ROUND($C$77*0.0125,0)</x:f>
        <x:v>70375000</x:v>
      </x:c>
      <x:c r="D81" s="395" t="str">
        <x:v>1.25% of the amount borrowed</x:v>
      </x:c>
    </x:row>
    <x:row r="82" ht="18" customHeight="1">
      <x:c r="A82" s="378" t="str">
        <x:v>Installment, paid</x:v>
      </x:c>
      <x:c r="B82" s="471" t="d">
        <x:v>2025-09-30T00:00:00.000Z</x:v>
      </x:c>
      <x:c r="C82" s="472" t="n">
        <x:f>ROUND($C$77*0.0125,0)</x:f>
        <x:v>70375000</x:v>
      </x:c>
      <x:c r="D82" s="395" t="str">
        <x:v>1.25% of the amount borrowed</x:v>
      </x:c>
    </x:row>
    <x:row r="83" ht="18" customHeight="1">
      <x:c r="A83" s="378" t="str">
        <x:v>Installment, paid</x:v>
      </x:c>
      <x:c r="B83" s="471" t="d">
        <x:v>2025-12-31T00:00:00.000Z</x:v>
      </x:c>
      <x:c r="C83" s="472" t="n">
        <x:f>ROUND($C$77*0.0125,0)</x:f>
        <x:v>70375000</x:v>
      </x:c>
      <x:c r="D83" s="395" t="str">
        <x:v>1.25% of the amount borrowed</x:v>
      </x:c>
    </x:row>
    <x:row r="84" ht="18" customHeight="1">
      <x:c r="A84" s="378" t="str">
        <x:v>Installment, paid</x:v>
      </x:c>
      <x:c r="B84" s="471" t="d">
        <x:v>2026-03-31T00:00:00.000Z</x:v>
      </x:c>
      <x:c r="C84" s="472" t="n">
        <x:f>ROUND($C$77*0.0125,0)</x:f>
        <x:v>70375000</x:v>
      </x:c>
      <x:c r="D84" s="395" t="str">
        <x:v>1.25% of the amount borrowed</x:v>
      </x:c>
    </x:row>
    <x:row r="85" ht="18" customHeight="1">
      <x:c r="A85" s="378" t="str">
        <x:v>Installment, June–August</x:v>
      </x:c>
      <x:c r="B85" s="471" t="d">
        <x:v>2026-06-30T00:00:00.000Z</x:v>
      </x:c>
      <x:c r="C85" s="472" t="n">
        <x:f>ROUND($C$77*0.0125,0)</x:f>
        <x:v>70375000</x:v>
      </x:c>
      <x:c r="D85" s="395" t="str">
        <x:v>1.25% of the amount borrowed</x:v>
      </x:c>
    </x:row>
    <x:row r="86" ht="18" customHeight="1">
      <x:c r="A86" s="378" t="str">
        <x:v>Installment, scheduled</x:v>
      </x:c>
      <x:c r="B86" s="471" t="d">
        <x:v>2026-09-30T00:00:00.000Z</x:v>
      </x:c>
      <x:c r="C86" s="472" t="n">
        <x:f>ROUND($C$77*0.025,0)</x:f>
        <x:v>140750000</x:v>
      </x:c>
      <x:c r="D86" s="395" t="str">
        <x:v>2.50% of the amount borrowed</x:v>
      </x:c>
    </x:row>
    <x:row r="87" ht="18" customHeight="1">
      <x:c r="A87" s="378" t="str">
        <x:v>Installment, scheduled</x:v>
      </x:c>
      <x:c r="B87" s="471" t="d">
        <x:v>2026-12-31T00:00:00.000Z</x:v>
      </x:c>
      <x:c r="C87" s="472" t="n">
        <x:f>ROUND($C$77*0.025,0)</x:f>
        <x:v>140750000</x:v>
      </x:c>
      <x:c r="D87" s="395" t="str">
        <x:v>2.50% of the amount borrowed</x:v>
      </x:c>
    </x:row>
    <x:row r="88" ht="18" customHeight="1">
      <x:c r="A88" s="378" t="str">
        <x:v>Installment, scheduled</x:v>
      </x:c>
      <x:c r="B88" s="471" t="d">
        <x:v>2027-03-31T00:00:00.000Z</x:v>
      </x:c>
      <x:c r="C88" s="472" t="n">
        <x:f>ROUND($C$77*0.025,0)</x:f>
        <x:v>140750000</x:v>
      </x:c>
      <x:c r="D88" s="395" t="str">
        <x:v>2.50% of the amount borrowed</x:v>
      </x:c>
    </x:row>
    <x:row r="89" ht="18" customHeight="1">
      <x:c r="A89" s="378" t="str">
        <x:v>Installment, scheduled</x:v>
      </x:c>
      <x:c r="B89" s="471" t="d">
        <x:v>2027-06-30T00:00:00.000Z</x:v>
      </x:c>
      <x:c r="C89" s="472" t="n">
        <x:f>ROUND($C$77*0.025,0)</x:f>
        <x:v>140750000</x:v>
      </x:c>
      <x:c r="D89" s="395" t="str">
        <x:v>2.50% of the amount borrowed</x:v>
      </x:c>
    </x:row>
    <x:row r="90" ht="18" customHeight="1">
      <x:c r="A90" s="378" t="str">
        <x:v>Remaining principal</x:v>
      </x:c>
      <x:c r="B90" s="471" t="d">
        <x:v>2027-08-16T00:00:00.000Z</x:v>
      </x:c>
      <x:c r="C90" s="472" t="n">
        <x:f>C77-SUM(C78:C89)</x:f>
        <x:v>4504000000</x:v>
      </x:c>
      <x:c r="D90" s="395" t="str">
        <x:v>Due August 16, 2027 unless Oracle extends it (up to 2 years at its option).</x:v>
      </x:c>
    </x:row>
    <x:row r="91" ht="18" customHeight="1">
      <x:c r="A91" s="473" t="str">
        <x:v>Principal outstanding at August 31, 2026</x:v>
      </x:c>
      <x:c r="C91" s="474" t="n">
        <x:f>C77-SUMIFS(C78:C89,B78:B89,"&lt;="&amp;DATE(2026,8,31))</x:f>
        <x:v>5067000000</x:v>
      </x:c>
    </x:row>
    <x:row r="92" ht="18" customHeight="1">
      <x:c r="A92" s="378" t="str">
        <x:v>Check: calculated May 31, 2026 balance less reported 5,137M</x:v>
      </x:c>
      <x:c r="C92" s="472" t="n">
        <x:f>C77-SUMIFS(C78:C89,B78:B89,"&lt;="&amp;DATE(2026,5,31))-5137000000</x:f>
        <x:v>375000</x:v>
      </x:c>
      <x:c r="D92" s="395" t="str">
        <x:v>Reported to the nearest million; a difference under 0.5M agrees.</x:v>
      </x:c>
    </x:row>
    <x:row r="94" ht="42" customHeight="1">
      <x:c r="A94" s="469" t="str">
        <x:v>Instrument (10-K debt table)</x:v>
      </x:c>
      <x:c r="B94" s="470" t="str">
        <x:v>Maturity</x:v>
      </x:c>
      <x:c r="C94" s="470" t="str">
        <x:v>May 31, 2026 principal (USD millions)</x:v>
      </x:c>
      <x:c r="D94" s="470" t="str">
        <x:v>Status and source</x:v>
      </x:c>
      <x:c r="E94" s="470" t="str">
        <x:v>August 31, 2026 principal (USD millions)</x:v>
      </x:c>
      <x:c r="F94" s="476" t="str">
        <x:v>Kind</x:v>
      </x:c>
    </x:row>
    <x:row r="95" ht="42" customHeight="1">
      <x:c r="A95" s="378" t="str">
        <x:v>$3,000M, 2.65%, due July 2026</x:v>
      </x:c>
      <x:c r="B95" s="471" t="d">
        <x:v>2026-07-15T00:00:00.000Z</x:v>
      </x:c>
      <x:c r="C95" s="475" t="n">
        <x:v>3000000000</x:v>
      </x:c>
      <x:c r="D95" s="395" t="str">
        <x:v>Matured. us-gaap:DebtInstrumentCarryingAmount context C_f6f6c107-8a12-4a7a-ad60-94e54101fe3c; maturity context C_82c89223-0cbb-481e-84b9-48f80a5082f5; 0001193125-26-277521.</x:v>
      </x:c>
      <x:c r="E95" s="472" t="n">
        <x:f>C95-C95</x:f>
        <x:v>0</x:v>
      </x:c>
      <x:c r="F95" s="477" t="str">
        <x:v>Senior notes</x:v>
      </x:c>
    </x:row>
    <x:row r="96" ht="42" customHeight="1">
      <x:c r="A96" s="378" t="str">
        <x:v>$2,250M, 2.80%, due April 2027</x:v>
      </x:c>
      <x:c r="B96" s="471" t="d">
        <x:v>2027-04-01T00:00:00.000Z</x:v>
      </x:c>
      <x:c r="C96" s="475" t="n">
        <x:v>2250000000</x:v>
      </x:c>
      <x:c r="D96" s="395" t="str">
        <x:v>Carried forward. us-gaap:DebtInstrumentCarryingAmount context C_a743ec6f-8eeb-46ab-9053-3f4f619edb0e; maturity context C_4ed1ffae-e627-4ff0-9e73-62f4d4831289; 0001193125-26-277521.</x:v>
      </x:c>
      <x:c r="E96" s="472" t="n">
        <x:f>C96</x:f>
        <x:v>2250000000</x:v>
      </x:c>
      <x:c r="F96" s="477" t="str">
        <x:v>Senior notes</x:v>
      </x:c>
    </x:row>
    <x:row r="97" ht="42" customHeight="1">
      <x:c r="A97" s="378" t="str">
        <x:v>$2,750M, 3.25%, due November 2027</x:v>
      </x:c>
      <x:c r="B97" s="471" t="d">
        <x:v>2027-11-15T00:00:00.000Z</x:v>
      </x:c>
      <x:c r="C97" s="475" t="n">
        <x:v>2750000000</x:v>
      </x:c>
      <x:c r="D97" s="395" t="str">
        <x:v>Carried forward. us-gaap:DebtInstrumentCarryingAmount context C_4c58a11e-87b8-42bf-abc3-7205aad3686f; maturity context C_1c95f548-9457-4d15-a314-5846d57f51bb; 0001193125-26-277521.</x:v>
      </x:c>
      <x:c r="E97" s="472" t="n">
        <x:f>C97</x:f>
        <x:v>2750000000</x:v>
      </x:c>
      <x:c r="F97" s="477" t="str">
        <x:v>Senior notes</x:v>
      </x:c>
    </x:row>
    <x:row r="98" ht="42" customHeight="1">
      <x:c r="A98" s="378" t="str">
        <x:v>$2,000M, 2.30%, due March 2028</x:v>
      </x:c>
      <x:c r="B98" s="471" t="d">
        <x:v>2028-03-25T00:00:00.000Z</x:v>
      </x:c>
      <x:c r="C98" s="475" t="n">
        <x:v>2000000000</x:v>
      </x:c>
      <x:c r="D98" s="395" t="str">
        <x:v>Carried forward. us-gaap:DebtInstrumentCarryingAmount context C_4a760de7-ba70-4c1c-ac7b-173b0770c81c; maturity context C_41995800-b301-4bca-aa8e-d3d7891b9a21; 0001193125-26-277521.</x:v>
      </x:c>
      <x:c r="E98" s="472" t="n">
        <x:f>C98</x:f>
        <x:v>2000000000</x:v>
      </x:c>
      <x:c r="F98" s="477" t="str">
        <x:v>Senior notes</x:v>
      </x:c>
    </x:row>
    <x:row r="99" ht="42" customHeight="1">
      <x:c r="A99" s="378" t="str">
        <x:v>$750M, 4.50%, due May 2028</x:v>
      </x:c>
      <x:c r="B99" s="471" t="d">
        <x:v>2028-05-31T00:00:00.000Z</x:v>
      </x:c>
      <x:c r="C99" s="475" t="n">
        <x:v>750000000</x:v>
      </x:c>
      <x:c r="D99" s="395" t="str">
        <x:v>Carried forward. us-gaap:DebtInstrumentCarryingAmount context C_9142af28-1adb-4c96-b444-3af20bbae4be; maturity context C_ee007d6d-25d3-45c9-b6db-c8e95861832f; 0001193125-26-277521.</x:v>
      </x:c>
      <x:c r="E99" s="472" t="n">
        <x:f>C99</x:f>
        <x:v>750000000</x:v>
      </x:c>
      <x:c r="F99" s="477" t="str">
        <x:v>Senior notes</x:v>
      </x:c>
    </x:row>
    <x:row r="100" ht="42" customHeight="1">
      <x:c r="A100" s="378" t="str">
        <x:v>$1,500M, 4.80%, due August 2028</x:v>
      </x:c>
      <x:c r="B100" s="471" t="d">
        <x:v>2028-08-03T00:00:00.000Z</x:v>
      </x:c>
      <x:c r="C100" s="475" t="n">
        <x:v>1500000000</x:v>
      </x:c>
      <x:c r="D100" s="395" t="str">
        <x:v>Carried forward. us-gaap:DebtInstrumentCarryingAmount context C_6d6ee105-8c7d-4446-b600-b6b3bf8abe98; maturity context C_b0308845-53c8-4e78-84f0-632a05942478; 0001193125-26-277521.</x:v>
      </x:c>
      <x:c r="E100" s="472" t="n">
        <x:f>C100</x:f>
        <x:v>1500000000</x:v>
      </x:c>
      <x:c r="F100" s="477" t="str">
        <x:v>Senior notes</x:v>
      </x:c>
    </x:row>
    <x:row r="101" ht="42" customHeight="1">
      <x:c r="A101" s="378" t="str">
        <x:v>$3,000M, 4.55%, due February 2029</x:v>
      </x:c>
      <x:c r="B101" s="471" t="d">
        <x:v>2029-02-04T00:00:00.000Z</x:v>
      </x:c>
      <x:c r="C101" s="475" t="n">
        <x:v>3000000000</x:v>
      </x:c>
      <x:c r="D101" s="395" t="str">
        <x:v>Carried forward. us-gaap:DebtInstrumentCarryingAmount context C_65c60c9a-dbfb-41bd-abf8-5f20f2aaba3f; maturity context C_60faf990-bab5-4720-a6bb-473674f3409b; 0001193125-26-277521.</x:v>
      </x:c>
      <x:c r="E101" s="472" t="n">
        <x:f>C101</x:f>
        <x:v>3000000000</x:v>
      </x:c>
      <x:c r="F101" s="477" t="str">
        <x:v>Senior notes</x:v>
      </x:c>
    </x:row>
    <x:row r="102" ht="42" customHeight="1">
      <x:c r="A102" s="378" t="str">
        <x:v>$1,500M, 4.20%, due September 2029</x:v>
      </x:c>
      <x:c r="B102" s="471" t="d">
        <x:v>2029-09-27T00:00:00.000Z</x:v>
      </x:c>
      <x:c r="C102" s="475" t="n">
        <x:v>1500000000</x:v>
      </x:c>
      <x:c r="D102" s="395" t="str">
        <x:v>Carried forward. us-gaap:DebtInstrumentCarryingAmount context C_4b945cce-a91e-4713-8804-16879a87ff5b; maturity context C_284f12f2-49cc-4919-9bfe-565b7cb11da3; 0001193125-26-277521.</x:v>
      </x:c>
      <x:c r="E102" s="472" t="n">
        <x:f>C102</x:f>
        <x:v>1500000000</x:v>
      </x:c>
      <x:c r="F102" s="477" t="str">
        <x:v>Senior notes</x:v>
      </x:c>
    </x:row>
    <x:row r="103" ht="42" customHeight="1">
      <x:c r="A103" s="378" t="str">
        <x:v>$1,250M, 6.15%, due November 2029</x:v>
      </x:c>
      <x:c r="B103" s="471" t="d">
        <x:v>2029-11-09T00:00:00.000Z</x:v>
      </x:c>
      <x:c r="C103" s="475" t="n">
        <x:v>1250000000</x:v>
      </x:c>
      <x:c r="D103" s="395" t="str">
        <x:v>Carried forward. us-gaap:DebtInstrumentCarryingAmount context C_8aa7e201-edc6-4920-8256-35f8ee18f4b8; maturity context C_4973fb3e-333f-477a-ba61-72a554e14e74; 0001193125-26-277521.</x:v>
      </x:c>
      <x:c r="E103" s="472" t="n">
        <x:f>C103</x:f>
        <x:v>1250000000</x:v>
      </x:c>
      <x:c r="F103" s="477" t="str">
        <x:v>Senior notes</x:v>
      </x:c>
    </x:row>
    <x:row r="104" ht="42" customHeight="1">
      <x:c r="A104" s="378" t="str">
        <x:v>$3,250M, 2.95%, due April 2030</x:v>
      </x:c>
      <x:c r="B104" s="471" t="d">
        <x:v>2030-04-01T00:00:00.000Z</x:v>
      </x:c>
      <x:c r="C104" s="475" t="n">
        <x:v>3250000000</x:v>
      </x:c>
      <x:c r="D104" s="395" t="str">
        <x:v>Carried forward. us-gaap:DebtInstrumentCarryingAmount context C_b19b50e6-b222-456d-9fea-1bca5e3fb634; maturity context C_e5ce1dde-2e13-478e-abdb-bcf96493f139; 0001193125-26-277521.</x:v>
      </x:c>
      <x:c r="E104" s="472" t="n">
        <x:f>C104</x:f>
        <x:v>3250000000</x:v>
      </x:c>
      <x:c r="F104" s="477" t="str">
        <x:v>Senior notes</x:v>
      </x:c>
    </x:row>
    <x:row r="105" ht="42" customHeight="1">
      <x:c r="A105" s="378" t="str">
        <x:v>$750M, 4.65%, due May 2030</x:v>
      </x:c>
      <x:c r="B105" s="471" t="d">
        <x:v>2030-05-31T00:00:00.000Z</x:v>
      </x:c>
      <x:c r="C105" s="475" t="n">
        <x:v>750000000</x:v>
      </x:c>
      <x:c r="D105" s="395" t="str">
        <x:v>Carried forward. us-gaap:DebtInstrumentCarryingAmount context C_c76136cd-2797-4fef-883c-79d66d5a2837; maturity context C_59ec280a-ba89-4433-a4e5-ee4f403f9184; 0001193125-26-277521.</x:v>
      </x:c>
      <x:c r="E105" s="472" t="n">
        <x:f>C105</x:f>
        <x:v>750000000</x:v>
      </x:c>
      <x:c r="F105" s="477" t="str">
        <x:v>Senior notes</x:v>
      </x:c>
    </x:row>
    <x:row r="106" ht="42" customHeight="1">
      <x:c r="A106" s="378" t="str">
        <x:v>$500M, 3.25%, due May 2030</x:v>
      </x:c>
      <x:c r="B106" s="471" t="d">
        <x:v>2030-05-15T00:00:00.000Z</x:v>
      </x:c>
      <x:c r="C106" s="475" t="n">
        <x:v>500000000</x:v>
      </x:c>
      <x:c r="D106" s="395" t="str">
        <x:v>Carried forward. us-gaap:DebtInstrumentCarryingAmount context C_70c2256f-1f16-4e15-bc5c-53c1fc629421; maturity context C_c0d2d8c5-4432-486a-8154-4b567f4506b1; 0001193125-26-277521.</x:v>
      </x:c>
      <x:c r="E106" s="472" t="n">
        <x:f>C106</x:f>
        <x:v>500000000</x:v>
      </x:c>
      <x:c r="F106" s="477" t="str">
        <x:v>Senior notes</x:v>
      </x:c>
    </x:row>
    <x:row r="107" ht="42" customHeight="1">
      <x:c r="A107" s="378" t="str">
        <x:v>$3,000M, 4.45%, due September 2030</x:v>
      </x:c>
      <x:c r="B107" s="471" t="d">
        <x:v>2030-09-26T00:00:00.000Z</x:v>
      </x:c>
      <x:c r="C107" s="475" t="n">
        <x:v>3000000000</x:v>
      </x:c>
      <x:c r="D107" s="395" t="str">
        <x:v>Carried forward. us-gaap:DebtInstrumentCarryingAmount context C_113e803d-da69-4c22-a39c-a109d7514b35; maturity context C_450fa2a2-ef57-465e-8c9a-60b4dc366c86; 0001193125-26-277521.</x:v>
      </x:c>
      <x:c r="E107" s="472" t="n">
        <x:f>C107</x:f>
        <x:v>3000000000</x:v>
      </x:c>
      <x:c r="F107" s="477" t="str">
        <x:v>Senior notes</x:v>
      </x:c>
    </x:row>
    <x:row r="108" ht="42" customHeight="1">
      <x:c r="A108" s="378" t="str">
        <x:v>$3,500M, 4.95%, due February 2031</x:v>
      </x:c>
      <x:c r="B108" s="471" t="d">
        <x:v>2031-02-04T00:00:00.000Z</x:v>
      </x:c>
      <x:c r="C108" s="475" t="n">
        <x:v>3500000000</x:v>
      </x:c>
      <x:c r="D108" s="395" t="str">
        <x:v>Carried forward. us-gaap:DebtInstrumentCarryingAmount context C_87f6716e-b1b9-4a3d-9ba1-858589593ee3; maturity context C_0929a12e-be9c-4351-bfcf-c9898bf10fa9; 0001193125-26-277521.</x:v>
      </x:c>
      <x:c r="E108" s="472" t="n">
        <x:f>C108</x:f>
        <x:v>3500000000</x:v>
      </x:c>
      <x:c r="F108" s="477" t="str">
        <x:v>Senior notes</x:v>
      </x:c>
    </x:row>
    <x:row r="109" ht="42" customHeight="1">
      <x:c r="A109" s="378" t="str">
        <x:v>$3,250M, 2.875%, due March 2031</x:v>
      </x:c>
      <x:c r="B109" s="471" t="d">
        <x:v>2031-03-31T00:00:00.000Z</x:v>
      </x:c>
      <x:c r="C109" s="475" t="n">
        <x:v>3250000000</x:v>
      </x:c>
      <x:c r="D109" s="395" t="str">
        <x:v>Carried forward. us-gaap:DebtInstrumentCarryingAmount context C_48f76007-8b8f-482c-ae4e-cc2d13f4241b; maturity context C_011cb79f-6e74-4a91-be76-d4061500e549; 0001193125-26-277521.</x:v>
      </x:c>
      <x:c r="E109" s="472" t="n">
        <x:f>C109</x:f>
        <x:v>3250000000</x:v>
      </x:c>
      <x:c r="F109" s="477" t="str">
        <x:v>Senior notes</x:v>
      </x:c>
    </x:row>
    <x:row r="110" ht="42" customHeight="1">
      <x:c r="A110" s="378" t="str">
        <x:v>$1,250M, 5.25%, due February 2032</x:v>
      </x:c>
      <x:c r="B110" s="471" t="d">
        <x:v>2032-02-03T00:00:00.000Z</x:v>
      </x:c>
      <x:c r="C110" s="475" t="n">
        <x:v>1250000000</x:v>
      </x:c>
      <x:c r="D110" s="395" t="str">
        <x:v>Carried forward. us-gaap:DebtInstrumentCarryingAmount context C_e42f7f37-e8c5-46a8-90f7-e218c66724e4; maturity context C_0ee767cf-95d4-47fb-b863-88f4b4296910; 0001193125-26-277521.</x:v>
      </x:c>
      <x:c r="E110" s="472" t="n">
        <x:f>C110</x:f>
        <x:v>1250000000</x:v>
      </x:c>
      <x:c r="F110" s="477" t="str">
        <x:v>Senior notes</x:v>
      </x:c>
    </x:row>
    <x:row r="111" ht="42" customHeight="1">
      <x:c r="A111" s="378" t="str">
        <x:v>$3,000M, 4.80%, due September 2032</x:v>
      </x:c>
      <x:c r="B111" s="471" t="d">
        <x:v>2032-09-26T00:00:00.000Z</x:v>
      </x:c>
      <x:c r="C111" s="475" t="n">
        <x:v>3000000000</x:v>
      </x:c>
      <x:c r="D111" s="395" t="str">
        <x:v>Carried forward. us-gaap:DebtInstrumentCarryingAmount context C_50527f49-e9c6-4c52-a8ec-b1c2a0068c55; maturity context C_1703a636-7c7e-455b-9aad-037fbbaacc99; 0001193125-26-277521.</x:v>
      </x:c>
      <x:c r="E111" s="472" t="n">
        <x:f>C111</x:f>
        <x:v>3000000000</x:v>
      </x:c>
      <x:c r="F111" s="477" t="str">
        <x:v>Senior notes</x:v>
      </x:c>
    </x:row>
    <x:row r="112" ht="42" customHeight="1">
      <x:c r="A112" s="378" t="str">
        <x:v>$2,250M, 6.25%, due November 2032</x:v>
      </x:c>
      <x:c r="B112" s="471" t="d">
        <x:v>2032-11-09T00:00:00.000Z</x:v>
      </x:c>
      <x:c r="C112" s="475" t="n">
        <x:v>2250000000</x:v>
      </x:c>
      <x:c r="D112" s="395" t="str">
        <x:v>Carried forward. us-gaap:DebtInstrumentCarryingAmount context C_3baaf4b5-05a7-4e95-a2c7-fdbbde90234a; maturity context C_cecd92ce-5eb3-4ec8-94f1-e313e35dd75e; 0001193125-26-277521.</x:v>
      </x:c>
      <x:c r="E112" s="472" t="n">
        <x:f>C112</x:f>
        <x:v>2250000000</x:v>
      </x:c>
      <x:c r="F112" s="477" t="str">
        <x:v>Senior notes</x:v>
      </x:c>
    </x:row>
    <x:row r="113" ht="42" customHeight="1">
      <x:c r="A113" s="378" t="str">
        <x:v>$1,500M, 4.90%, due February 2033</x:v>
      </x:c>
      <x:c r="B113" s="471" t="d">
        <x:v>2033-02-28T00:00:00.000Z</x:v>
      </x:c>
      <x:c r="C113" s="475" t="n">
        <x:v>1500000000</x:v>
      </x:c>
      <x:c r="D113" s="395" t="str">
        <x:v>Carried forward. us-gaap:DebtInstrumentCarryingAmount context C_532c52db-e3a7-41dc-a1d8-5abc4267e4d1; maturity context C_8c69b03d-1853-45b2-905e-31a465a92f7e; 0001193125-26-277521.</x:v>
      </x:c>
      <x:c r="E113" s="472" t="n">
        <x:f>C113</x:f>
        <x:v>1500000000</x:v>
      </x:c>
      <x:c r="F113" s="477" t="str">
        <x:v>Senior notes</x:v>
      </x:c>
    </x:row>
    <x:row r="114" ht="42" customHeight="1">
      <x:c r="A114" s="378" t="str">
        <x:v>$3,000M, 5.35%, due May 2033</x:v>
      </x:c>
      <x:c r="B114" s="471" t="d">
        <x:v>2033-05-04T00:00:00.000Z</x:v>
      </x:c>
      <x:c r="C114" s="475" t="n">
        <x:v>3000000000</x:v>
      </x:c>
      <x:c r="D114" s="395" t="str">
        <x:v>Carried forward. us-gaap:DebtInstrumentCarryingAmount context C_b9924291-37c4-4597-bf81-6b6f7148423e; maturity context C_2bf90733-de25-4675-b8ec-f0cae3262cec; 0001193125-26-277521.</x:v>
      </x:c>
      <x:c r="E114" s="472" t="n">
        <x:f>C114</x:f>
        <x:v>3000000000</x:v>
      </x:c>
      <x:c r="F114" s="477" t="str">
        <x:v>Senior notes</x:v>
      </x:c>
    </x:row>
    <x:row r="115" ht="42" customHeight="1">
      <x:c r="A115" s="378" t="str">
        <x:v>$1,750M, 4.30%, due July 2034</x:v>
      </x:c>
      <x:c r="B115" s="471" t="d">
        <x:v>2034-07-08T00:00:00.000Z</x:v>
      </x:c>
      <x:c r="C115" s="475" t="n">
        <x:v>1750000000</x:v>
      </x:c>
      <x:c r="D115" s="395" t="str">
        <x:v>Carried forward. us-gaap:DebtInstrumentCarryingAmount context C_f735565f-4060-4ea6-9a9b-a17b4d097aca; maturity context C_fdd0efc7-2a44-4070-96c8-a22a2e9be324; 0001193125-26-277521.</x:v>
      </x:c>
      <x:c r="E115" s="472" t="n">
        <x:f>C115</x:f>
        <x:v>1750000000</x:v>
      </x:c>
      <x:c r="F115" s="477" t="str">
        <x:v>Senior notes</x:v>
      </x:c>
    </x:row>
    <x:row r="116" ht="42" customHeight="1">
      <x:c r="A116" s="378" t="str">
        <x:v>$1,750M, 4.70%, due September 2034</x:v>
      </x:c>
      <x:c r="B116" s="471" t="d">
        <x:v>2034-09-27T00:00:00.000Z</x:v>
      </x:c>
      <x:c r="C116" s="475" t="n">
        <x:v>1750000000</x:v>
      </x:c>
      <x:c r="D116" s="395" t="str">
        <x:v>Carried forward. us-gaap:DebtInstrumentCarryingAmount context C_15416320-28ee-45bd-9193-de9adecf8103; maturity context C_5494947c-d4aa-4925-ace3-a65e708e5657; 0001193125-26-277521.</x:v>
      </x:c>
      <x:c r="E116" s="472" t="n">
        <x:f>C116</x:f>
        <x:v>1750000000</x:v>
      </x:c>
      <x:c r="F116" s="477" t="str">
        <x:v>Senior notes</x:v>
      </x:c>
    </x:row>
    <x:row r="117" ht="42" customHeight="1">
      <x:c r="A117" s="378" t="str">
        <x:v>$1,250M, 3.90%, due May 2035</x:v>
      </x:c>
      <x:c r="B117" s="471" t="d">
        <x:v>2035-05-15T00:00:00.000Z</x:v>
      </x:c>
      <x:c r="C117" s="475" t="n">
        <x:v>1250000000</x:v>
      </x:c>
      <x:c r="D117" s="395" t="str">
        <x:v>Carried forward. us-gaap:DebtInstrumentCarryingAmount context C_01f50072-c7e6-47ea-9b91-24a078772c62; maturity context C_7ca11f63-9a19-4daa-bfdc-20512d930ab7; 0001193125-26-277521.</x:v>
      </x:c>
      <x:c r="E117" s="472" t="n">
        <x:f>C117</x:f>
        <x:v>1250000000</x:v>
      </x:c>
      <x:c r="F117" s="477" t="str">
        <x:v>Senior notes</x:v>
      </x:c>
    </x:row>
    <x:row r="118" ht="42" customHeight="1">
      <x:c r="A118" s="378" t="str">
        <x:v>$1,750M, 5.50%, due August 2035</x:v>
      </x:c>
      <x:c r="B118" s="471" t="d">
        <x:v>2035-08-03T00:00:00.000Z</x:v>
      </x:c>
      <x:c r="C118" s="475" t="n">
        <x:v>1750000000</x:v>
      </x:c>
      <x:c r="D118" s="395" t="str">
        <x:v>Carried forward. us-gaap:DebtInstrumentCarryingAmount context C_aac57422-340d-4fbf-b85b-5fcc96306c34; maturity context C_828d1f7b-6c6e-40f0-b4d5-f8bb3835de34; 0001193125-26-277521.</x:v>
      </x:c>
      <x:c r="E118" s="472" t="n">
        <x:f>C118</x:f>
        <x:v>1750000000</x:v>
      </x:c>
      <x:c r="F118" s="477" t="str">
        <x:v>Senior notes</x:v>
      </x:c>
    </x:row>
    <x:row r="119" ht="42" customHeight="1">
      <x:c r="A119" s="378" t="str">
        <x:v>$4,000M, 5.20%, due September 2035</x:v>
      </x:c>
      <x:c r="B119" s="471" t="d">
        <x:v>2035-09-26T00:00:00.000Z</x:v>
      </x:c>
      <x:c r="C119" s="475" t="n">
        <x:v>4000000000</x:v>
      </x:c>
      <x:c r="D119" s="395" t="str">
        <x:v>Carried forward. us-gaap:DebtInstrumentCarryingAmount context C_573df544-be68-4729-878f-dc0c4d603869; maturity context C_3ddf21c1-db22-40ae-ab21-78484efaa8f6; 0001193125-26-277521.</x:v>
      </x:c>
      <x:c r="E119" s="472" t="n">
        <x:f>C119</x:f>
        <x:v>4000000000</x:v>
      </x:c>
      <x:c r="F119" s="477" t="str">
        <x:v>Senior notes</x:v>
      </x:c>
    </x:row>
    <x:row r="120" ht="42" customHeight="1">
      <x:c r="A120" s="378" t="str">
        <x:v>$5,000M, 5.70%, due February 2036</x:v>
      </x:c>
      <x:c r="B120" s="471" t="d">
        <x:v>2036-02-04T00:00:00.000Z</x:v>
      </x:c>
      <x:c r="C120" s="475" t="n">
        <x:v>5000000000</x:v>
      </x:c>
      <x:c r="D120" s="395" t="str">
        <x:v>Carried forward. us-gaap:DebtInstrumentCarryingAmount context C_eb11f4ee-c98c-405c-9c32-8f9b81fee1fa; maturity context C_89b9516f-1cdf-4f51-89cd-0a963c57d0de; 0001193125-26-277521.</x:v>
      </x:c>
      <x:c r="E120" s="472" t="n">
        <x:f>C120</x:f>
        <x:v>5000000000</x:v>
      </x:c>
      <x:c r="F120" s="477" t="str">
        <x:v>Senior notes</x:v>
      </x:c>
    </x:row>
    <x:row r="121" ht="42" customHeight="1">
      <x:c r="A121" s="378" t="str">
        <x:v>$1,250M, 3.85%, due July 2036</x:v>
      </x:c>
      <x:c r="B121" s="471" t="d">
        <x:v>2036-07-15T00:00:00.000Z</x:v>
      </x:c>
      <x:c r="C121" s="475" t="n">
        <x:v>1250000000</x:v>
      </x:c>
      <x:c r="D121" s="395" t="str">
        <x:v>Carried forward. us-gaap:DebtInstrumentCarryingAmount context C_72fff26c-c6a0-4942-9b20-5d70cc2c444c; maturity context C_ef573705-b08a-40a1-807a-7491d13bfcc8; 0001193125-26-277521.</x:v>
      </x:c>
      <x:c r="E121" s="472" t="n">
        <x:f>C121</x:f>
        <x:v>1250000000</x:v>
      </x:c>
      <x:c r="F121" s="477" t="str">
        <x:v>Senior notes</x:v>
      </x:c>
    </x:row>
    <x:row r="122" ht="42" customHeight="1">
      <x:c r="A122" s="378" t="str">
        <x:v>$1,750M, 3.80%, due November 2037</x:v>
      </x:c>
      <x:c r="B122" s="471" t="d">
        <x:v>2037-11-15T00:00:00.000Z</x:v>
      </x:c>
      <x:c r="C122" s="475" t="n">
        <x:v>1750000000</x:v>
      </x:c>
      <x:c r="D122" s="395" t="str">
        <x:v>Carried forward. us-gaap:DebtInstrumentCarryingAmount context C_7f258c62-3faa-4ff0-8ea7-70a73c3c6b74; maturity context C_a2306cc6-35b8-453c-ab02-0b0e5b0493be; 0001193125-26-277521.</x:v>
      </x:c>
      <x:c r="E122" s="472" t="n">
        <x:f>C122</x:f>
        <x:v>1750000000</x:v>
      </x:c>
      <x:c r="F122" s="477" t="str">
        <x:v>Senior notes</x:v>
      </x:c>
    </x:row>
    <x:row r="123" ht="42" customHeight="1">
      <x:c r="A123" s="378" t="str">
        <x:v>$1,250M, 6.50%, due April 2038</x:v>
      </x:c>
      <x:c r="B123" s="471" t="d">
        <x:v>2038-04-15T00:00:00.000Z</x:v>
      </x:c>
      <x:c r="C123" s="475" t="n">
        <x:v>1250000000</x:v>
      </x:c>
      <x:c r="D123" s="395" t="str">
        <x:v>Carried forward. us-gaap:DebtInstrumentCarryingAmount context C_3f89c9fc-6e68-4cc6-83e1-9c86b63ce9de; maturity context C_f4141e79-31ec-4605-98b2-166f8d73bb5e; 0001193125-26-277521.</x:v>
      </x:c>
      <x:c r="E123" s="472" t="n">
        <x:f>C123</x:f>
        <x:v>1250000000</x:v>
      </x:c>
      <x:c r="F123" s="477" t="str">
        <x:v>Senior notes</x:v>
      </x:c>
    </x:row>
    <x:row r="124" ht="42" customHeight="1">
      <x:c r="A124" s="378" t="str">
        <x:v>$1,250M, 6.125%, due July 2039</x:v>
      </x:c>
      <x:c r="B124" s="471" t="d">
        <x:v>2039-07-08T00:00:00.000Z</x:v>
      </x:c>
      <x:c r="C124" s="475" t="n">
        <x:v>1250000000</x:v>
      </x:c>
      <x:c r="D124" s="395" t="str">
        <x:v>Carried forward. us-gaap:DebtInstrumentCarryingAmount context C_ac987fd5-0ebc-4b0b-acd6-cb559c89ce69; maturity context C_9c891068-4ae1-4cd3-971b-255cf7a9da34; 0001193125-26-277521.</x:v>
      </x:c>
      <x:c r="E124" s="472" t="n">
        <x:f>C124</x:f>
        <x:v>1250000000</x:v>
      </x:c>
      <x:c r="F124" s="477" t="str">
        <x:v>Senior notes</x:v>
      </x:c>
    </x:row>
    <x:row r="125" ht="42" customHeight="1">
      <x:c r="A125" s="378" t="str">
        <x:v>$3,000M, 3.60%, due April 2040</x:v>
      </x:c>
      <x:c r="B125" s="471" t="d">
        <x:v>2040-04-01T00:00:00.000Z</x:v>
      </x:c>
      <x:c r="C125" s="475" t="n">
        <x:v>3000000000</x:v>
      </x:c>
      <x:c r="D125" s="395" t="str">
        <x:v>Carried forward. us-gaap:DebtInstrumentCarryingAmount context C_edacb177-150a-440a-8eab-3b1f65db82ab; maturity context C_3cafaf53-01fa-4115-9e1b-0c641b079928; 0001193125-26-277521.</x:v>
      </x:c>
      <x:c r="E125" s="472" t="n">
        <x:f>C125</x:f>
        <x:v>3000000000</x:v>
      </x:c>
      <x:c r="F125" s="477" t="str">
        <x:v>Senior notes</x:v>
      </x:c>
    </x:row>
    <x:row r="126" ht="42" customHeight="1">
      <x:c r="A126" s="378" t="str">
        <x:v>$2,250M, 5.375%, due July 2040</x:v>
      </x:c>
      <x:c r="B126" s="471" t="d">
        <x:v>2040-07-15T00:00:00.000Z</x:v>
      </x:c>
      <x:c r="C126" s="475" t="n">
        <x:v>2250000000</x:v>
      </x:c>
      <x:c r="D126" s="395" t="str">
        <x:v>Carried forward. us-gaap:DebtInstrumentCarryingAmount context C_ea9fb0e1-e7f4-43bd-9646-a319ee8e1fad; maturity context C_868ab625-7743-4f27-9158-b00ca8c5c651; 0001193125-26-277521.</x:v>
      </x:c>
      <x:c r="E126" s="472" t="n">
        <x:f>C126</x:f>
        <x:v>2250000000</x:v>
      </x:c>
      <x:c r="F126" s="477" t="str">
        <x:v>Senior notes</x:v>
      </x:c>
    </x:row>
    <x:row r="127" ht="42" customHeight="1">
      <x:c r="A127" s="378" t="str">
        <x:v>$2,250M, 3.65%, due March 2041</x:v>
      </x:c>
      <x:c r="B127" s="471" t="d">
        <x:v>2041-03-25T00:00:00.000Z</x:v>
      </x:c>
      <x:c r="C127" s="475" t="n">
        <x:v>2250000000</x:v>
      </x:c>
      <x:c r="D127" s="395" t="str">
        <x:v>Carried forward. us-gaap:DebtInstrumentCarryingAmount context C_0279d3a4-1e75-4ad5-847d-0aae45a2dc5a; maturity context C_7b023360-6988-496f-b647-79d8dc671c30; 0001193125-26-277521.</x:v>
      </x:c>
      <x:c r="E127" s="472" t="n">
        <x:f>C127</x:f>
        <x:v>2250000000</x:v>
      </x:c>
      <x:c r="F127" s="477" t="str">
        <x:v>Senior notes</x:v>
      </x:c>
    </x:row>
    <x:row r="128" ht="42" customHeight="1">
      <x:c r="A128" s="378" t="str">
        <x:v>$1,000M, 4.50%, due July 2044</x:v>
      </x:c>
      <x:c r="B128" s="471" t="d">
        <x:v>2044-07-08T00:00:00.000Z</x:v>
      </x:c>
      <x:c r="C128" s="475" t="n">
        <x:v>1000000000</x:v>
      </x:c>
      <x:c r="D128" s="395" t="str">
        <x:v>Carried forward. us-gaap:DebtInstrumentCarryingAmount context C_fbf167a2-b1f8-4f0a-9421-2691f6ee52e0; maturity context C_d4da1d90-accf-45e8-8a72-555d0018fa4b; 0001193125-26-277521.</x:v>
      </x:c>
      <x:c r="E128" s="472" t="n">
        <x:f>C128</x:f>
        <x:v>1000000000</x:v>
      </x:c>
      <x:c r="F128" s="477" t="str">
        <x:v>Senior notes</x:v>
      </x:c>
    </x:row>
    <x:row r="129" ht="42" customHeight="1">
      <x:c r="A129" s="378" t="str">
        <x:v>$2,000M, 4.125%, due May 2045</x:v>
      </x:c>
      <x:c r="B129" s="471" t="d">
        <x:v>2045-05-15T00:00:00.000Z</x:v>
      </x:c>
      <x:c r="C129" s="475" t="n">
        <x:v>2000000000</x:v>
      </x:c>
      <x:c r="D129" s="395" t="str">
        <x:v>Carried forward. us-gaap:DebtInstrumentCarryingAmount context C_659e0314-4b26-4b16-98b4-e72d8c61f734; maturity context C_726b02be-7017-4cd7-946a-0a4fb85cad4d; 0001193125-26-277521.</x:v>
      </x:c>
      <x:c r="E129" s="472" t="n">
        <x:f>C129</x:f>
        <x:v>2000000000</x:v>
      </x:c>
      <x:c r="F129" s="477" t="str">
        <x:v>Senior notes</x:v>
      </x:c>
    </x:row>
    <x:row r="130" ht="42" customHeight="1">
      <x:c r="A130" s="378" t="str">
        <x:v>$2,500M, 5.875%, due September 2045</x:v>
      </x:c>
      <x:c r="B130" s="471" t="d">
        <x:v>2045-09-26T00:00:00.000Z</x:v>
      </x:c>
      <x:c r="C130" s="475" t="n">
        <x:v>2500000000</x:v>
      </x:c>
      <x:c r="D130" s="395" t="str">
        <x:v>Carried forward. us-gaap:DebtInstrumentCarryingAmount context C_988fd38e-d5f3-4fa1-b1de-787d7b61a453; maturity context C_c7fadca5-29db-4521-ba7d-9fb916fbb3e0; 0001193125-26-277521.</x:v>
      </x:c>
      <x:c r="E130" s="472" t="n">
        <x:f>C130</x:f>
        <x:v>2500000000</x:v>
      </x:c>
      <x:c r="F130" s="477" t="str">
        <x:v>Senior notes</x:v>
      </x:c>
    </x:row>
    <x:row r="131" ht="42" customHeight="1">
      <x:c r="A131" s="378" t="str">
        <x:v>$2,250M, 6.55%, due February 2046</x:v>
      </x:c>
      <x:c r="B131" s="471" t="d">
        <x:v>2046-02-04T00:00:00.000Z</x:v>
      </x:c>
      <x:c r="C131" s="475" t="n">
        <x:v>2250000000</x:v>
      </x:c>
      <x:c r="D131" s="395" t="str">
        <x:v>Carried forward. us-gaap:DebtInstrumentCarryingAmount context C_eaaaba69-f386-49f6-9dbc-4f5720b4ffcc; maturity context C_e88e6562-aa5b-4c1c-96c1-2ec27cdce992; 0001193125-26-277521.</x:v>
      </x:c>
      <x:c r="E131" s="472" t="n">
        <x:f>C131</x:f>
        <x:v>2250000000</x:v>
      </x:c>
      <x:c r="F131" s="477" t="str">
        <x:v>Senior notes</x:v>
      </x:c>
    </x:row>
    <x:row r="132" ht="42" customHeight="1">
      <x:c r="A132" s="378" t="str">
        <x:v>$3,000M, 4.00%, due July 2046</x:v>
      </x:c>
      <x:c r="B132" s="471" t="d">
        <x:v>2046-07-15T00:00:00.000Z</x:v>
      </x:c>
      <x:c r="C132" s="475" t="n">
        <x:v>3000000000</x:v>
      </x:c>
      <x:c r="D132" s="395" t="str">
        <x:v>Carried forward. us-gaap:DebtInstrumentCarryingAmount context C_01a106fb-d1a5-45eb-aea5-1d2c1f806db3; maturity context C_e2302914-4319-4cc7-8ca6-ad70894e7492; 0001193125-26-277521.</x:v>
      </x:c>
      <x:c r="E132" s="472" t="n">
        <x:f>C132</x:f>
        <x:v>3000000000</x:v>
      </x:c>
      <x:c r="F132" s="477" t="str">
        <x:v>Senior notes</x:v>
      </x:c>
    </x:row>
    <x:row r="133" ht="42" customHeight="1">
      <x:c r="A133" s="378" t="str">
        <x:v>$2,250M, 4.00%, due November 2047</x:v>
      </x:c>
      <x:c r="B133" s="471" t="d">
        <x:v>2047-11-15T00:00:00.000Z</x:v>
      </x:c>
      <x:c r="C133" s="475" t="n">
        <x:v>2250000000</x:v>
      </x:c>
      <x:c r="D133" s="395" t="str">
        <x:v>Carried forward. us-gaap:DebtInstrumentCarryingAmount context C_c028290f-556a-41ee-891d-a0580570969c; maturity context C_d746ab53-93c3-44f7-a9bc-1c5270381f53; 0001193125-26-277521.</x:v>
      </x:c>
      <x:c r="E133" s="472" t="n">
        <x:f>C133</x:f>
        <x:v>2250000000</x:v>
      </x:c>
      <x:c r="F133" s="477" t="str">
        <x:v>Senior notes</x:v>
      </x:c>
    </x:row>
    <x:row r="134" ht="42" customHeight="1">
      <x:c r="A134" s="378" t="str">
        <x:v>$4,500M, 3.60%, due April 2050</x:v>
      </x:c>
      <x:c r="B134" s="471" t="d">
        <x:v>2050-04-01T00:00:00.000Z</x:v>
      </x:c>
      <x:c r="C134" s="475" t="n">
        <x:v>4500000000</x:v>
      </x:c>
      <x:c r="D134" s="395" t="str">
        <x:v>Carried forward. us-gaap:DebtInstrumentCarryingAmount context C_93d974de-69a0-4d66-8685-9c10b38c70e4; maturity context C_6e65a72f-e02d-4176-92a6-7eefd37f75f2; 0001193125-26-277521.</x:v>
      </x:c>
      <x:c r="E134" s="472" t="n">
        <x:f>C134</x:f>
        <x:v>4500000000</x:v>
      </x:c>
      <x:c r="F134" s="477" t="str">
        <x:v>Senior notes</x:v>
      </x:c>
    </x:row>
    <x:row r="135" ht="42" customHeight="1">
      <x:c r="A135" s="378" t="str">
        <x:v>$3,250M, 3.95%, due March 2051</x:v>
      </x:c>
      <x:c r="B135" s="471" t="d">
        <x:v>2051-03-25T00:00:00.000Z</x:v>
      </x:c>
      <x:c r="C135" s="475" t="n">
        <x:v>3250000000</x:v>
      </x:c>
      <x:c r="D135" s="395" t="str">
        <x:v>Carried forward. us-gaap:DebtInstrumentCarryingAmount context C_78c45de9-3a45-4a24-9a9d-682f75245066; maturity context C_120132e4-48c1-40ef-83dd-831bd42b4eb1; 0001193125-26-277521.</x:v>
      </x:c>
      <x:c r="E135" s="472" t="n">
        <x:f>C135</x:f>
        <x:v>3250000000</x:v>
      </x:c>
      <x:c r="F135" s="477" t="str">
        <x:v>Senior notes</x:v>
      </x:c>
    </x:row>
    <x:row r="136" ht="42" customHeight="1">
      <x:c r="A136" s="378" t="str">
        <x:v>$2,500M, 6.90%, due November 2052</x:v>
      </x:c>
      <x:c r="B136" s="471" t="d">
        <x:v>2052-11-09T00:00:00.000Z</x:v>
      </x:c>
      <x:c r="C136" s="475" t="n">
        <x:v>2500000000</x:v>
      </x:c>
      <x:c r="D136" s="395" t="str">
        <x:v>Carried forward. us-gaap:DebtInstrumentCarryingAmount context C_1c2c1ccf-88f9-44b3-bbba-88d5b66222e1; maturity context C_146f6555-e8fd-473f-8010-7c66bd216c1f; 0001193125-26-277521.</x:v>
      </x:c>
      <x:c r="E136" s="472" t="n">
        <x:f>C136</x:f>
        <x:v>2500000000</x:v>
      </x:c>
      <x:c r="F136" s="477" t="str">
        <x:v>Senior notes</x:v>
      </x:c>
    </x:row>
    <x:row r="137" ht="42" customHeight="1">
      <x:c r="A137" s="378" t="str">
        <x:v>$2,250M, 5.55%, due February 2053</x:v>
      </x:c>
      <x:c r="B137" s="471" t="d">
        <x:v>2053-02-28T00:00:00.000Z</x:v>
      </x:c>
      <x:c r="C137" s="475" t="n">
        <x:v>2250000000</x:v>
      </x:c>
      <x:c r="D137" s="395" t="str">
        <x:v>Carried forward. us-gaap:DebtInstrumentCarryingAmount context C_275ee10c-5579-4b7f-9db6-d0c32731214a; maturity context C_62b6d4a9-c2ea-4b4d-b819-f72896383839; 0001193125-26-277521.</x:v>
      </x:c>
      <x:c r="E137" s="472" t="n">
        <x:f>C137</x:f>
        <x:v>2250000000</x:v>
      </x:c>
      <x:c r="F137" s="477" t="str">
        <x:v>Senior notes</x:v>
      </x:c>
    </x:row>
    <x:row r="138" ht="42" customHeight="1">
      <x:c r="A138" s="378" t="str">
        <x:v>$1,750M, 5.375%, due September 2054</x:v>
      </x:c>
      <x:c r="B138" s="471" t="d">
        <x:v>2054-09-27T00:00:00.000Z</x:v>
      </x:c>
      <x:c r="C138" s="475" t="n">
        <x:v>1750000000</x:v>
      </x:c>
      <x:c r="D138" s="395" t="str">
        <x:v>Carried forward. us-gaap:DebtInstrumentCarryingAmount context C_d6db44a5-2cc2-45f8-b9bb-750ce5701802; maturity context C_1a315a33-dba8-456f-82c3-9319c7cd9395; 0001193125-26-277521.</x:v>
      </x:c>
      <x:c r="E138" s="472" t="n">
        <x:f>C138</x:f>
        <x:v>1750000000</x:v>
      </x:c>
      <x:c r="F138" s="477" t="str">
        <x:v>Senior notes</x:v>
      </x:c>
    </x:row>
    <x:row r="139" ht="42" customHeight="1">
      <x:c r="A139" s="378" t="str">
        <x:v>$1,250M, 4.375%, due May 2055</x:v>
      </x:c>
      <x:c r="B139" s="471" t="d">
        <x:v>2055-05-15T00:00:00.000Z</x:v>
      </x:c>
      <x:c r="C139" s="475" t="n">
        <x:v>1250000000</x:v>
      </x:c>
      <x:c r="D139" s="395" t="str">
        <x:v>Carried forward. us-gaap:DebtInstrumentCarryingAmount context C_10f379d0-eecf-4d69-9526-2a2acfd8110f; maturity context C_79912715-0f0b-407c-8bb5-ea595417b273; 0001193125-26-277521.</x:v>
      </x:c>
      <x:c r="E139" s="472" t="n">
        <x:f>C139</x:f>
        <x:v>1250000000</x:v>
      </x:c>
      <x:c r="F139" s="477" t="str">
        <x:v>Senior notes</x:v>
      </x:c>
    </x:row>
    <x:row r="140" ht="42" customHeight="1">
      <x:c r="A140" s="378" t="str">
        <x:v>$1,750M, 6.00%, due August 2055</x:v>
      </x:c>
      <x:c r="B140" s="471" t="d">
        <x:v>2055-08-03T00:00:00.000Z</x:v>
      </x:c>
      <x:c r="C140" s="475" t="n">
        <x:v>1750000000</x:v>
      </x:c>
      <x:c r="D140" s="395" t="str">
        <x:v>Carried forward. us-gaap:DebtInstrumentCarryingAmount context C_6c16cb24-86ff-434f-9d08-118161063c4e; maturity context C_46150084-c548-4ab3-84f5-ffa591c5a25c; 0001193125-26-277521.</x:v>
      </x:c>
      <x:c r="E140" s="472" t="n">
        <x:f>C140</x:f>
        <x:v>1750000000</x:v>
      </x:c>
      <x:c r="F140" s="477" t="str">
        <x:v>Senior notes</x:v>
      </x:c>
    </x:row>
    <x:row r="141" ht="42" customHeight="1">
      <x:c r="A141" s="378" t="str">
        <x:v>$3,500M, 5.95%, due September 2055</x:v>
      </x:c>
      <x:c r="B141" s="471" t="d">
        <x:v>2055-09-26T00:00:00.000Z</x:v>
      </x:c>
      <x:c r="C141" s="475" t="n">
        <x:v>3500000000</x:v>
      </x:c>
      <x:c r="D141" s="395" t="str">
        <x:v>Carried forward. us-gaap:DebtInstrumentCarryingAmount context C_2dd1f035-9a29-4212-8137-0ffb70bc95f9; maturity context C_da3ca40f-780f-4922-894e-76bc8a6687b3; 0001193125-26-277521.</x:v>
      </x:c>
      <x:c r="E141" s="472" t="n">
        <x:f>C141</x:f>
        <x:v>3500000000</x:v>
      </x:c>
      <x:c r="F141" s="477" t="str">
        <x:v>Senior notes</x:v>
      </x:c>
    </x:row>
    <x:row r="142" ht="42" customHeight="1">
      <x:c r="A142" s="378" t="str">
        <x:v>$5,000M, 6.70%, due February 2056</x:v>
      </x:c>
      <x:c r="B142" s="471" t="d">
        <x:v>2056-02-04T00:00:00.000Z</x:v>
      </x:c>
      <x:c r="C142" s="475" t="n">
        <x:v>5000000000</x:v>
      </x:c>
      <x:c r="D142" s="395" t="str">
        <x:v>Carried forward. us-gaap:DebtInstrumentCarryingAmount context C_470c4dd1-b044-4c06-b569-b9f227d4bcc6; maturity context C_17f2b8e7-9a87-429f-8403-253cf5f9c9a8; 0001193125-26-277521.</x:v>
      </x:c>
      <x:c r="E142" s="472" t="n">
        <x:f>C142</x:f>
        <x:v>5000000000</x:v>
      </x:c>
      <x:c r="F142" s="477" t="str">
        <x:v>Senior notes</x:v>
      </x:c>
    </x:row>
    <x:row r="143" ht="42" customHeight="1">
      <x:c r="A143" s="378" t="str">
        <x:v>$3,500M, 3.85%, due April 2060</x:v>
      </x:c>
      <x:c r="B143" s="471" t="d">
        <x:v>2060-04-01T00:00:00.000Z</x:v>
      </x:c>
      <x:c r="C143" s="475" t="n">
        <x:v>3500000000</x:v>
      </x:c>
      <x:c r="D143" s="395" t="str">
        <x:v>Carried forward. us-gaap:DebtInstrumentCarryingAmount context C_72ade28f-8b47-4d01-b51d-ad50b6ab1306; maturity context C_790e7099-f510-4774-a45b-d9e57868a823; 0001193125-26-277521.</x:v>
      </x:c>
      <x:c r="E143" s="472" t="n">
        <x:f>C143</x:f>
        <x:v>3500000000</x:v>
      </x:c>
      <x:c r="F143" s="477" t="str">
        <x:v>Senior notes</x:v>
      </x:c>
    </x:row>
    <x:row r="144" ht="42" customHeight="1">
      <x:c r="A144" s="378" t="str">
        <x:v>$1,500M, 4.10%, due March 2061</x:v>
      </x:c>
      <x:c r="B144" s="471" t="d">
        <x:v>2061-03-25T00:00:00.000Z</x:v>
      </x:c>
      <x:c r="C144" s="475" t="n">
        <x:v>1500000000</x:v>
      </x:c>
      <x:c r="D144" s="395" t="str">
        <x:v>Carried forward. us-gaap:DebtInstrumentCarryingAmount context C_b75cf642-988f-4748-9e3d-32020e3a1e6e; maturity context C_e0ba123f-367d-4f6f-9ffd-691244072749; 0001193125-26-277521.</x:v>
      </x:c>
      <x:c r="E144" s="472" t="n">
        <x:f>C144</x:f>
        <x:v>1500000000</x:v>
      </x:c>
      <x:c r="F144" s="477" t="str">
        <x:v>Senior notes</x:v>
      </x:c>
    </x:row>
    <x:row r="145" ht="42" customHeight="1">
      <x:c r="A145" s="378" t="str">
        <x:v>$1,250M, 5.50%, due September 2064</x:v>
      </x:c>
      <x:c r="B145" s="471" t="d">
        <x:v>2064-09-27T00:00:00.000Z</x:v>
      </x:c>
      <x:c r="C145" s="475" t="n">
        <x:v>1250000000</x:v>
      </x:c>
      <x:c r="D145" s="395" t="str">
        <x:v>Carried forward. us-gaap:DebtInstrumentCarryingAmount context C_0d59a7d6-884c-46a0-8e28-22708f737f7d; maturity context C_64c8ab8d-57ef-492f-be3c-e8912a104b57; 0001193125-26-277521.</x:v>
      </x:c>
      <x:c r="E145" s="472" t="n">
        <x:f>C145</x:f>
        <x:v>1250000000</x:v>
      </x:c>
      <x:c r="F145" s="477" t="str">
        <x:v>Senior notes</x:v>
      </x:c>
    </x:row>
    <x:row r="146" ht="42" customHeight="1">
      <x:c r="A146" s="378" t="str">
        <x:v>$1,000M, 6.125%, due August 2065</x:v>
      </x:c>
      <x:c r="B146" s="471" t="d">
        <x:v>2065-08-03T00:00:00.000Z</x:v>
      </x:c>
      <x:c r="C146" s="475" t="n">
        <x:v>1000000000</x:v>
      </x:c>
      <x:c r="D146" s="395" t="str">
        <x:v>Carried forward. us-gaap:DebtInstrumentCarryingAmount context C_e4423b6e-8f9e-4ed3-b891-83bcb06a00e7; maturity context C_6e18b720-3a24-49ec-95ec-71ab641f6ef4; 0001193125-26-277521.</x:v>
      </x:c>
      <x:c r="E146" s="472" t="n">
        <x:f>C146</x:f>
        <x:v>1000000000</x:v>
      </x:c>
      <x:c r="F146" s="477" t="str">
        <x:v>Senior notes</x:v>
      </x:c>
    </x:row>
    <x:row r="147" ht="42" customHeight="1">
      <x:c r="A147" s="378" t="str">
        <x:v>$2,000M, 6.10%, due September 2065</x:v>
      </x:c>
      <x:c r="B147" s="471" t="d">
        <x:v>2065-09-26T00:00:00.000Z</x:v>
      </x:c>
      <x:c r="C147" s="475" t="n">
        <x:v>2000000000</x:v>
      </x:c>
      <x:c r="D147" s="395" t="str">
        <x:v>Carried forward. us-gaap:DebtInstrumentCarryingAmount context C_b1d66ac5-86bb-48a1-9fd7-0f91b2f20166; maturity context C_943d857f-6e7c-4ab1-9392-17b23efb7b1d; 0001193125-26-277521.</x:v>
      </x:c>
      <x:c r="E147" s="472" t="n">
        <x:f>C147</x:f>
        <x:v>2000000000</x:v>
      </x:c>
      <x:c r="F147" s="477" t="str">
        <x:v>Senior notes</x:v>
      </x:c>
    </x:row>
    <x:row r="148" ht="42" customHeight="1">
      <x:c r="A148" s="378" t="str">
        <x:v>$2,750M, 6.85%, due February 2066</x:v>
      </x:c>
      <x:c r="B148" s="471" t="d">
        <x:v>2066-02-04T00:00:00.000Z</x:v>
      </x:c>
      <x:c r="C148" s="475" t="n">
        <x:v>2750000000</x:v>
      </x:c>
      <x:c r="D148" s="395" t="str">
        <x:v>Carried forward. us-gaap:DebtInstrumentCarryingAmount context C_9d3c0b91-ca57-49e8-bcd6-845c7dd4a592; maturity context C_f8ced8f8-0d46-4063-9333-4d5cc1a62965; 0001193125-26-277521.</x:v>
      </x:c>
      <x:c r="E148" s="472" t="n">
        <x:f>C148</x:f>
        <x:v>2750000000</x:v>
      </x:c>
      <x:c r="F148" s="477" t="str">
        <x:v>Senior notes</x:v>
      </x:c>
    </x:row>
    <x:row r="149" ht="42" customHeight="1">
      <x:c r="A149" s="378" t="str">
        <x:v>$500M, Compounded SOFR plus 0.76%, due August 2028</x:v>
      </x:c>
      <x:c r="B149" s="471" t="d">
        <x:v>2028-08-03T00:00:00.000Z</x:v>
      </x:c>
      <x:c r="C149" s="475" t="n">
        <x:v>500000000</x:v>
      </x:c>
      <x:c r="D149" s="395" t="str">
        <x:v>Carried forward. us-gaap:DebtInstrumentCarryingAmount context C_54708843-a4f7-43fe-9847-c4ee0f1d5918; maturity context C_160561d2-d537-4b08-9c61-e9bf09b0220e; 0001193125-26-277521.</x:v>
      </x:c>
      <x:c r="E149" s="472" t="n">
        <x:f>C149</x:f>
        <x:v>500000000</x:v>
      </x:c>
      <x:c r="F149" s="477" t="str">
        <x:v>Senior notes</x:v>
      </x:c>
    </x:row>
    <x:row r="150" ht="42" customHeight="1">
      <x:c r="A150" s="378" t="str">
        <x:v>$500M, Compounded SOFR plus 1.11%, due February 2029</x:v>
      </x:c>
      <x:c r="B150" s="471" t="d">
        <x:v>2029-02-04T00:00:00.000Z</x:v>
      </x:c>
      <x:c r="C150" s="475" t="n">
        <x:v>500000000</x:v>
      </x:c>
      <x:c r="D150" s="395" t="str">
        <x:v>Carried forward. us-gaap:DebtInstrumentCarryingAmount context C_9811b0d3-b168-4ae6-851d-5a1318806b6f; maturity context C_0baaa79b-3295-410a-8222-728290e56f24; 0001193125-26-277521.</x:v>
      </x:c>
      <x:c r="E150" s="472" t="n">
        <x:f>C150</x:f>
        <x:v>500000000</x:v>
      </x:c>
      <x:c r="F150" s="477" t="str">
        <x:v>Senior notes</x:v>
      </x:c>
    </x:row>
    <x:row r="151" ht="42" customHeight="1">
      <x:c r="A151" s="378" t="str">
        <x:v>Term loan, $5,630M borrowed, SOFR plus 1.35%, due August 2027</x:v>
      </x:c>
      <x:c r="B151" s="471" t="d">
        <x:v>2027-08-16T00:00:00.000Z</x:v>
      </x:c>
      <x:c r="C151" s="475" t="n">
        <x:v>5137000000</x:v>
      </x:c>
      <x:c r="D151" s="395" t="str">
        <x:v>Calculated. us-gaap:DebtInstrumentCarryingAmount context C_735501c9-1d1a-4130-ba00-a733b80c0778; maturity context C_9e0297a1-5ed4-45fd-ad02-62d67decad58; 0001193125-26-277521.</x:v>
      </x:c>
      <x:c r="E151" s="472" t="n">
        <x:f>C91</x:f>
        <x:v>5067000000</x:v>
      </x:c>
      <x:c r="F151" s="477" t="str">
        <x:v>Term loan</x:v>
      </x:c>
    </x:row>
    <x:row r="152" ht="42" customHeight="1">
      <x:c r="A152" s="378" t="str">
        <x:v>Commercial paper notes</x:v>
      </x:c>
      <x:c r="C152" s="475" t="n">
        <x:v>1468000000</x:v>
      </x:c>
      <x:c r="D152" s="395" t="str">
        <x:v>Unavailable at August 31: no balance or maturity dates reported. Unavailable. us-gaap:DebtInstrumentCarryingAmount context C_1acf7181-6e63-4dc3-9576-4189cc4bc531; 0001193125-26-277521.</x:v>
      </x:c>
      <x:c r="F152" s="477" t="str">
        <x:v>Commercial paper</x:v>
      </x:c>
    </x:row>
    <x:row r="153" ht="18" customHeight="1">
      <x:c r="A153" s="408" t="str">
        <x:v>Source: https://www.sec.gov/Archives/edgar/data/1341439/000119312526277521/orcl-20260531.htm</x:v>
      </x:c>
    </x:row>
  </x:sheetData>
  <x:hyperlinks>
    <x:hyperlink ref="A153" r:id="rIdSource1"/>
  </x:hyperlinks>
  <x:pageMargins left="0.7" right="0.7" top="0.75" bottom="0.75" header="0.3" footer="0.3"/>
  <x:drawing r:id="rIdPrincipalLadder"/>
</x:worksheet>
</file>

<file path=xl/worksheets/sheet9.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380" t="str">
        <x:v>Key</x:v>
      </x:c>
      <x:c r="B1" s="381" t="str">
        <x:v>USD millions, except ratios (x)</x:v>
      </x:c>
      <x:c r="C1" s="381" t="str">
        <x:v>Reported input</x:v>
      </x:c>
      <x:c r="D1" s="381" t="str">
        <x:v>Period start</x:v>
      </x:c>
      <x:c r="E1" s="381" t="str">
        <x:v>Period end / as of</x:v>
      </x:c>
      <x:c r="F1" s="381" t="str">
        <x:v>Form</x:v>
      </x:c>
      <x:c r="G1" s="381" t="str">
        <x:v>Filed</x:v>
      </x:c>
      <x:c r="H1" s="381" t="str">
        <x:v>Accession</x:v>
      </x:c>
      <x:c r="I1" s="381" t="str">
        <x:v>Tag</x:v>
      </x:c>
      <x:c r="J1" s="381" t="str">
        <x:v>Context ID</x:v>
      </x:c>
      <x:c r="K1" s="381" t="str">
        <x:v>Scale</x:v>
      </x:c>
      <x:c r="L1" s="381" t="str">
        <x:v>Decimals</x:v>
      </x:c>
      <x:c r="M1" s="381" t="str">
        <x:v>Source</x:v>
      </x:c>
      <x:c r="N1" s="381" t="str">
        <x:v>Filing location</x:v>
      </x:c>
      <x:c r="O1" s="381" t="str">
        <x:v>Finding / Unavailable reason</x:v>
      </x:c>
      <x:c r="P1" s="381" t="str">
        <x:v>Dimensions</x:v>
      </x:c>
      <x:c r="Q1" s="381" t="str">
        <x:v>Reviewed source SHA256</x:v>
      </x:c>
      <x:c r="R1" s="396" t="str">
        <x:v>Unit and selection rule</x:v>
      </x:c>
    </x:row>
    <x:row r="2" ht="45" customHeight="1">
      <x:c r="A2" s="385" t="str">
        <x:v>ocf</x:v>
      </x:c>
      <x:c r="B2" s="478" t="n">
        <x:v>23103000000</x:v>
      </x:c>
      <x:c r="C2" s="387" t="str">
        <x:v>Reported operating cash flow</x:v>
      </x:c>
      <x:c r="D2" s="401" t="d">
        <x:v>2026-06-01T00:00:00.000Z</x:v>
      </x:c>
      <x:c r="E2" s="401" t="d">
        <x:v>2026-08-31T00:00:00.000Z</x:v>
      </x:c>
      <x:c r="F2" s="387" t="str">
        <x:v>10-Q</x:v>
      </x:c>
      <x:c r="G2" s="401" t="d">
        <x:v>2026-09-11T00:00:00.000Z</x:v>
      </x:c>
      <x:c r="H2" s="387" t="str">
        <x:v>0001193125-26-389274</x:v>
      </x:c>
      <x:c r="I2" s="387" t="str">
        <x:v>us-gaap:NetCashProvidedByUsedInOperatingActivities</x:v>
      </x:c>
      <x:c r="J2" s="387" t="str">
        <x:v>C_f2f9ad85-08df-4e59-8948-bfd9405570de</x:v>
      </x:c>
      <x:c r="K2" s="479" t="n">
        <x:v>6</x:v>
      </x:c>
      <x:c r="L2" s="387" t="str">
        <x:v>-6</x:v>
      </x:c>
      <x:c r="M2" s="387" t="str">
        <x:v>https://www.sec.gov/Archives/edgar/data/1341439/000119312526389274/orcl-20260831.htm</x:v>
      </x:c>
      <x:c r="N2" s="387" t="str">
        <x:v>10-Q cash flows, p. 5</x:v>
      </x:c>
      <x:c r="O2" s="480"/>
      <x:c r="P2" s="480"/>
      <x:c r="Q2" s="480"/>
      <x:c r="R2" s="481"/>
    </x:row>
    <x:row r="3" ht="45" customHeight="1">
      <x:c r="A3" s="385" t="str">
        <x:v>prepay</x:v>
      </x:c>
      <x:c r="B3" s="478" t="n">
        <x:v>11363000000</x:v>
      </x:c>
      <x:c r="C3" s="387" t="str">
        <x:v>Customer prepayments with a significant financing component</x:v>
      </x:c>
      <x:c r="D3" s="401" t="d">
        <x:v>2026-06-01T00:00:00.000Z</x:v>
      </x:c>
      <x:c r="E3" s="401" t="d">
        <x:v>2026-08-31T00:00:00.000Z</x:v>
      </x:c>
      <x:c r="F3" s="387" t="str">
        <x:v>10-Q</x:v>
      </x:c>
      <x:c r="G3" s="401" t="d">
        <x:v>2026-09-11T00:00:00.000Z</x:v>
      </x:c>
      <x:c r="H3" s="387" t="str">
        <x:v>0001193125-26-389274</x:v>
      </x:c>
      <x:c r="I3" s="387" t="str">
        <x:v>orcl:IncreaseDecreaseInDeferredRevenuesFromCustomerPrepaymentsWithSignificantFinancingComponent</x:v>
      </x:c>
      <x:c r="J3" s="387" t="str">
        <x:v>C_f2f9ad85-08df-4e59-8948-bfd9405570de</x:v>
      </x:c>
      <x:c r="K3" s="479" t="n">
        <x:v>6</x:v>
      </x:c>
      <x:c r="L3" s="387" t="str">
        <x:v>-6</x:v>
      </x:c>
      <x:c r="M3" s="387" t="str">
        <x:v>https://www.sec.gov/Archives/edgar/data/1341439/000119312526389274/orcl-20260831.htm</x:v>
      </x:c>
      <x:c r="N3" s="387" t="str">
        <x:v>10-Q cash flows, p. 5</x:v>
      </x:c>
      <x:c r="O3" s="480"/>
      <x:c r="P3" s="480"/>
      <x:c r="Q3" s="480"/>
      <x:c r="R3" s="481"/>
    </x:row>
    <x:row r="4" ht="45" customHeight="1">
      <x:c r="A4" s="385" t="str">
        <x:v>capex</x:v>
      </x:c>
      <x:c r="B4" s="478" t="n">
        <x:v>28499000000</x:v>
      </x:c>
      <x:c r="C4" s="387" t="str">
        <x:v>Cash capital expenditures</x:v>
      </x:c>
      <x:c r="D4" s="401" t="d">
        <x:v>2026-06-01T00:00:00.000Z</x:v>
      </x:c>
      <x:c r="E4" s="401" t="d">
        <x:v>2026-08-31T00:00:00.000Z</x:v>
      </x:c>
      <x:c r="F4" s="387" t="str">
        <x:v>10-Q</x:v>
      </x:c>
      <x:c r="G4" s="401" t="d">
        <x:v>2026-09-11T00:00:00.000Z</x:v>
      </x:c>
      <x:c r="H4" s="387" t="str">
        <x:v>0001193125-26-389274</x:v>
      </x:c>
      <x:c r="I4" s="387" t="str">
        <x:v>us-gaap:PaymentsToAcquirePropertyPlantAndEquipment</x:v>
      </x:c>
      <x:c r="J4" s="387" t="str">
        <x:v>C_f2f9ad85-08df-4e59-8948-bfd9405570de</x:v>
      </x:c>
      <x:c r="K4" s="479" t="n">
        <x:v>6</x:v>
      </x:c>
      <x:c r="L4" s="387" t="str">
        <x:v>-6</x:v>
      </x:c>
      <x:c r="M4" s="387" t="str">
        <x:v>https://www.sec.gov/Archives/edgar/data/1341439/000119312526389274/orcl-20260831.htm</x:v>
      </x:c>
      <x:c r="N4" s="387" t="str">
        <x:v>10-Q cash flows, p. 5</x:v>
      </x:c>
      <x:c r="O4" s="480"/>
      <x:c r="P4" s="480"/>
      <x:c r="Q4" s="480"/>
      <x:c r="R4" s="481"/>
    </x:row>
    <x:row r="5" ht="45" customHeight="1">
      <x:c r="A5" s="385" t="str">
        <x:v>investment_purchases</x:v>
      </x:c>
      <x:c r="B5" s="478" t="n">
        <x:v>306000000</x:v>
      </x:c>
      <x:c r="C5" s="387" t="str">
        <x:v>Purchases of investments</x:v>
      </x:c>
      <x:c r="D5" s="401" t="d">
        <x:v>2026-06-01T00:00:00.000Z</x:v>
      </x:c>
      <x:c r="E5" s="401" t="d">
        <x:v>2026-08-31T00:00:00.000Z</x:v>
      </x:c>
      <x:c r="F5" s="387" t="str">
        <x:v>10-Q</x:v>
      </x:c>
      <x:c r="G5" s="401" t="d">
        <x:v>2026-09-11T00:00:00.000Z</x:v>
      </x:c>
      <x:c r="H5" s="387" t="str">
        <x:v>0001193125-26-389274</x:v>
      </x:c>
      <x:c r="I5" s="387" t="str">
        <x:v>us-gaap:PaymentsToAcquireInvestments</x:v>
      </x:c>
      <x:c r="J5" s="387" t="str">
        <x:v>C_f2f9ad85-08df-4e59-8948-bfd9405570de</x:v>
      </x:c>
      <x:c r="K5" s="479" t="n">
        <x:v>6</x:v>
      </x:c>
      <x:c r="L5" s="387" t="str">
        <x:v>-6</x:v>
      </x:c>
      <x:c r="M5" s="387" t="str">
        <x:v>https://www.sec.gov/Archives/edgar/data/1341439/000119312526389274/orcl-20260831.htm</x:v>
      </x:c>
      <x:c r="N5" s="387" t="str">
        <x:v>10-Q cash flows, p. 5</x:v>
      </x:c>
      <x:c r="O5" s="480"/>
      <x:c r="P5" s="480"/>
      <x:c r="Q5" s="480"/>
      <x:c r="R5" s="481"/>
    </x:row>
    <x:row r="6" ht="45" customHeight="1">
      <x:c r="A6" s="385" t="str">
        <x:v>investment_proceeds</x:v>
      </x:c>
      <x:c r="B6" s="478" t="n">
        <x:v>225000000</x:v>
      </x:c>
      <x:c r="C6" s="387" t="str">
        <x:v>Sales and maturities of investments</x:v>
      </x:c>
      <x:c r="D6" s="401" t="d">
        <x:v>2026-06-01T00:00:00.000Z</x:v>
      </x:c>
      <x:c r="E6" s="401" t="d">
        <x:v>2026-08-31T00:00:00.000Z</x:v>
      </x:c>
      <x:c r="F6" s="387" t="str">
        <x:v>10-Q</x:v>
      </x:c>
      <x:c r="G6" s="401" t="d">
        <x:v>2026-09-11T00:00:00.000Z</x:v>
      </x:c>
      <x:c r="H6" s="387" t="str">
        <x:v>0001193125-26-389274</x:v>
      </x:c>
      <x:c r="I6" s="387" t="str">
        <x:v>us-gaap:ProceedsFromSaleAndMaturityOfAvailableForSaleSecurities</x:v>
      </x:c>
      <x:c r="J6" s="387" t="str">
        <x:v>C_f2f9ad85-08df-4e59-8948-bfd9405570de</x:v>
      </x:c>
      <x:c r="K6" s="479" t="n">
        <x:v>6</x:v>
      </x:c>
      <x:c r="L6" s="387" t="str">
        <x:v>-6</x:v>
      </x:c>
      <x:c r="M6" s="387" t="str">
        <x:v>https://www.sec.gov/Archives/edgar/data/1341439/000119312526389274/orcl-20260831.htm</x:v>
      </x:c>
      <x:c r="N6" s="387" t="str">
        <x:v>10-Q cash flows, p. 5</x:v>
      </x:c>
      <x:c r="O6" s="480"/>
      <x:c r="P6" s="480"/>
      <x:c r="Q6" s="480"/>
      <x:c r="R6" s="481"/>
    </x:row>
    <x:row r="7" ht="45" customHeight="1">
      <x:c r="A7" s="385" t="str">
        <x:v>investing</x:v>
      </x:c>
      <x:c r="B7" s="478" t="n">
        <x:v>-28580000000</x:v>
      </x:c>
      <x:c r="C7" s="387" t="str">
        <x:v>Reported net investing cash flow</x:v>
      </x:c>
      <x:c r="D7" s="401" t="d">
        <x:v>2026-06-01T00:00:00.000Z</x:v>
      </x:c>
      <x:c r="E7" s="401" t="d">
        <x:v>2026-08-31T00:00:00.000Z</x:v>
      </x:c>
      <x:c r="F7" s="387" t="str">
        <x:v>10-Q</x:v>
      </x:c>
      <x:c r="G7" s="401" t="d">
        <x:v>2026-09-11T00:00:00.000Z</x:v>
      </x:c>
      <x:c r="H7" s="387" t="str">
        <x:v>0001193125-26-389274</x:v>
      </x:c>
      <x:c r="I7" s="387" t="str">
        <x:v>us-gaap:NetCashProvidedByUsedInInvestingActivities</x:v>
      </x:c>
      <x:c r="J7" s="387" t="str">
        <x:v>C_f2f9ad85-08df-4e59-8948-bfd9405570de</x:v>
      </x:c>
      <x:c r="K7" s="479" t="n">
        <x:v>6</x:v>
      </x:c>
      <x:c r="L7" s="387" t="str">
        <x:v>-6</x:v>
      </x:c>
      <x:c r="M7" s="387" t="str">
        <x:v>https://www.sec.gov/Archives/edgar/data/1341439/000119312526389274/orcl-20260831.htm</x:v>
      </x:c>
      <x:c r="N7" s="387" t="str">
        <x:v>10-Q cash flows, p. 5</x:v>
      </x:c>
      <x:c r="O7" s="480"/>
      <x:c r="P7" s="480"/>
      <x:c r="Q7" s="480"/>
      <x:c r="R7" s="481"/>
    </x:row>
    <x:row r="8" ht="45" customHeight="1">
      <x:c r="A8" s="385" t="str">
        <x:v>equity</x:v>
      </x:c>
      <x:c r="B8" s="478" t="n">
        <x:v>19909000000</x:v>
      </x:c>
      <x:c r="C8" s="387" t="str">
        <x:v>ATM common-stock proceeds, net</x:v>
      </x:c>
      <x:c r="D8" s="401" t="d">
        <x:v>2026-06-01T00:00:00.000Z</x:v>
      </x:c>
      <x:c r="E8" s="401" t="d">
        <x:v>2026-08-31T00:00:00.000Z</x:v>
      </x:c>
      <x:c r="F8" s="387" t="str">
        <x:v>10-Q</x:v>
      </x:c>
      <x:c r="G8" s="401" t="d">
        <x:v>2026-09-11T00:00:00.000Z</x:v>
      </x:c>
      <x:c r="H8" s="387" t="str">
        <x:v>0001193125-26-389274</x:v>
      </x:c>
      <x:c r="I8" s="387" t="str">
        <x:v>us-gaap:ProceedsFromIssuanceOfCommonStock</x:v>
      </x:c>
      <x:c r="J8" s="387" t="str">
        <x:v>C_f2f9ad85-08df-4e59-8948-bfd9405570de</x:v>
      </x:c>
      <x:c r="K8" s="479" t="n">
        <x:v>6</x:v>
      </x:c>
      <x:c r="L8" s="387" t="str">
        <x:v>-6</x:v>
      </x:c>
      <x:c r="M8" s="387" t="str">
        <x:v>https://www.sec.gov/Archives/edgar/data/1341439/000119312526389274/orcl-20260831.htm</x:v>
      </x:c>
      <x:c r="N8" s="387" t="str">
        <x:v>10-Q cash flows, p. 5</x:v>
      </x:c>
      <x:c r="O8" s="480"/>
      <x:c r="P8" s="480"/>
      <x:c r="Q8" s="480"/>
      <x:c r="R8" s="481"/>
    </x:row>
    <x:row r="9" ht="45" customHeight="1">
      <x:c r="A9" s="385" t="str">
        <x:v>employee</x:v>
      </x:c>
      <x:c r="B9" s="478" t="n">
        <x:v>41000000</x:v>
      </x:c>
      <x:c r="C9" s="387" t="str">
        <x:v>Net employee stock-program proceeds</x:v>
      </x:c>
      <x:c r="D9" s="401" t="d">
        <x:v>2026-06-01T00:00:00.000Z</x:v>
      </x:c>
      <x:c r="E9" s="401" t="d">
        <x:v>2026-08-31T00:00:00.000Z</x:v>
      </x:c>
      <x:c r="F9" s="387" t="str">
        <x:v>10-Q</x:v>
      </x:c>
      <x:c r="G9" s="401" t="d">
        <x:v>2026-09-11T00:00:00.000Z</x:v>
      </x:c>
      <x:c r="H9" s="387" t="str">
        <x:v>0001193125-26-389274</x:v>
      </x:c>
      <x:c r="I9" s="387" t="str">
        <x:v>us-gaap:ProceedsFromIssuanceOfSharesUnderIncentiveAndShareBasedCompensationPlans</x:v>
      </x:c>
      <x:c r="J9" s="387" t="str">
        <x:v>C_f2f9ad85-08df-4e59-8948-bfd9405570de</x:v>
      </x:c>
      <x:c r="K9" s="479" t="n">
        <x:v>6</x:v>
      </x:c>
      <x:c r="L9" s="387" t="str">
        <x:v>-6</x:v>
      </x:c>
      <x:c r="M9" s="387" t="str">
        <x:v>https://www.sec.gov/Archives/edgar/data/1341439/000119312526389274/orcl-20260831.htm</x:v>
      </x:c>
      <x:c r="N9" s="387" t="str">
        <x:v>10-Q cash flows, p. 5</x:v>
      </x:c>
      <x:c r="O9" s="480"/>
      <x:c r="P9" s="480"/>
      <x:c r="Q9" s="480"/>
      <x:c r="R9" s="481"/>
    </x:row>
    <x:row r="10" ht="45" customHeight="1">
      <x:c r="A10" s="385" t="str">
        <x:v>dividends</x:v>
      </x:c>
      <x:c r="B10" s="478" t="n">
        <x:v>1565000000</x:v>
      </x:c>
      <x:c r="C10" s="387" t="str">
        <x:v>Cash dividends to stockholders</x:v>
      </x:c>
      <x:c r="D10" s="401" t="d">
        <x:v>2026-06-01T00:00:00.000Z</x:v>
      </x:c>
      <x:c r="E10" s="401" t="d">
        <x:v>2026-08-31T00:00:00.000Z</x:v>
      </x:c>
      <x:c r="F10" s="387" t="str">
        <x:v>10-Q</x:v>
      </x:c>
      <x:c r="G10" s="401" t="d">
        <x:v>2026-09-11T00:00:00.000Z</x:v>
      </x:c>
      <x:c r="H10" s="387" t="str">
        <x:v>0001193125-26-389274</x:v>
      </x:c>
      <x:c r="I10" s="387" t="str">
        <x:v>us-gaap:PaymentsOfDividendsCommonStock</x:v>
      </x:c>
      <x:c r="J10" s="387" t="str">
        <x:v>C_f2f9ad85-08df-4e59-8948-bfd9405570de</x:v>
      </x:c>
      <x:c r="K10" s="479" t="n">
        <x:v>6</x:v>
      </x:c>
      <x:c r="L10" s="387" t="str">
        <x:v>-6</x:v>
      </x:c>
      <x:c r="M10" s="387" t="str">
        <x:v>https://www.sec.gov/Archives/edgar/data/1341439/000119312526389274/orcl-20260831.htm</x:v>
      </x:c>
      <x:c r="N10" s="387" t="str">
        <x:v>10-Q cash flows, p. 5</x:v>
      </x:c>
      <x:c r="O10" s="480"/>
      <x:c r="P10" s="480"/>
      <x:c r="Q10" s="480"/>
      <x:c r="R10" s="481"/>
    </x:row>
    <x:row r="11" ht="45" customHeight="1">
      <x:c r="A11" s="385" t="str">
        <x:v>cp</x:v>
      </x:c>
      <x:c r="B11" s="478" t="n">
        <x:v>0</x:v>
      </x:c>
      <x:c r="C11" s="387" t="str">
        <x:v>Commercial-paper repayments, cash-flow row</x:v>
      </x:c>
      <x:c r="D11" s="401" t="d">
        <x:v>2026-06-01T00:00:00.000Z</x:v>
      </x:c>
      <x:c r="E11" s="401" t="d">
        <x:v>2026-08-31T00:00:00.000Z</x:v>
      </x:c>
      <x:c r="F11" s="387" t="str">
        <x:v>10-Q</x:v>
      </x:c>
      <x:c r="G11" s="401" t="d">
        <x:v>2026-09-11T00:00:00.000Z</x:v>
      </x:c>
      <x:c r="H11" s="387" t="str">
        <x:v>0001193125-26-389274</x:v>
      </x:c>
      <x:c r="I11" s="387" t="str">
        <x:v>us-gaap:RepaymentsOfCommercialPaper</x:v>
      </x:c>
      <x:c r="J11" s="387" t="str">
        <x:v>C_f2f9ad85-08df-4e59-8948-bfd9405570de</x:v>
      </x:c>
      <x:c r="K11" s="479" t="n">
        <x:v>6</x:v>
      </x:c>
      <x:c r="L11" s="387" t="str">
        <x:v>-6</x:v>
      </x:c>
      <x:c r="M11" s="387" t="str">
        <x:v>https://www.sec.gov/Archives/edgar/data/1341439/000119312526389274/orcl-20260831.htm</x:v>
      </x:c>
      <x:c r="N11" s="387" t="str">
        <x:v>10-Q cash flows, p. 5</x:v>
      </x:c>
      <x:c r="O11" s="480"/>
      <x:c r="P11" s="480"/>
      <x:c r="Q11" s="480"/>
      <x:c r="R11" s="481"/>
    </x:row>
    <x:row r="12" ht="45" customHeight="1">
      <x:c r="A12" s="385" t="str">
        <x:v>capex_financing</x:v>
      </x:c>
      <x:c r="B12" s="478" t="n">
        <x:v>-830000000</x:v>
      </x:c>
      <x:c r="C12" s="387" t="str">
        <x:v>Net capex-financing cash flow</x:v>
      </x:c>
      <x:c r="D12" s="401" t="d">
        <x:v>2026-06-01T00:00:00.000Z</x:v>
      </x:c>
      <x:c r="E12" s="401" t="d">
        <x:v>2026-08-31T00:00:00.000Z</x:v>
      </x:c>
      <x:c r="F12" s="387" t="str">
        <x:v>10-Q</x:v>
      </x:c>
      <x:c r="G12" s="401" t="d">
        <x:v>2026-09-11T00:00:00.000Z</x:v>
      </x:c>
      <x:c r="H12" s="387" t="str">
        <x:v>0001193125-26-389274</x:v>
      </x:c>
      <x:c r="I12" s="387" t="str">
        <x:v>orcl:ProceedsFromRepaymentsOfShort-TermFinancingRelatedToCapitalExpendituresNet</x:v>
      </x:c>
      <x:c r="J12" s="387" t="str">
        <x:v>C_f2f9ad85-08df-4e59-8948-bfd9405570de</x:v>
      </x:c>
      <x:c r="K12" s="479" t="n">
        <x:v>6</x:v>
      </x:c>
      <x:c r="L12" s="387" t="str">
        <x:v>-6</x:v>
      </x:c>
      <x:c r="M12" s="387" t="str">
        <x:v>https://www.sec.gov/Archives/edgar/data/1341439/000119312526389274/orcl-20260831.htm</x:v>
      </x:c>
      <x:c r="N12" s="387" t="str">
        <x:v>10-Q cash flows, p. 5</x:v>
      </x:c>
      <x:c r="O12" s="480"/>
      <x:c r="P12" s="480"/>
      <x:c r="Q12" s="480"/>
      <x:c r="R12" s="481"/>
    </x:row>
    <x:row r="13" ht="45" customHeight="1">
      <x:c r="A13" s="385" t="str">
        <x:v>debt_repayments</x:v>
      </x:c>
      <x:c r="B13" s="478" t="n">
        <x:v>4202000000</x:v>
      </x:c>
      <x:c r="C13" s="387" t="str">
        <x:v>Senior notes, term loans and other repayments</x:v>
      </x:c>
      <x:c r="D13" s="401" t="d">
        <x:v>2026-06-01T00:00:00.000Z</x:v>
      </x:c>
      <x:c r="E13" s="401" t="d">
        <x:v>2026-08-31T00:00:00.000Z</x:v>
      </x:c>
      <x:c r="F13" s="387" t="str">
        <x:v>10-Q</x:v>
      </x:c>
      <x:c r="G13" s="401" t="d">
        <x:v>2026-09-11T00:00:00.000Z</x:v>
      </x:c>
      <x:c r="H13" s="387" t="str">
        <x:v>0001193125-26-389274</x:v>
      </x:c>
      <x:c r="I13" s="387" t="str">
        <x:v>us-gaap:RepaymentsOfDebt</x:v>
      </x:c>
      <x:c r="J13" s="387" t="str">
        <x:v>C_f2f9ad85-08df-4e59-8948-bfd9405570de</x:v>
      </x:c>
      <x:c r="K13" s="479" t="n">
        <x:v>6</x:v>
      </x:c>
      <x:c r="L13" s="387" t="str">
        <x:v>-6</x:v>
      </x:c>
      <x:c r="M13" s="387" t="str">
        <x:v>https://www.sec.gov/Archives/edgar/data/1341439/000119312526389274/orcl-20260831.htm</x:v>
      </x:c>
      <x:c r="N13" s="387" t="str">
        <x:v>10-Q cash flows, p. 5</x:v>
      </x:c>
      <x:c r="O13" s="480"/>
      <x:c r="P13" s="480"/>
      <x:c r="Q13" s="480"/>
      <x:c r="R13" s="481"/>
    </x:row>
    <x:row r="14" ht="45" customHeight="1">
      <x:c r="A14" s="385" t="str">
        <x:v>other_financing</x:v>
      </x:c>
      <x:c r="B14" s="478" t="n">
        <x:v>-242000000</x:v>
      </x:c>
      <x:c r="C14" s="387" t="str">
        <x:v>Other financing cash flow, net</x:v>
      </x:c>
      <x:c r="D14" s="401" t="d">
        <x:v>2026-06-01T00:00:00.000Z</x:v>
      </x:c>
      <x:c r="E14" s="401" t="d">
        <x:v>2026-08-31T00:00:00.000Z</x:v>
      </x:c>
      <x:c r="F14" s="387" t="str">
        <x:v>10-Q</x:v>
      </x:c>
      <x:c r="G14" s="401" t="d">
        <x:v>2026-09-11T00:00:00.000Z</x:v>
      </x:c>
      <x:c r="H14" s="387" t="str">
        <x:v>0001193125-26-389274</x:v>
      </x:c>
      <x:c r="I14" s="387" t="str">
        <x:v>us-gaap:ProceedsFromPaymentsForOtherFinancingActivities</x:v>
      </x:c>
      <x:c r="J14" s="387" t="str">
        <x:v>C_f2f9ad85-08df-4e59-8948-bfd9405570de</x:v>
      </x:c>
      <x:c r="K14" s="479" t="n">
        <x:v>6</x:v>
      </x:c>
      <x:c r="L14" s="387" t="str">
        <x:v>-6</x:v>
      </x:c>
      <x:c r="M14" s="387" t="str">
        <x:v>https://www.sec.gov/Archives/edgar/data/1341439/000119312526389274/orcl-20260831.htm</x:v>
      </x:c>
      <x:c r="N14" s="387" t="str">
        <x:v>10-Q cash flows, p. 5</x:v>
      </x:c>
      <x:c r="O14" s="480"/>
      <x:c r="P14" s="480"/>
      <x:c r="Q14" s="480"/>
      <x:c r="R14" s="481"/>
    </x:row>
    <x:row r="15" ht="45" customHeight="1">
      <x:c r="A15" s="385" t="str">
        <x:v>financing</x:v>
      </x:c>
      <x:c r="B15" s="478" t="n">
        <x:v>13111000000</x:v>
      </x:c>
      <x:c r="C15" s="387" t="str">
        <x:v>Reported net financing cash flow</x:v>
      </x:c>
      <x:c r="D15" s="401" t="d">
        <x:v>2026-06-01T00:00:00.000Z</x:v>
      </x:c>
      <x:c r="E15" s="401" t="d">
        <x:v>2026-08-31T00:00:00.000Z</x:v>
      </x:c>
      <x:c r="F15" s="387" t="str">
        <x:v>10-Q</x:v>
      </x:c>
      <x:c r="G15" s="401" t="d">
        <x:v>2026-09-11T00:00:00.000Z</x:v>
      </x:c>
      <x:c r="H15" s="387" t="str">
        <x:v>0001193125-26-389274</x:v>
      </x:c>
      <x:c r="I15" s="387" t="str">
        <x:v>us-gaap:NetCashProvidedByUsedInFinancingActivities</x:v>
      </x:c>
      <x:c r="J15" s="387" t="str">
        <x:v>C_f2f9ad85-08df-4e59-8948-bfd9405570de</x:v>
      </x:c>
      <x:c r="K15" s="479" t="n">
        <x:v>6</x:v>
      </x:c>
      <x:c r="L15" s="387" t="str">
        <x:v>-6</x:v>
      </x:c>
      <x:c r="M15" s="387" t="str">
        <x:v>https://www.sec.gov/Archives/edgar/data/1341439/000119312526389274/orcl-20260831.htm</x:v>
      </x:c>
      <x:c r="N15" s="387" t="str">
        <x:v>10-Q cash flows, p. 5</x:v>
      </x:c>
      <x:c r="O15" s="480"/>
      <x:c r="P15" s="480"/>
      <x:c r="Q15" s="480"/>
      <x:c r="R15" s="481"/>
    </x:row>
    <x:row r="16" ht="45" customHeight="1">
      <x:c r="A16" s="385" t="str">
        <x:v>fx</x:v>
      </x:c>
      <x:c r="B16" s="478" t="n">
        <x:v>11000000</x:v>
      </x:c>
      <x:c r="C16" s="387" t="str">
        <x:v>Exchange-rate effect on cash</x:v>
      </x:c>
      <x:c r="D16" s="401" t="d">
        <x:v>2026-06-01T00:00:00.000Z</x:v>
      </x:c>
      <x:c r="E16" s="401" t="d">
        <x:v>2026-08-31T00:00:00.000Z</x:v>
      </x:c>
      <x:c r="F16" s="387" t="str">
        <x:v>10-Q</x:v>
      </x:c>
      <x:c r="G16" s="401" t="d">
        <x:v>2026-09-11T00:00:00.000Z</x:v>
      </x:c>
      <x:c r="H16" s="387" t="str">
        <x:v>0001193125-26-389274</x:v>
      </x:c>
      <x:c r="I16" s="387" t="str">
        <x:v>us-gaap:EffectOfExchangeRateOnCashCashEquivalentsRestrictedCashAndRestrictedCashEquivalentsIncludingDisposalGroupAndDiscontinuedOperations</x:v>
      </x:c>
      <x:c r="J16" s="387" t="str">
        <x:v>C_f2f9ad85-08df-4e59-8948-bfd9405570de</x:v>
      </x:c>
      <x:c r="K16" s="479" t="n">
        <x:v>6</x:v>
      </x:c>
      <x:c r="L16" s="387" t="str">
        <x:v>-6</x:v>
      </x:c>
      <x:c r="M16" s="387" t="str">
        <x:v>https://www.sec.gov/Archives/edgar/data/1341439/000119312526389274/orcl-20260831.htm</x:v>
      </x:c>
      <x:c r="N16" s="387" t="str">
        <x:v>10-Q cash flows, p. 5</x:v>
      </x:c>
      <x:c r="O16" s="480"/>
      <x:c r="P16" s="480"/>
      <x:c r="Q16" s="480"/>
      <x:c r="R16" s="481"/>
    </x:row>
    <x:row r="17" ht="45" customHeight="1">
      <x:c r="A17" s="385" t="str">
        <x:v>change</x:v>
      </x:c>
      <x:c r="B17" s="478" t="n">
        <x:v>7645000000</x:v>
      </x:c>
      <x:c r="C17" s="387" t="str">
        <x:v>Reported increase in cash including restricted cash</x:v>
      </x:c>
      <x:c r="D17" s="401" t="d">
        <x:v>2026-06-01T00:00:00.000Z</x:v>
      </x:c>
      <x:c r="E17" s="401" t="d">
        <x:v>2026-08-31T00:00:00.000Z</x:v>
      </x:c>
      <x:c r="F17" s="387" t="str">
        <x:v>10-Q</x:v>
      </x:c>
      <x:c r="G17" s="401" t="d">
        <x:v>2026-09-11T00:00:00.000Z</x:v>
      </x:c>
      <x:c r="H17" s="387" t="str">
        <x:v>0001193125-26-389274</x:v>
      </x:c>
      <x:c r="I17" s="387" t="str">
        <x:v>us-gaap:CashCashEquivalentsRestrictedCashAndRestrictedCashEquivalentsPeriodIncreaseDecreaseIncludingExchangeRateEffect</x:v>
      </x:c>
      <x:c r="J17" s="387" t="str">
        <x:v>C_f2f9ad85-08df-4e59-8948-bfd9405570de</x:v>
      </x:c>
      <x:c r="K17" s="479" t="n">
        <x:v>6</x:v>
      </x:c>
      <x:c r="L17" s="387" t="str">
        <x:v>-6</x:v>
      </x:c>
      <x:c r="M17" s="387" t="str">
        <x:v>https://www.sec.gov/Archives/edgar/data/1341439/000119312526389274/orcl-20260831.htm</x:v>
      </x:c>
      <x:c r="N17" s="387" t="str">
        <x:v>10-Q cash flows, p. 5</x:v>
      </x:c>
      <x:c r="O17" s="480"/>
      <x:c r="P17" s="480"/>
      <x:c r="Q17" s="480"/>
      <x:c r="R17" s="481"/>
    </x:row>
    <x:row r="18" ht="45" customHeight="1">
      <x:c r="A18" s="385" t="str">
        <x:v>unpaid_capex</x:v>
      </x:c>
      <x:c r="B18" s="478" t="n">
        <x:v>6247000000</x:v>
      </x:c>
      <x:c r="C18" s="387" t="str">
        <x:v>Unpaid capital expenditures, noncash disclosure</x:v>
      </x:c>
      <x:c r="D18" s="401" t="d">
        <x:v>2026-06-01T00:00:00.000Z</x:v>
      </x:c>
      <x:c r="E18" s="401" t="d">
        <x:v>2026-08-31T00:00:00.000Z</x:v>
      </x:c>
      <x:c r="F18" s="387" t="str">
        <x:v>10-Q</x:v>
      </x:c>
      <x:c r="G18" s="401" t="d">
        <x:v>2026-09-11T00:00:00.000Z</x:v>
      </x:c>
      <x:c r="H18" s="387" t="str">
        <x:v>0001193125-26-389274</x:v>
      </x:c>
      <x:c r="I18" s="387" t="str">
        <x:v>us-gaap:CapitalExpendituresIncurredButNotYetPaid</x:v>
      </x:c>
      <x:c r="J18" s="387" t="str">
        <x:v>C_f2f9ad85-08df-4e59-8948-bfd9405570de</x:v>
      </x:c>
      <x:c r="K18" s="479" t="n">
        <x:v>6</x:v>
      </x:c>
      <x:c r="L18" s="387" t="str">
        <x:v>-6</x:v>
      </x:c>
      <x:c r="M18" s="387" t="str">
        <x:v>https://www.sec.gov/Archives/edgar/data/1341439/000119312526389274/orcl-20260831.htm</x:v>
      </x:c>
      <x:c r="N18" s="387" t="str">
        <x:v>10-Q cash flows, p. 5</x:v>
      </x:c>
      <x:c r="O18" s="480"/>
      <x:c r="P18" s="480"/>
      <x:c r="Q18" s="480"/>
      <x:c r="R18" s="481"/>
    </x:row>
    <x:row r="19" ht="45" customHeight="1">
      <x:c r="A19" s="385" t="str">
        <x:v>opening_total</x:v>
      </x:c>
      <x:c r="B19" s="478" t="n">
        <x:v>31289000000</x:v>
      </x:c>
      <x:c r="C19" s="387" t="str">
        <x:v>Opening cash including restricted cash</x:v>
      </x:c>
      <x:c r="D19" s="482"/>
      <x:c r="E19" s="401" t="d">
        <x:v>2026-05-31T00:00:00.000Z</x:v>
      </x:c>
      <x:c r="F19" s="387" t="str">
        <x:v>10-Q</x:v>
      </x:c>
      <x:c r="G19" s="401" t="d">
        <x:v>2026-09-11T00:00:00.000Z</x:v>
      </x:c>
      <x:c r="H19" s="387" t="str">
        <x:v>0001193125-26-389274</x:v>
      </x:c>
      <x:c r="I19" s="387" t="str">
        <x:v>us-gaap:CashCashEquivalentsRestrictedCashAndRestrictedCashEquivalentsIncludingDisposalGroupAndDiscontinuedOperations</x:v>
      </x:c>
      <x:c r="J19" s="387" t="str">
        <x:v>C_12e5037a-2a82-46f6-80d2-b607649a6bc1</x:v>
      </x:c>
      <x:c r="K19" s="479" t="n">
        <x:v>6</x:v>
      </x:c>
      <x:c r="L19" s="387" t="str">
        <x:v>-6</x:v>
      </x:c>
      <x:c r="M19" s="387" t="str">
        <x:v>https://www.sec.gov/Archives/edgar/data/1341439/000119312526389274/orcl-20260831.htm</x:v>
      </x:c>
      <x:c r="N19" s="387" t="str">
        <x:v>10-Q balance sheet p. 1; cash reconciliation pp. 5–6</x:v>
      </x:c>
      <x:c r="O19" s="480"/>
      <x:c r="P19" s="480"/>
      <x:c r="Q19" s="480"/>
      <x:c r="R19" s="481"/>
    </x:row>
    <x:row r="20" ht="45" customHeight="1">
      <x:c r="A20" s="385" t="str">
        <x:v>closing_total</x:v>
      </x:c>
      <x:c r="B20" s="478" t="n">
        <x:v>38934000000</x:v>
      </x:c>
      <x:c r="C20" s="387" t="str">
        <x:v>Closing cash including restricted cash</x:v>
      </x:c>
      <x:c r="D20" s="482"/>
      <x:c r="E20" s="401" t="d">
        <x:v>2026-08-31T00:00:00.000Z</x:v>
      </x:c>
      <x:c r="F20" s="387" t="str">
        <x:v>10-Q</x:v>
      </x:c>
      <x:c r="G20" s="401" t="d">
        <x:v>2026-09-11T00:00:00.000Z</x:v>
      </x:c>
      <x:c r="H20" s="387" t="str">
        <x:v>0001193125-26-389274</x:v>
      </x:c>
      <x:c r="I20" s="387" t="str">
        <x:v>us-gaap:CashCashEquivalentsRestrictedCashAndRestrictedCashEquivalentsIncludingDisposalGroupAndDiscontinuedOperations</x:v>
      </x:c>
      <x:c r="J20" s="387" t="str">
        <x:v>C_6aa4717d-0551-43f7-9cf4-c8a0049a656e</x:v>
      </x:c>
      <x:c r="K20" s="479" t="n">
        <x:v>6</x:v>
      </x:c>
      <x:c r="L20" s="387" t="str">
        <x:v>-6</x:v>
      </x:c>
      <x:c r="M20" s="387" t="str">
        <x:v>https://www.sec.gov/Archives/edgar/data/1341439/000119312526389274/orcl-20260831.htm</x:v>
      </x:c>
      <x:c r="N20" s="387" t="str">
        <x:v>10-Q balance sheet p. 1; cash reconciliation pp. 5–6</x:v>
      </x:c>
      <x:c r="O20" s="480"/>
      <x:c r="P20" s="480"/>
      <x:c r="Q20" s="480"/>
      <x:c r="R20" s="481"/>
    </x:row>
    <x:row r="21" ht="45" customHeight="1">
      <x:c r="A21" s="385" t="str">
        <x:v>closing_cash</x:v>
      </x:c>
      <x:c r="B21" s="478" t="n">
        <x:v>36369000000</x:v>
      </x:c>
      <x:c r="C21" s="387" t="str">
        <x:v>Cash and equivalents excluding restricted cash</x:v>
      </x:c>
      <x:c r="D21" s="482"/>
      <x:c r="E21" s="401" t="d">
        <x:v>2026-08-31T00:00:00.000Z</x:v>
      </x:c>
      <x:c r="F21" s="387" t="str">
        <x:v>10-Q</x:v>
      </x:c>
      <x:c r="G21" s="401" t="d">
        <x:v>2026-09-11T00:00:00.000Z</x:v>
      </x:c>
      <x:c r="H21" s="387" t="str">
        <x:v>0001193125-26-389274</x:v>
      </x:c>
      <x:c r="I21" s="387" t="str">
        <x:v>us-gaap:CashAndCashEquivalentsAtCarryingValue</x:v>
      </x:c>
      <x:c r="J21" s="387" t="str">
        <x:v>C_6aa4717d-0551-43f7-9cf4-c8a0049a656e</x:v>
      </x:c>
      <x:c r="K21" s="479" t="n">
        <x:v>6</x:v>
      </x:c>
      <x:c r="L21" s="387" t="str">
        <x:v>-6</x:v>
      </x:c>
      <x:c r="M21" s="387" t="str">
        <x:v>https://www.sec.gov/Archives/edgar/data/1341439/000119312526389274/orcl-20260831.htm</x:v>
      </x:c>
      <x:c r="N21" s="387" t="str">
        <x:v>10-Q balance sheet p. 1; cash reconciliation pp. 5–6</x:v>
      </x:c>
      <x:c r="O21" s="480"/>
      <x:c r="P21" s="480"/>
      <x:c r="Q21" s="480"/>
      <x:c r="R21" s="481"/>
    </x:row>
    <x:row r="22" ht="45" customHeight="1">
      <x:c r="A22" s="385" t="str">
        <x:v>not_commenced</x:v>
      </x:c>
      <x:c r="B22" s="478" t="n">
        <x:v>288000000000</x:v>
      </x:c>
      <x:c r="C22" s="387" t="str">
        <x:v>Operating leases not yet commenced</x:v>
      </x:c>
      <x:c r="D22" s="482"/>
      <x:c r="E22" s="401" t="d">
        <x:v>2026-08-31T00:00:00.000Z</x:v>
      </x:c>
      <x:c r="F22" s="387" t="str">
        <x:v>10-Q</x:v>
      </x:c>
      <x:c r="G22" s="401" t="d">
        <x:v>2026-09-11T00:00:00.000Z</x:v>
      </x:c>
      <x:c r="H22" s="387" t="str">
        <x:v>0001193125-26-389274</x:v>
      </x:c>
      <x:c r="I22" s="387" t="str">
        <x:v>orcl:LesseeOperatingLeaseLeaseNotYetCommencedLeaseCommitments</x:v>
      </x:c>
      <x:c r="J22" s="387" t="str">
        <x:v>C_6aa4717d-0551-43f7-9cf4-c8a0049a656e</x:v>
      </x:c>
      <x:c r="K22" s="479" t="n">
        <x:v>9</x:v>
      </x:c>
      <x:c r="L22" s="387" t="str">
        <x:v>-9</x:v>
      </x:c>
      <x:c r="M22" s="387" t="str">
        <x:v>https://www.sec.gov/Archives/edgar/data/1341439/000119312526389274/orcl-20260831.htm</x:v>
      </x:c>
      <x:c r="N22" s="387" t="str">
        <x:v>10-Q Note 6, p. 13</x:v>
      </x:c>
      <x:c r="O22" s="480"/>
      <x:c r="P22" s="480"/>
      <x:c r="Q22" s="480"/>
      <x:c r="R22" s="481"/>
    </x:row>
    <x:row r="23" ht="45" customHeight="1">
      <x:c r="A23" s="385" t="str">
        <x:v>operating_0</x:v>
      </x:c>
      <x:c r="B23" s="478" t="n">
        <x:v>3219000000</x:v>
      </x:c>
      <x:c r="C23" s="387" t="str">
        <x:v>Operating payments: Remainder FY2027</x:v>
      </x:c>
      <x:c r="D23" s="482"/>
      <x:c r="E23" s="401" t="d">
        <x:v>2026-08-31T00:00:00.000Z</x:v>
      </x:c>
      <x:c r="F23" s="387" t="str">
        <x:v>10-Q</x:v>
      </x:c>
      <x:c r="G23" s="401" t="d">
        <x:v>2026-09-11T00:00:00.000Z</x:v>
      </x:c>
      <x:c r="H23" s="387" t="str">
        <x:v>0001193125-26-389274</x:v>
      </x:c>
      <x:c r="I23" s="387" t="str">
        <x:v>us-gaap:LesseeOperatingLeaseLiabilityPaymentsRemainderOfFiscalYear</x:v>
      </x:c>
      <x:c r="J23" s="387" t="str">
        <x:v>C_6aa4717d-0551-43f7-9cf4-c8a0049a656e</x:v>
      </x:c>
      <x:c r="K23" s="479" t="n">
        <x:v>6</x:v>
      </x:c>
      <x:c r="L23" s="387" t="str">
        <x:v>-6</x:v>
      </x:c>
      <x:c r="M23" s="387" t="str">
        <x:v>https://www.sec.gov/Archives/edgar/data/1341439/000119312526389274/orcl-20260831.htm</x:v>
      </x:c>
      <x:c r="N23" s="387" t="str">
        <x:v>10-Q Note 6, pp. 12–13</x:v>
      </x:c>
      <x:c r="O23" s="480"/>
      <x:c r="P23" s="480"/>
      <x:c r="Q23" s="480"/>
      <x:c r="R23" s="481"/>
    </x:row>
    <x:row r="24" ht="45" customHeight="1">
      <x:c r="A24" s="385" t="str">
        <x:v>operating_1</x:v>
      </x:c>
      <x:c r="B24" s="478" t="n">
        <x:v>4135000000</x:v>
      </x:c>
      <x:c r="C24" s="387" t="str">
        <x:v>Operating payments: FY2028</x:v>
      </x:c>
      <x:c r="D24" s="482"/>
      <x:c r="E24" s="401" t="d">
        <x:v>2026-08-31T00:00:00.000Z</x:v>
      </x:c>
      <x:c r="F24" s="387" t="str">
        <x:v>10-Q</x:v>
      </x:c>
      <x:c r="G24" s="401" t="d">
        <x:v>2026-09-11T00:00:00.000Z</x:v>
      </x:c>
      <x:c r="H24" s="387" t="str">
        <x:v>0001193125-26-389274</x:v>
      </x:c>
      <x:c r="I24" s="387" t="str">
        <x:v>us-gaap:LesseeOperatingLeaseLiabilityPaymentsDueNextTwelveMonths</x:v>
      </x:c>
      <x:c r="J24" s="387" t="str">
        <x:v>C_6aa4717d-0551-43f7-9cf4-c8a0049a656e</x:v>
      </x:c>
      <x:c r="K24" s="479" t="n">
        <x:v>6</x:v>
      </x:c>
      <x:c r="L24" s="387" t="str">
        <x:v>-6</x:v>
      </x:c>
      <x:c r="M24" s="387" t="str">
        <x:v>https://www.sec.gov/Archives/edgar/data/1341439/000119312526389274/orcl-20260831.htm</x:v>
      </x:c>
      <x:c r="N24" s="387" t="str">
        <x:v>10-Q Note 6, pp. 12–13</x:v>
      </x:c>
      <x:c r="O24" s="480"/>
      <x:c r="P24" s="480"/>
      <x:c r="Q24" s="480"/>
      <x:c r="R24" s="481"/>
    </x:row>
    <x:row r="25" ht="45" customHeight="1">
      <x:c r="A25" s="385" t="str">
        <x:v>operating_2</x:v>
      </x:c>
      <x:c r="B25" s="478" t="n">
        <x:v>4097000000</x:v>
      </x:c>
      <x:c r="C25" s="387" t="str">
        <x:v>Operating payments: FY2029</x:v>
      </x:c>
      <x:c r="D25" s="482"/>
      <x:c r="E25" s="401" t="d">
        <x:v>2026-08-31T00:00:00.000Z</x:v>
      </x:c>
      <x:c r="F25" s="387" t="str">
        <x:v>10-Q</x:v>
      </x:c>
      <x:c r="G25" s="401" t="d">
        <x:v>2026-09-11T00:00:00.000Z</x:v>
      </x:c>
      <x:c r="H25" s="387" t="str">
        <x:v>0001193125-26-389274</x:v>
      </x:c>
      <x:c r="I25" s="387" t="str">
        <x:v>us-gaap:LesseeOperatingLeaseLiabilityPaymentsDueYearTwo</x:v>
      </x:c>
      <x:c r="J25" s="387" t="str">
        <x:v>C_6aa4717d-0551-43f7-9cf4-c8a0049a656e</x:v>
      </x:c>
      <x:c r="K25" s="479" t="n">
        <x:v>6</x:v>
      </x:c>
      <x:c r="L25" s="387" t="str">
        <x:v>-6</x:v>
      </x:c>
      <x:c r="M25" s="387" t="str">
        <x:v>https://www.sec.gov/Archives/edgar/data/1341439/000119312526389274/orcl-20260831.htm</x:v>
      </x:c>
      <x:c r="N25" s="387" t="str">
        <x:v>10-Q Note 6, pp. 12–13</x:v>
      </x:c>
      <x:c r="O25" s="480"/>
      <x:c r="P25" s="480"/>
      <x:c r="Q25" s="480"/>
      <x:c r="R25" s="481"/>
    </x:row>
    <x:row r="26" ht="45" customHeight="1">
      <x:c r="A26" s="385" t="str">
        <x:v>operating_3</x:v>
      </x:c>
      <x:c r="B26" s="478" t="n">
        <x:v>4109000000</x:v>
      </x:c>
      <x:c r="C26" s="387" t="str">
        <x:v>Operating payments: FY2030</x:v>
      </x:c>
      <x:c r="D26" s="482"/>
      <x:c r="E26" s="401" t="d">
        <x:v>2026-08-31T00:00:00.000Z</x:v>
      </x:c>
      <x:c r="F26" s="387" t="str">
        <x:v>10-Q</x:v>
      </x:c>
      <x:c r="G26" s="401" t="d">
        <x:v>2026-09-11T00:00:00.000Z</x:v>
      </x:c>
      <x:c r="H26" s="387" t="str">
        <x:v>0001193125-26-389274</x:v>
      </x:c>
      <x:c r="I26" s="387" t="str">
        <x:v>us-gaap:LesseeOperatingLeaseLiabilityPaymentsDueYearThree</x:v>
      </x:c>
      <x:c r="J26" s="387" t="str">
        <x:v>C_6aa4717d-0551-43f7-9cf4-c8a0049a656e</x:v>
      </x:c>
      <x:c r="K26" s="479" t="n">
        <x:v>6</x:v>
      </x:c>
      <x:c r="L26" s="387" t="str">
        <x:v>-6</x:v>
      </x:c>
      <x:c r="M26" s="387" t="str">
        <x:v>https://www.sec.gov/Archives/edgar/data/1341439/000119312526389274/orcl-20260831.htm</x:v>
      </x:c>
      <x:c r="N26" s="387" t="str">
        <x:v>10-Q Note 6, pp. 12–13</x:v>
      </x:c>
      <x:c r="O26" s="480"/>
      <x:c r="P26" s="480"/>
      <x:c r="Q26" s="480"/>
      <x:c r="R26" s="481"/>
    </x:row>
    <x:row r="27" ht="45" customHeight="1">
      <x:c r="A27" s="385" t="str">
        <x:v>operating_4</x:v>
      </x:c>
      <x:c r="B27" s="478" t="n">
        <x:v>4089000000</x:v>
      </x:c>
      <x:c r="C27" s="387" t="str">
        <x:v>Operating payments: FY2031</x:v>
      </x:c>
      <x:c r="D27" s="482"/>
      <x:c r="E27" s="401" t="d">
        <x:v>2026-08-31T00:00:00.000Z</x:v>
      </x:c>
      <x:c r="F27" s="387" t="str">
        <x:v>10-Q</x:v>
      </x:c>
      <x:c r="G27" s="401" t="d">
        <x:v>2026-09-11T00:00:00.000Z</x:v>
      </x:c>
      <x:c r="H27" s="387" t="str">
        <x:v>0001193125-26-389274</x:v>
      </x:c>
      <x:c r="I27" s="387" t="str">
        <x:v>us-gaap:LesseeOperatingLeaseLiabilityPaymentsDueYearFour</x:v>
      </x:c>
      <x:c r="J27" s="387" t="str">
        <x:v>C_6aa4717d-0551-43f7-9cf4-c8a0049a656e</x:v>
      </x:c>
      <x:c r="K27" s="479" t="n">
        <x:v>6</x:v>
      </x:c>
      <x:c r="L27" s="387" t="str">
        <x:v>-6</x:v>
      </x:c>
      <x:c r="M27" s="387" t="str">
        <x:v>https://www.sec.gov/Archives/edgar/data/1341439/000119312526389274/orcl-20260831.htm</x:v>
      </x:c>
      <x:c r="N27" s="387" t="str">
        <x:v>10-Q Note 6, pp. 12–13</x:v>
      </x:c>
      <x:c r="O27" s="480"/>
      <x:c r="P27" s="480"/>
      <x:c r="Q27" s="480"/>
      <x:c r="R27" s="481"/>
    </x:row>
    <x:row r="28" ht="45" customHeight="1">
      <x:c r="A28" s="385" t="str">
        <x:v>operating_5</x:v>
      </x:c>
      <x:c r="B28" s="478" t="n">
        <x:v>4030000000</x:v>
      </x:c>
      <x:c r="C28" s="387" t="str">
        <x:v>Operating payments: FY2032</x:v>
      </x:c>
      <x:c r="D28" s="482"/>
      <x:c r="E28" s="401" t="d">
        <x:v>2026-08-31T00:00:00.000Z</x:v>
      </x:c>
      <x:c r="F28" s="387" t="str">
        <x:v>10-Q</x:v>
      </x:c>
      <x:c r="G28" s="401" t="d">
        <x:v>2026-09-11T00:00:00.000Z</x:v>
      </x:c>
      <x:c r="H28" s="387" t="str">
        <x:v>0001193125-26-389274</x:v>
      </x:c>
      <x:c r="I28" s="387" t="str">
        <x:v>us-gaap:LesseeOperatingLeaseLiabilityPaymentsDueYearFive</x:v>
      </x:c>
      <x:c r="J28" s="387" t="str">
        <x:v>C_6aa4717d-0551-43f7-9cf4-c8a0049a656e</x:v>
      </x:c>
      <x:c r="K28" s="479" t="n">
        <x:v>6</x:v>
      </x:c>
      <x:c r="L28" s="387" t="str">
        <x:v>-6</x:v>
      </x:c>
      <x:c r="M28" s="387" t="str">
        <x:v>https://www.sec.gov/Archives/edgar/data/1341439/000119312526389274/orcl-20260831.htm</x:v>
      </x:c>
      <x:c r="N28" s="387" t="str">
        <x:v>10-Q Note 6, pp. 12–13</x:v>
      </x:c>
      <x:c r="O28" s="480"/>
      <x:c r="P28" s="480"/>
      <x:c r="Q28" s="480"/>
      <x:c r="R28" s="481"/>
    </x:row>
    <x:row r="29" ht="45" customHeight="1">
      <x:c r="A29" s="385" t="str">
        <x:v>operating_6</x:v>
      </x:c>
      <x:c r="B29" s="478" t="n">
        <x:v>24371000000</x:v>
      </x:c>
      <x:c r="C29" s="387" t="str">
        <x:v>Operating payments: Thereafter</x:v>
      </x:c>
      <x:c r="D29" s="482"/>
      <x:c r="E29" s="401" t="d">
        <x:v>2026-08-31T00:00:00.000Z</x:v>
      </x:c>
      <x:c r="F29" s="387" t="str">
        <x:v>10-Q</x:v>
      </x:c>
      <x:c r="G29" s="401" t="d">
        <x:v>2026-09-11T00:00:00.000Z</x:v>
      </x:c>
      <x:c r="H29" s="387" t="str">
        <x:v>0001193125-26-389274</x:v>
      </x:c>
      <x:c r="I29" s="387" t="str">
        <x:v>us-gaap:LesseeOperatingLeaseLiabilityPaymentsDueAfterYearFive</x:v>
      </x:c>
      <x:c r="J29" s="387" t="str">
        <x:v>C_6aa4717d-0551-43f7-9cf4-c8a0049a656e</x:v>
      </x:c>
      <x:c r="K29" s="479" t="n">
        <x:v>6</x:v>
      </x:c>
      <x:c r="L29" s="387" t="str">
        <x:v>-6</x:v>
      </x:c>
      <x:c r="M29" s="387" t="str">
        <x:v>https://www.sec.gov/Archives/edgar/data/1341439/000119312526389274/orcl-20260831.htm</x:v>
      </x:c>
      <x:c r="N29" s="387" t="str">
        <x:v>10-Q Note 6, pp. 12–13</x:v>
      </x:c>
      <x:c r="O29" s="480"/>
      <x:c r="P29" s="480"/>
      <x:c r="Q29" s="480"/>
      <x:c r="R29" s="481"/>
    </x:row>
    <x:row r="30" ht="45" customHeight="1">
      <x:c r="A30" s="385" t="str">
        <x:v>finance_0</x:v>
      </x:c>
      <x:c r="B30" s="478" t="n">
        <x:v>620000000</x:v>
      </x:c>
      <x:c r="C30" s="387" t="str">
        <x:v>Finance payments: Remainder FY2027</x:v>
      </x:c>
      <x:c r="D30" s="482"/>
      <x:c r="E30" s="401" t="d">
        <x:v>2026-08-31T00:00:00.000Z</x:v>
      </x:c>
      <x:c r="F30" s="387" t="str">
        <x:v>10-Q</x:v>
      </x:c>
      <x:c r="G30" s="401" t="d">
        <x:v>2026-09-11T00:00:00.000Z</x:v>
      </x:c>
      <x:c r="H30" s="387" t="str">
        <x:v>0001193125-26-389274</x:v>
      </x:c>
      <x:c r="I30" s="387" t="str">
        <x:v>us-gaap:FinanceLeaseLiabilityPaymentsRemainderOfFiscalYear</x:v>
      </x:c>
      <x:c r="J30" s="387" t="str">
        <x:v>C_6aa4717d-0551-43f7-9cf4-c8a0049a656e</x:v>
      </x:c>
      <x:c r="K30" s="479" t="n">
        <x:v>6</x:v>
      </x:c>
      <x:c r="L30" s="387" t="str">
        <x:v>-6</x:v>
      </x:c>
      <x:c r="M30" s="387" t="str">
        <x:v>https://www.sec.gov/Archives/edgar/data/1341439/000119312526389274/orcl-20260831.htm</x:v>
      </x:c>
      <x:c r="N30" s="387" t="str">
        <x:v>10-Q Note 6, pp. 12–13</x:v>
      </x:c>
      <x:c r="O30" s="480"/>
      <x:c r="P30" s="480"/>
      <x:c r="Q30" s="480"/>
      <x:c r="R30" s="481"/>
    </x:row>
    <x:row r="31" ht="45" customHeight="1">
      <x:c r="A31" s="385" t="str">
        <x:v>finance_1</x:v>
      </x:c>
      <x:c r="B31" s="478" t="n">
        <x:v>852000000</x:v>
      </x:c>
      <x:c r="C31" s="387" t="str">
        <x:v>Finance payments: FY2028</x:v>
      </x:c>
      <x:c r="D31" s="482"/>
      <x:c r="E31" s="401" t="d">
        <x:v>2026-08-31T00:00:00.000Z</x:v>
      </x:c>
      <x:c r="F31" s="387" t="str">
        <x:v>10-Q</x:v>
      </x:c>
      <x:c r="G31" s="401" t="d">
        <x:v>2026-09-11T00:00:00.000Z</x:v>
      </x:c>
      <x:c r="H31" s="387" t="str">
        <x:v>0001193125-26-389274</x:v>
      </x:c>
      <x:c r="I31" s="387" t="str">
        <x:v>us-gaap:FinanceLeaseLiabilityPaymentsDueNextTwelveMonths</x:v>
      </x:c>
      <x:c r="J31" s="387" t="str">
        <x:v>C_6aa4717d-0551-43f7-9cf4-c8a0049a656e</x:v>
      </x:c>
      <x:c r="K31" s="479" t="n">
        <x:v>6</x:v>
      </x:c>
      <x:c r="L31" s="387" t="str">
        <x:v>-6</x:v>
      </x:c>
      <x:c r="M31" s="387" t="str">
        <x:v>https://www.sec.gov/Archives/edgar/data/1341439/000119312526389274/orcl-20260831.htm</x:v>
      </x:c>
      <x:c r="N31" s="387" t="str">
        <x:v>10-Q Note 6, pp. 12–13</x:v>
      </x:c>
      <x:c r="O31" s="480"/>
      <x:c r="P31" s="480"/>
      <x:c r="Q31" s="480"/>
      <x:c r="R31" s="481"/>
    </x:row>
    <x:row r="32" ht="45" customHeight="1">
      <x:c r="A32" s="385" t="str">
        <x:v>finance_2</x:v>
      </x:c>
      <x:c r="B32" s="478" t="n">
        <x:v>923000000</x:v>
      </x:c>
      <x:c r="C32" s="387" t="str">
        <x:v>Finance payments: FY2029</x:v>
      </x:c>
      <x:c r="D32" s="482"/>
      <x:c r="E32" s="401" t="d">
        <x:v>2026-08-31T00:00:00.000Z</x:v>
      </x:c>
      <x:c r="F32" s="387" t="str">
        <x:v>10-Q</x:v>
      </x:c>
      <x:c r="G32" s="401" t="d">
        <x:v>2026-09-11T00:00:00.000Z</x:v>
      </x:c>
      <x:c r="H32" s="387" t="str">
        <x:v>0001193125-26-389274</x:v>
      </x:c>
      <x:c r="I32" s="387" t="str">
        <x:v>us-gaap:FinanceLeaseLiabilityPaymentsDueYearTwo</x:v>
      </x:c>
      <x:c r="J32" s="387" t="str">
        <x:v>C_6aa4717d-0551-43f7-9cf4-c8a0049a656e</x:v>
      </x:c>
      <x:c r="K32" s="479" t="n">
        <x:v>6</x:v>
      </x:c>
      <x:c r="L32" s="387" t="str">
        <x:v>-6</x:v>
      </x:c>
      <x:c r="M32" s="387" t="str">
        <x:v>https://www.sec.gov/Archives/edgar/data/1341439/000119312526389274/orcl-20260831.htm</x:v>
      </x:c>
      <x:c r="N32" s="387" t="str">
        <x:v>10-Q Note 6, pp. 12–13</x:v>
      </x:c>
      <x:c r="O32" s="480"/>
      <x:c r="P32" s="480"/>
      <x:c r="Q32" s="480"/>
      <x:c r="R32" s="481"/>
    </x:row>
    <x:row r="33" ht="45" customHeight="1">
      <x:c r="A33" s="385" t="str">
        <x:v>finance_3</x:v>
      </x:c>
      <x:c r="B33" s="478" t="n">
        <x:v>947000000</x:v>
      </x:c>
      <x:c r="C33" s="387" t="str">
        <x:v>Finance payments: FY2030</x:v>
      </x:c>
      <x:c r="D33" s="482"/>
      <x:c r="E33" s="401" t="d">
        <x:v>2026-08-31T00:00:00.000Z</x:v>
      </x:c>
      <x:c r="F33" s="387" t="str">
        <x:v>10-Q</x:v>
      </x:c>
      <x:c r="G33" s="401" t="d">
        <x:v>2026-09-11T00:00:00.000Z</x:v>
      </x:c>
      <x:c r="H33" s="387" t="str">
        <x:v>0001193125-26-389274</x:v>
      </x:c>
      <x:c r="I33" s="387" t="str">
        <x:v>us-gaap:FinanceLeaseLiabilityPaymentsDueYearThree</x:v>
      </x:c>
      <x:c r="J33" s="387" t="str">
        <x:v>C_6aa4717d-0551-43f7-9cf4-c8a0049a656e</x:v>
      </x:c>
      <x:c r="K33" s="479" t="n">
        <x:v>6</x:v>
      </x:c>
      <x:c r="L33" s="387" t="str">
        <x:v>-6</x:v>
      </x:c>
      <x:c r="M33" s="387" t="str">
        <x:v>https://www.sec.gov/Archives/edgar/data/1341439/000119312526389274/orcl-20260831.htm</x:v>
      </x:c>
      <x:c r="N33" s="387" t="str">
        <x:v>10-Q Note 6, pp. 12–13</x:v>
      </x:c>
      <x:c r="O33" s="480"/>
      <x:c r="P33" s="480"/>
      <x:c r="Q33" s="480"/>
      <x:c r="R33" s="481"/>
    </x:row>
    <x:row r="34" ht="45" customHeight="1">
      <x:c r="A34" s="385" t="str">
        <x:v>finance_4</x:v>
      </x:c>
      <x:c r="B34" s="478" t="n">
        <x:v>971000000</x:v>
      </x:c>
      <x:c r="C34" s="387" t="str">
        <x:v>Finance payments: FY2031</x:v>
      </x:c>
      <x:c r="D34" s="482"/>
      <x:c r="E34" s="401" t="d">
        <x:v>2026-08-31T00:00:00.000Z</x:v>
      </x:c>
      <x:c r="F34" s="387" t="str">
        <x:v>10-Q</x:v>
      </x:c>
      <x:c r="G34" s="401" t="d">
        <x:v>2026-09-11T00:00:00.000Z</x:v>
      </x:c>
      <x:c r="H34" s="387" t="str">
        <x:v>0001193125-26-389274</x:v>
      </x:c>
      <x:c r="I34" s="387" t="str">
        <x:v>us-gaap:FinanceLeaseLiabilityPaymentsDueYearFour</x:v>
      </x:c>
      <x:c r="J34" s="387" t="str">
        <x:v>C_6aa4717d-0551-43f7-9cf4-c8a0049a656e</x:v>
      </x:c>
      <x:c r="K34" s="479" t="n">
        <x:v>6</x:v>
      </x:c>
      <x:c r="L34" s="387" t="str">
        <x:v>-6</x:v>
      </x:c>
      <x:c r="M34" s="387" t="str">
        <x:v>https://www.sec.gov/Archives/edgar/data/1341439/000119312526389274/orcl-20260831.htm</x:v>
      </x:c>
      <x:c r="N34" s="387" t="str">
        <x:v>10-Q Note 6, pp. 12–13</x:v>
      </x:c>
      <x:c r="O34" s="480"/>
      <x:c r="P34" s="480"/>
      <x:c r="Q34" s="480"/>
      <x:c r="R34" s="481"/>
    </x:row>
    <x:row r="35" ht="45" customHeight="1">
      <x:c r="A35" s="385" t="str">
        <x:v>finance_5</x:v>
      </x:c>
      <x:c r="B35" s="478" t="n">
        <x:v>996000000</x:v>
      </x:c>
      <x:c r="C35" s="387" t="str">
        <x:v>Finance payments: FY2032</x:v>
      </x:c>
      <x:c r="D35" s="482"/>
      <x:c r="E35" s="401" t="d">
        <x:v>2026-08-31T00:00:00.000Z</x:v>
      </x:c>
      <x:c r="F35" s="387" t="str">
        <x:v>10-Q</x:v>
      </x:c>
      <x:c r="G35" s="401" t="d">
        <x:v>2026-09-11T00:00:00.000Z</x:v>
      </x:c>
      <x:c r="H35" s="387" t="str">
        <x:v>0001193125-26-389274</x:v>
      </x:c>
      <x:c r="I35" s="387" t="str">
        <x:v>us-gaap:FinanceLeaseLiabilityPaymentsDueYearFive</x:v>
      </x:c>
      <x:c r="J35" s="387" t="str">
        <x:v>C_6aa4717d-0551-43f7-9cf4-c8a0049a656e</x:v>
      </x:c>
      <x:c r="K35" s="479" t="n">
        <x:v>6</x:v>
      </x:c>
      <x:c r="L35" s="387" t="str">
        <x:v>-6</x:v>
      </x:c>
      <x:c r="M35" s="387" t="str">
        <x:v>https://www.sec.gov/Archives/edgar/data/1341439/000119312526389274/orcl-20260831.htm</x:v>
      </x:c>
      <x:c r="N35" s="387" t="str">
        <x:v>10-Q Note 6, pp. 12–13</x:v>
      </x:c>
      <x:c r="O35" s="480"/>
      <x:c r="P35" s="480"/>
      <x:c r="Q35" s="480"/>
      <x:c r="R35" s="481"/>
    </x:row>
    <x:row r="36" ht="45" customHeight="1">
      <x:c r="A36" s="385" t="str">
        <x:v>finance_6</x:v>
      </x:c>
      <x:c r="B36" s="478" t="n">
        <x:v>9886000000</x:v>
      </x:c>
      <x:c r="C36" s="387" t="str">
        <x:v>Finance payments: Thereafter</x:v>
      </x:c>
      <x:c r="D36" s="482"/>
      <x:c r="E36" s="401" t="d">
        <x:v>2026-08-31T00:00:00.000Z</x:v>
      </x:c>
      <x:c r="F36" s="387" t="str">
        <x:v>10-Q</x:v>
      </x:c>
      <x:c r="G36" s="401" t="d">
        <x:v>2026-09-11T00:00:00.000Z</x:v>
      </x:c>
      <x:c r="H36" s="387" t="str">
        <x:v>0001193125-26-389274</x:v>
      </x:c>
      <x:c r="I36" s="387" t="str">
        <x:v>us-gaap:FinanceLeaseLiabilityPaymentsDueAfterYearFive</x:v>
      </x:c>
      <x:c r="J36" s="387" t="str">
        <x:v>C_6aa4717d-0551-43f7-9cf4-c8a0049a656e</x:v>
      </x:c>
      <x:c r="K36" s="479" t="n">
        <x:v>6</x:v>
      </x:c>
      <x:c r="L36" s="387" t="str">
        <x:v>-6</x:v>
      </x:c>
      <x:c r="M36" s="387" t="str">
        <x:v>https://www.sec.gov/Archives/edgar/data/1341439/000119312526389274/orcl-20260831.htm</x:v>
      </x:c>
      <x:c r="N36" s="387" t="str">
        <x:v>10-Q Note 6, pp. 12–13</x:v>
      </x:c>
      <x:c r="O36" s="480"/>
      <x:c r="P36" s="480"/>
      <x:c r="Q36" s="480"/>
      <x:c r="R36" s="481"/>
    </x:row>
    <x:row r="37" ht="45" customHeight="1">
      <x:c r="A37" s="385" t="str">
        <x:v>purchase_0</x:v>
      </x:c>
      <x:c r="B37" s="478" t="n">
        <x:v>5449000000</x:v>
      </x:c>
      <x:c r="C37" s="387" t="str">
        <x:v>Purchase payments: Remainder FY2027</x:v>
      </x:c>
      <x:c r="D37" s="482"/>
      <x:c r="E37" s="401" t="d">
        <x:v>2026-08-31T00:00:00.000Z</x:v>
      </x:c>
      <x:c r="F37" s="387" t="str">
        <x:v>10-Q</x:v>
      </x:c>
      <x:c r="G37" s="401" t="d">
        <x:v>2026-09-11T00:00:00.000Z</x:v>
      </x:c>
      <x:c r="H37" s="387" t="str">
        <x:v>0001193125-26-389274</x:v>
      </x:c>
      <x:c r="I37" s="387" t="str">
        <x:v>us-gaap:UnrecordedUnconditionalPurchaseObligationDueInRemainderOfFiscalYear</x:v>
      </x:c>
      <x:c r="J37" s="387" t="str">
        <x:v>C_6aa4717d-0551-43f7-9cf4-c8a0049a656e</x:v>
      </x:c>
      <x:c r="K37" s="479" t="n">
        <x:v>6</x:v>
      </x:c>
      <x:c r="L37" s="387" t="str">
        <x:v>-6</x:v>
      </x:c>
      <x:c r="M37" s="387" t="str">
        <x:v>https://www.sec.gov/Archives/edgar/data/1341439/000119312526389274/orcl-20260831.htm</x:v>
      </x:c>
      <x:c r="N37" s="387" t="str">
        <x:v>10-Q Note 6, pp. 12–13</x:v>
      </x:c>
      <x:c r="O37" s="480"/>
      <x:c r="P37" s="480"/>
      <x:c r="Q37" s="480"/>
      <x:c r="R37" s="481"/>
    </x:row>
    <x:row r="38" ht="45" customHeight="1">
      <x:c r="A38" s="385" t="str">
        <x:v>purchase_1</x:v>
      </x:c>
      <x:c r="B38" s="478" t="n">
        <x:v>6176000000</x:v>
      </x:c>
      <x:c r="C38" s="387" t="str">
        <x:v>Purchase payments: FY2028</x:v>
      </x:c>
      <x:c r="D38" s="482"/>
      <x:c r="E38" s="401" t="d">
        <x:v>2026-08-31T00:00:00.000Z</x:v>
      </x:c>
      <x:c r="F38" s="387" t="str">
        <x:v>10-Q</x:v>
      </x:c>
      <x:c r="G38" s="401" t="d">
        <x:v>2026-09-11T00:00:00.000Z</x:v>
      </x:c>
      <x:c r="H38" s="387" t="str">
        <x:v>0001193125-26-389274</x:v>
      </x:c>
      <x:c r="I38" s="387" t="str">
        <x:v>us-gaap:UnrecordedUnconditionalPurchaseObligationBalanceOnFirstAnniversary</x:v>
      </x:c>
      <x:c r="J38" s="387" t="str">
        <x:v>C_6aa4717d-0551-43f7-9cf4-c8a0049a656e</x:v>
      </x:c>
      <x:c r="K38" s="479" t="n">
        <x:v>6</x:v>
      </x:c>
      <x:c r="L38" s="387" t="str">
        <x:v>-6</x:v>
      </x:c>
      <x:c r="M38" s="387" t="str">
        <x:v>https://www.sec.gov/Archives/edgar/data/1341439/000119312526389274/orcl-20260831.htm</x:v>
      </x:c>
      <x:c r="N38" s="387" t="str">
        <x:v>10-Q Note 6, pp. 12–13</x:v>
      </x:c>
      <x:c r="O38" s="480"/>
      <x:c r="P38" s="480"/>
      <x:c r="Q38" s="480"/>
      <x:c r="R38" s="481"/>
    </x:row>
    <x:row r="39" ht="45" customHeight="1">
      <x:c r="A39" s="385" t="str">
        <x:v>purchase_2</x:v>
      </x:c>
      <x:c r="B39" s="478" t="n">
        <x:v>3863000000</x:v>
      </x:c>
      <x:c r="C39" s="387" t="str">
        <x:v>Purchase payments: FY2029</x:v>
      </x:c>
      <x:c r="D39" s="482"/>
      <x:c r="E39" s="401" t="d">
        <x:v>2026-08-31T00:00:00.000Z</x:v>
      </x:c>
      <x:c r="F39" s="387" t="str">
        <x:v>10-Q</x:v>
      </x:c>
      <x:c r="G39" s="401" t="d">
        <x:v>2026-09-11T00:00:00.000Z</x:v>
      </x:c>
      <x:c r="H39" s="387" t="str">
        <x:v>0001193125-26-389274</x:v>
      </x:c>
      <x:c r="I39" s="387" t="str">
        <x:v>us-gaap:UnrecordedUnconditionalPurchaseObligationBalanceOnSecondAnniversary</x:v>
      </x:c>
      <x:c r="J39" s="387" t="str">
        <x:v>C_6aa4717d-0551-43f7-9cf4-c8a0049a656e</x:v>
      </x:c>
      <x:c r="K39" s="479" t="n">
        <x:v>6</x:v>
      </x:c>
      <x:c r="L39" s="387" t="str">
        <x:v>-6</x:v>
      </x:c>
      <x:c r="M39" s="387" t="str">
        <x:v>https://www.sec.gov/Archives/edgar/data/1341439/000119312526389274/orcl-20260831.htm</x:v>
      </x:c>
      <x:c r="N39" s="387" t="str">
        <x:v>10-Q Note 6, pp. 12–13</x:v>
      </x:c>
      <x:c r="O39" s="480"/>
      <x:c r="P39" s="480"/>
      <x:c r="Q39" s="480"/>
      <x:c r="R39" s="481"/>
    </x:row>
    <x:row r="40" ht="45" customHeight="1">
      <x:c r="A40" s="385" t="str">
        <x:v>purchase_3</x:v>
      </x:c>
      <x:c r="B40" s="478" t="n">
        <x:v>4318000000</x:v>
      </x:c>
      <x:c r="C40" s="387" t="str">
        <x:v>Purchase payments: FY2030</x:v>
      </x:c>
      <x:c r="D40" s="482"/>
      <x:c r="E40" s="401" t="d">
        <x:v>2026-08-31T00:00:00.000Z</x:v>
      </x:c>
      <x:c r="F40" s="387" t="str">
        <x:v>10-Q</x:v>
      </x:c>
      <x:c r="G40" s="401" t="d">
        <x:v>2026-09-11T00:00:00.000Z</x:v>
      </x:c>
      <x:c r="H40" s="387" t="str">
        <x:v>0001193125-26-389274</x:v>
      </x:c>
      <x:c r="I40" s="387" t="str">
        <x:v>us-gaap:UnrecordedUnconditionalPurchaseObligationBalanceOnThirdAnniversary</x:v>
      </x:c>
      <x:c r="J40" s="387" t="str">
        <x:v>C_6aa4717d-0551-43f7-9cf4-c8a0049a656e</x:v>
      </x:c>
      <x:c r="K40" s="479" t="n">
        <x:v>6</x:v>
      </x:c>
      <x:c r="L40" s="387" t="str">
        <x:v>-6</x:v>
      </x:c>
      <x:c r="M40" s="387" t="str">
        <x:v>https://www.sec.gov/Archives/edgar/data/1341439/000119312526389274/orcl-20260831.htm</x:v>
      </x:c>
      <x:c r="N40" s="387" t="str">
        <x:v>10-Q Note 6, pp. 12–13</x:v>
      </x:c>
      <x:c r="O40" s="480"/>
      <x:c r="P40" s="480"/>
      <x:c r="Q40" s="480"/>
      <x:c r="R40" s="481"/>
    </x:row>
    <x:row r="41" ht="45" customHeight="1">
      <x:c r="A41" s="385" t="str">
        <x:v>purchase_4</x:v>
      </x:c>
      <x:c r="B41" s="478" t="n">
        <x:v>6768000000</x:v>
      </x:c>
      <x:c r="C41" s="387" t="str">
        <x:v>Purchase payments: FY2031</x:v>
      </x:c>
      <x:c r="D41" s="482"/>
      <x:c r="E41" s="401" t="d">
        <x:v>2026-08-31T00:00:00.000Z</x:v>
      </x:c>
      <x:c r="F41" s="387" t="str">
        <x:v>10-Q</x:v>
      </x:c>
      <x:c r="G41" s="401" t="d">
        <x:v>2026-09-11T00:00:00.000Z</x:v>
      </x:c>
      <x:c r="H41" s="387" t="str">
        <x:v>0001193125-26-389274</x:v>
      </x:c>
      <x:c r="I41" s="387" t="str">
        <x:v>us-gaap:UnrecordedUnconditionalPurchaseObligationBalanceOnFourthAnniversary</x:v>
      </x:c>
      <x:c r="J41" s="387" t="str">
        <x:v>C_6aa4717d-0551-43f7-9cf4-c8a0049a656e</x:v>
      </x:c>
      <x:c r="K41" s="479" t="n">
        <x:v>6</x:v>
      </x:c>
      <x:c r="L41" s="387" t="str">
        <x:v>-6</x:v>
      </x:c>
      <x:c r="M41" s="387" t="str">
        <x:v>https://www.sec.gov/Archives/edgar/data/1341439/000119312526389274/orcl-20260831.htm</x:v>
      </x:c>
      <x:c r="N41" s="387" t="str">
        <x:v>10-Q Note 6, pp. 12–13</x:v>
      </x:c>
      <x:c r="O41" s="480"/>
      <x:c r="P41" s="480"/>
      <x:c r="Q41" s="480"/>
      <x:c r="R41" s="481"/>
    </x:row>
    <x:row r="42" ht="45" customHeight="1">
      <x:c r="A42" s="385" t="str">
        <x:v>purchase_5</x:v>
      </x:c>
      <x:c r="B42" s="478" t="n">
        <x:v>954000000</x:v>
      </x:c>
      <x:c r="C42" s="387" t="str">
        <x:v>Purchase payments: FY2032</x:v>
      </x:c>
      <x:c r="D42" s="482"/>
      <x:c r="E42" s="401" t="d">
        <x:v>2026-08-31T00:00:00.000Z</x:v>
      </x:c>
      <x:c r="F42" s="387" t="str">
        <x:v>10-Q</x:v>
      </x:c>
      <x:c r="G42" s="401" t="d">
        <x:v>2026-09-11T00:00:00.000Z</x:v>
      </x:c>
      <x:c r="H42" s="387" t="str">
        <x:v>0001193125-26-389274</x:v>
      </x:c>
      <x:c r="I42" s="387" t="str">
        <x:v>us-gaap:UnrecordedUnconditionalPurchaseObligationBalanceOnFifthAnniversary</x:v>
      </x:c>
      <x:c r="J42" s="387" t="str">
        <x:v>C_6aa4717d-0551-43f7-9cf4-c8a0049a656e</x:v>
      </x:c>
      <x:c r="K42" s="479" t="n">
        <x:v>6</x:v>
      </x:c>
      <x:c r="L42" s="387" t="str">
        <x:v>-6</x:v>
      </x:c>
      <x:c r="M42" s="387" t="str">
        <x:v>https://www.sec.gov/Archives/edgar/data/1341439/000119312526389274/orcl-20260831.htm</x:v>
      </x:c>
      <x:c r="N42" s="387" t="str">
        <x:v>10-Q Note 6, pp. 12–13</x:v>
      </x:c>
      <x:c r="O42" s="480"/>
      <x:c r="P42" s="480"/>
      <x:c r="Q42" s="480"/>
      <x:c r="R42" s="481"/>
    </x:row>
    <x:row r="43" ht="45" customHeight="1">
      <x:c r="A43" s="385" t="str">
        <x:v>purchase_6</x:v>
      </x:c>
      <x:c r="B43" s="478" t="n">
        <x:v>6622000000</x:v>
      </x:c>
      <x:c r="C43" s="387" t="str">
        <x:v>Purchase payments: Thereafter</x:v>
      </x:c>
      <x:c r="D43" s="482"/>
      <x:c r="E43" s="401" t="d">
        <x:v>2026-08-31T00:00:00.000Z</x:v>
      </x:c>
      <x:c r="F43" s="387" t="str">
        <x:v>10-Q</x:v>
      </x:c>
      <x:c r="G43" s="401" t="d">
        <x:v>2026-09-11T00:00:00.000Z</x:v>
      </x:c>
      <x:c r="H43" s="387" t="str">
        <x:v>0001193125-26-389274</x:v>
      </x:c>
      <x:c r="I43" s="387" t="str">
        <x:v>us-gaap:UnrecordedUnconditionalPurchaseObligationDueAfterFiveYears</x:v>
      </x:c>
      <x:c r="J43" s="387" t="str">
        <x:v>C_6aa4717d-0551-43f7-9cf4-c8a0049a656e</x:v>
      </x:c>
      <x:c r="K43" s="479" t="n">
        <x:v>6</x:v>
      </x:c>
      <x:c r="L43" s="387" t="str">
        <x:v>-6</x:v>
      </x:c>
      <x:c r="M43" s="387" t="str">
        <x:v>https://www.sec.gov/Archives/edgar/data/1341439/000119312526389274/orcl-20260831.htm</x:v>
      </x:c>
      <x:c r="N43" s="387" t="str">
        <x:v>10-Q Note 6, pp. 12–13</x:v>
      </x:c>
      <x:c r="O43" s="480"/>
      <x:c r="P43" s="480"/>
      <x:c r="Q43" s="480"/>
      <x:c r="R43" s="481"/>
    </x:row>
    <x:row r="44" ht="45" customHeight="1">
      <x:c r="A44" s="385" t="str">
        <x:v>operating_total</x:v>
      </x:c>
      <x:c r="B44" s="478" t="n">
        <x:v>48050000000</x:v>
      </x:c>
      <x:c r="C44" s="387" t="str">
        <x:v>Operating total</x:v>
      </x:c>
      <x:c r="D44" s="482"/>
      <x:c r="E44" s="401" t="d">
        <x:v>2026-08-31T00:00:00.000Z</x:v>
      </x:c>
      <x:c r="F44" s="387" t="str">
        <x:v>10-Q</x:v>
      </x:c>
      <x:c r="G44" s="401" t="d">
        <x:v>2026-09-11T00:00:00.000Z</x:v>
      </x:c>
      <x:c r="H44" s="387" t="str">
        <x:v>0001193125-26-389274</x:v>
      </x:c>
      <x:c r="I44" s="387" t="str">
        <x:v>us-gaap:LesseeOperatingLeaseLiabilityPaymentsDue</x:v>
      </x:c>
      <x:c r="J44" s="387" t="str">
        <x:v>C_6aa4717d-0551-43f7-9cf4-c8a0049a656e</x:v>
      </x:c>
      <x:c r="K44" s="479" t="n">
        <x:v>6</x:v>
      </x:c>
      <x:c r="L44" s="387" t="str">
        <x:v>-6</x:v>
      </x:c>
      <x:c r="M44" s="387" t="str">
        <x:v>https://www.sec.gov/Archives/edgar/data/1341439/000119312526389274/orcl-20260831.htm</x:v>
      </x:c>
      <x:c r="N44" s="387" t="str">
        <x:v>10-Q Note 6, pp. 12–13</x:v>
      </x:c>
      <x:c r="O44" s="480"/>
      <x:c r="P44" s="480"/>
      <x:c r="Q44" s="480"/>
      <x:c r="R44" s="481"/>
    </x:row>
    <x:row r="45" ht="45" customHeight="1">
      <x:c r="A45" s="385" t="str">
        <x:v>operating_interest</x:v>
      </x:c>
      <x:c r="B45" s="478" t="n">
        <x:v>13429000000</x:v>
      </x:c>
      <x:c r="C45" s="387" t="str">
        <x:v>Operating interest</x:v>
      </x:c>
      <x:c r="D45" s="482"/>
      <x:c r="E45" s="401" t="d">
        <x:v>2026-08-31T00:00:00.000Z</x:v>
      </x:c>
      <x:c r="F45" s="387" t="str">
        <x:v>10-Q</x:v>
      </x:c>
      <x:c r="G45" s="401" t="d">
        <x:v>2026-09-11T00:00:00.000Z</x:v>
      </x:c>
      <x:c r="H45" s="387" t="str">
        <x:v>0001193125-26-389274</x:v>
      </x:c>
      <x:c r="I45" s="387" t="str">
        <x:v>us-gaap:LesseeOperatingLeaseLiabilityUndiscountedExcessAmount</x:v>
      </x:c>
      <x:c r="J45" s="387" t="str">
        <x:v>C_6aa4717d-0551-43f7-9cf4-c8a0049a656e</x:v>
      </x:c>
      <x:c r="K45" s="479" t="n">
        <x:v>6</x:v>
      </x:c>
      <x:c r="L45" s="387" t="str">
        <x:v>-6</x:v>
      </x:c>
      <x:c r="M45" s="387" t="str">
        <x:v>https://www.sec.gov/Archives/edgar/data/1341439/000119312526389274/orcl-20260831.htm</x:v>
      </x:c>
      <x:c r="N45" s="387" t="str">
        <x:v>10-Q Note 6, pp. 12–13</x:v>
      </x:c>
      <x:c r="O45" s="480"/>
      <x:c r="P45" s="480"/>
      <x:c r="Q45" s="480"/>
      <x:c r="R45" s="481"/>
    </x:row>
    <x:row r="46" ht="45" customHeight="1">
      <x:c r="A46" s="385" t="str">
        <x:v>operating_liability</x:v>
      </x:c>
      <x:c r="B46" s="478" t="n">
        <x:v>34621000000</x:v>
      </x:c>
      <x:c r="C46" s="387" t="str">
        <x:v>Operating liability</x:v>
      </x:c>
      <x:c r="D46" s="482"/>
      <x:c r="E46" s="401" t="d">
        <x:v>2026-08-31T00:00:00.000Z</x:v>
      </x:c>
      <x:c r="F46" s="387" t="str">
        <x:v>10-Q</x:v>
      </x:c>
      <x:c r="G46" s="401" t="d">
        <x:v>2026-09-11T00:00:00.000Z</x:v>
      </x:c>
      <x:c r="H46" s="387" t="str">
        <x:v>0001193125-26-389274</x:v>
      </x:c>
      <x:c r="I46" s="387" t="str">
        <x:v>us-gaap:OperatingLeaseLiability</x:v>
      </x:c>
      <x:c r="J46" s="387" t="str">
        <x:v>C_6aa4717d-0551-43f7-9cf4-c8a0049a656e</x:v>
      </x:c>
      <x:c r="K46" s="479" t="n">
        <x:v>6</x:v>
      </x:c>
      <x:c r="L46" s="387" t="str">
        <x:v>-6</x:v>
      </x:c>
      <x:c r="M46" s="387" t="str">
        <x:v>https://www.sec.gov/Archives/edgar/data/1341439/000119312526389274/orcl-20260831.htm</x:v>
      </x:c>
      <x:c r="N46" s="387" t="str">
        <x:v>10-Q Note 6, pp. 12–13</x:v>
      </x:c>
      <x:c r="O46" s="480"/>
      <x:c r="P46" s="480"/>
      <x:c r="Q46" s="480"/>
      <x:c r="R46" s="481"/>
    </x:row>
    <x:row r="47" ht="45" customHeight="1">
      <x:c r="A47" s="385" t="str">
        <x:v>finance_total</x:v>
      </x:c>
      <x:c r="B47" s="478" t="n">
        <x:v>15195000000</x:v>
      </x:c>
      <x:c r="C47" s="387" t="str">
        <x:v>Finance total</x:v>
      </x:c>
      <x:c r="D47" s="482"/>
      <x:c r="E47" s="401" t="d">
        <x:v>2026-08-31T00:00:00.000Z</x:v>
      </x:c>
      <x:c r="F47" s="387" t="str">
        <x:v>10-Q</x:v>
      </x:c>
      <x:c r="G47" s="401" t="d">
        <x:v>2026-09-11T00:00:00.000Z</x:v>
      </x:c>
      <x:c r="H47" s="387" t="str">
        <x:v>0001193125-26-389274</x:v>
      </x:c>
      <x:c r="I47" s="387" t="str">
        <x:v>us-gaap:FinanceLeaseLiabilityPaymentsDue</x:v>
      </x:c>
      <x:c r="J47" s="387" t="str">
        <x:v>C_6aa4717d-0551-43f7-9cf4-c8a0049a656e</x:v>
      </x:c>
      <x:c r="K47" s="479" t="n">
        <x:v>6</x:v>
      </x:c>
      <x:c r="L47" s="387" t="str">
        <x:v>-6</x:v>
      </x:c>
      <x:c r="M47" s="387" t="str">
        <x:v>https://www.sec.gov/Archives/edgar/data/1341439/000119312526389274/orcl-20260831.htm</x:v>
      </x:c>
      <x:c r="N47" s="387" t="str">
        <x:v>10-Q Note 6, pp. 12–13</x:v>
      </x:c>
      <x:c r="O47" s="480"/>
      <x:c r="P47" s="480"/>
      <x:c r="Q47" s="480"/>
      <x:c r="R47" s="481"/>
    </x:row>
    <x:row r="48" ht="45" customHeight="1">
      <x:c r="A48" s="385" t="str">
        <x:v>finance_interest</x:v>
      </x:c>
      <x:c r="B48" s="478" t="n">
        <x:v>6010000000</x:v>
      </x:c>
      <x:c r="C48" s="387" t="str">
        <x:v>Finance interest</x:v>
      </x:c>
      <x:c r="D48" s="482"/>
      <x:c r="E48" s="401" t="d">
        <x:v>2026-08-31T00:00:00.000Z</x:v>
      </x:c>
      <x:c r="F48" s="387" t="str">
        <x:v>10-Q</x:v>
      </x:c>
      <x:c r="G48" s="401" t="d">
        <x:v>2026-09-11T00:00:00.000Z</x:v>
      </x:c>
      <x:c r="H48" s="387" t="str">
        <x:v>0001193125-26-389274</x:v>
      </x:c>
      <x:c r="I48" s="387" t="str">
        <x:v>us-gaap:FinanceLeaseLiabilityUndiscountedExcessAmount</x:v>
      </x:c>
      <x:c r="J48" s="387" t="str">
        <x:v>C_6aa4717d-0551-43f7-9cf4-c8a0049a656e</x:v>
      </x:c>
      <x:c r="K48" s="479" t="n">
        <x:v>6</x:v>
      </x:c>
      <x:c r="L48" s="387" t="str">
        <x:v>-6</x:v>
      </x:c>
      <x:c r="M48" s="387" t="str">
        <x:v>https://www.sec.gov/Archives/edgar/data/1341439/000119312526389274/orcl-20260831.htm</x:v>
      </x:c>
      <x:c r="N48" s="387" t="str">
        <x:v>10-Q Note 6, pp. 12–13</x:v>
      </x:c>
      <x:c r="O48" s="480"/>
      <x:c r="P48" s="480"/>
      <x:c r="Q48" s="480"/>
      <x:c r="R48" s="481"/>
    </x:row>
    <x:row r="49" ht="45" customHeight="1">
      <x:c r="A49" s="385" t="str">
        <x:v>finance_liability</x:v>
      </x:c>
      <x:c r="B49" s="478" t="n">
        <x:v>9185000000</x:v>
      </x:c>
      <x:c r="C49" s="387" t="str">
        <x:v>Finance liability</x:v>
      </x:c>
      <x:c r="D49" s="482"/>
      <x:c r="E49" s="401" t="d">
        <x:v>2026-08-31T00:00:00.000Z</x:v>
      </x:c>
      <x:c r="F49" s="387" t="str">
        <x:v>10-Q</x:v>
      </x:c>
      <x:c r="G49" s="401" t="d">
        <x:v>2026-09-11T00:00:00.000Z</x:v>
      </x:c>
      <x:c r="H49" s="387" t="str">
        <x:v>0001193125-26-389274</x:v>
      </x:c>
      <x:c r="I49" s="387" t="str">
        <x:v>us-gaap:FinanceLeaseLiability</x:v>
      </x:c>
      <x:c r="J49" s="387" t="str">
        <x:v>C_6aa4717d-0551-43f7-9cf4-c8a0049a656e</x:v>
      </x:c>
      <x:c r="K49" s="479" t="n">
        <x:v>6</x:v>
      </x:c>
      <x:c r="L49" s="387" t="str">
        <x:v>-6</x:v>
      </x:c>
      <x:c r="M49" s="387" t="str">
        <x:v>https://www.sec.gov/Archives/edgar/data/1341439/000119312526389274/orcl-20260831.htm</x:v>
      </x:c>
      <x:c r="N49" s="387" t="str">
        <x:v>10-Q Note 6, pp. 12–13</x:v>
      </x:c>
      <x:c r="O49" s="480"/>
      <x:c r="P49" s="480"/>
      <x:c r="Q49" s="480"/>
      <x:c r="R49" s="481"/>
    </x:row>
    <x:row r="50" ht="45" customHeight="1">
      <x:c r="A50" s="385" t="str">
        <x:v>purchase_total</x:v>
      </x:c>
      <x:c r="B50" s="478" t="n">
        <x:v>34150000000</x:v>
      </x:c>
      <x:c r="C50" s="387" t="str">
        <x:v>Purchase total</x:v>
      </x:c>
      <x:c r="D50" s="482"/>
      <x:c r="E50" s="401" t="d">
        <x:v>2026-08-31T00:00:00.000Z</x:v>
      </x:c>
      <x:c r="F50" s="387" t="str">
        <x:v>10-Q</x:v>
      </x:c>
      <x:c r="G50" s="401" t="d">
        <x:v>2026-09-11T00:00:00.000Z</x:v>
      </x:c>
      <x:c r="H50" s="387" t="str">
        <x:v>0001193125-26-389274</x:v>
      </x:c>
      <x:c r="I50" s="387" t="str">
        <x:v>us-gaap:UnrecordedUnconditionalPurchaseObligationBalanceSheetAmount</x:v>
      </x:c>
      <x:c r="J50" s="387" t="str">
        <x:v>C_6aa4717d-0551-43f7-9cf4-c8a0049a656e</x:v>
      </x:c>
      <x:c r="K50" s="479" t="n">
        <x:v>6</x:v>
      </x:c>
      <x:c r="L50" s="387" t="str">
        <x:v>-6</x:v>
      </x:c>
      <x:c r="M50" s="387" t="str">
        <x:v>https://www.sec.gov/Archives/edgar/data/1341439/000119312526389274/orcl-20260831.htm</x:v>
      </x:c>
      <x:c r="N50" s="387" t="str">
        <x:v>10-Q Note 6, pp. 12–13</x:v>
      </x:c>
      <x:c r="O50" s="480"/>
      <x:c r="P50" s="480"/>
      <x:c r="Q50" s="480"/>
      <x:c r="R50" s="481"/>
    </x:row>
    <x:row r="51" ht="45" customHeight="1">
      <x:c r="A51" s="385" t="str">
        <x:v>annual_0</x:v>
      </x:c>
      <x:c r="B51" s="478" t="n">
        <x:v>7210000000</x:v>
      </x:c>
      <x:c r="C51" s="387" t="str">
        <x:v>Historical May principal: Fiscal 2027</x:v>
      </x:c>
      <x:c r="D51" s="482"/>
      <x:c r="E51" s="401" t="d">
        <x:v>2026-05-31T00:00:00.000Z</x:v>
      </x:c>
      <x:c r="F51" s="387" t="str">
        <x:v>10-K</x:v>
      </x:c>
      <x:c r="G51" s="401" t="d">
        <x:v>2026-06-22T00:00:00.000Z</x:v>
      </x:c>
      <x:c r="H51" s="387" t="str">
        <x:v>0001193125-26-277521</x:v>
      </x:c>
      <x:c r="I51" s="387" t="str">
        <x:v>us-gaap:LongTermDebtMaturitiesRepaymentsOfPrincipalInNextTwelveMonths</x:v>
      </x:c>
      <x:c r="J51" s="387" t="str">
        <x:v>C_f62bade6-47e1-4441-9bb3-1e534300c2f2</x:v>
      </x:c>
      <x:c r="K51" s="479" t="n">
        <x:v>6</x:v>
      </x:c>
      <x:c r="L51" s="387" t="str">
        <x:v>-6</x:v>
      </x:c>
      <x:c r="M51" s="387" t="str">
        <x:v>https://www.sec.gov/Archives/edgar/data/1341439/000119312526277521/orcl-20260531.htm</x:v>
      </x:c>
      <x:c r="N51" s="387" t="str">
        <x:v>10-K Note 6, pp. 83–85</x:v>
      </x:c>
      <x:c r="O51" s="387" t="str">
        <x:v>Historical principal. Not rolled forward to August; excludes interest and leases.</x:v>
      </x:c>
      <x:c r="P51" s="480"/>
      <x:c r="Q51" s="480"/>
      <x:c r="R51" s="481"/>
    </x:row>
    <x:row r="52" ht="45" customHeight="1">
      <x:c r="A52" s="385" t="str">
        <x:v>annual_1</x:v>
      </x:c>
      <x:c r="B52" s="478" t="n">
        <x:v>10145000000</x:v>
      </x:c>
      <x:c r="C52" s="387" t="str">
        <x:v>Historical May principal: Fiscal 2028</x:v>
      </x:c>
      <x:c r="D52" s="482"/>
      <x:c r="E52" s="401" t="d">
        <x:v>2026-05-31T00:00:00.000Z</x:v>
      </x:c>
      <x:c r="F52" s="387" t="str">
        <x:v>10-K</x:v>
      </x:c>
      <x:c r="G52" s="401" t="d">
        <x:v>2026-06-22T00:00:00.000Z</x:v>
      </x:c>
      <x:c r="H52" s="387" t="str">
        <x:v>0001193125-26-277521</x:v>
      </x:c>
      <x:c r="I52" s="387" t="str">
        <x:v>us-gaap:LongTermDebtMaturitiesRepaymentsOfPrincipalInYearTwo</x:v>
      </x:c>
      <x:c r="J52" s="387" t="str">
        <x:v>C_f62bade6-47e1-4441-9bb3-1e534300c2f2</x:v>
      </x:c>
      <x:c r="K52" s="479" t="n">
        <x:v>6</x:v>
      </x:c>
      <x:c r="L52" s="387" t="str">
        <x:v>-6</x:v>
      </x:c>
      <x:c r="M52" s="387" t="str">
        <x:v>https://www.sec.gov/Archives/edgar/data/1341439/000119312526277521/orcl-20260531.htm</x:v>
      </x:c>
      <x:c r="N52" s="387" t="str">
        <x:v>10-K Note 6, pp. 83–85</x:v>
      </x:c>
      <x:c r="O52" s="387" t="str">
        <x:v>Historical principal. Not rolled forward to August; excludes interest and leases.</x:v>
      </x:c>
      <x:c r="P52" s="480"/>
      <x:c r="Q52" s="480"/>
      <x:c r="R52" s="481"/>
    </x:row>
    <x:row r="53" ht="45" customHeight="1">
      <x:c r="A53" s="385" t="str">
        <x:v>annual_2</x:v>
      </x:c>
      <x:c r="B53" s="478" t="n">
        <x:v>5500000000</x:v>
      </x:c>
      <x:c r="C53" s="387" t="str">
        <x:v>Historical May principal: Fiscal 2029</x:v>
      </x:c>
      <x:c r="D53" s="482"/>
      <x:c r="E53" s="401" t="d">
        <x:v>2026-05-31T00:00:00.000Z</x:v>
      </x:c>
      <x:c r="F53" s="387" t="str">
        <x:v>10-K</x:v>
      </x:c>
      <x:c r="G53" s="401" t="d">
        <x:v>2026-06-22T00:00:00.000Z</x:v>
      </x:c>
      <x:c r="H53" s="387" t="str">
        <x:v>0001193125-26-277521</x:v>
      </x:c>
      <x:c r="I53" s="387" t="str">
        <x:v>us-gaap:LongTermDebtMaturitiesRepaymentsOfPrincipalInYearThree</x:v>
      </x:c>
      <x:c r="J53" s="387" t="str">
        <x:v>C_f62bade6-47e1-4441-9bb3-1e534300c2f2</x:v>
      </x:c>
      <x:c r="K53" s="479" t="n">
        <x:v>6</x:v>
      </x:c>
      <x:c r="L53" s="387" t="str">
        <x:v>-6</x:v>
      </x:c>
      <x:c r="M53" s="387" t="str">
        <x:v>https://www.sec.gov/Archives/edgar/data/1341439/000119312526277521/orcl-20260531.htm</x:v>
      </x:c>
      <x:c r="N53" s="387" t="str">
        <x:v>10-K Note 6, pp. 83–85</x:v>
      </x:c>
      <x:c r="O53" s="387" t="str">
        <x:v>Historical principal. Not rolled forward to August; excludes interest and leases.</x:v>
      </x:c>
      <x:c r="P53" s="480"/>
      <x:c r="Q53" s="480"/>
      <x:c r="R53" s="481"/>
    </x:row>
    <x:row r="54" ht="45" customHeight="1">
      <x:c r="A54" s="385" t="str">
        <x:v>annual_3</x:v>
      </x:c>
      <x:c r="B54" s="478" t="n">
        <x:v>7250000000</x:v>
      </x:c>
      <x:c r="C54" s="387" t="str">
        <x:v>Historical May principal: Fiscal 2030</x:v>
      </x:c>
      <x:c r="D54" s="482"/>
      <x:c r="E54" s="401" t="d">
        <x:v>2026-05-31T00:00:00.000Z</x:v>
      </x:c>
      <x:c r="F54" s="387" t="str">
        <x:v>10-K</x:v>
      </x:c>
      <x:c r="G54" s="401" t="d">
        <x:v>2026-06-22T00:00:00.000Z</x:v>
      </x:c>
      <x:c r="H54" s="387" t="str">
        <x:v>0001193125-26-277521</x:v>
      </x:c>
      <x:c r="I54" s="387" t="str">
        <x:v>us-gaap:LongTermDebtMaturitiesRepaymentsOfPrincipalInYearFour</x:v>
      </x:c>
      <x:c r="J54" s="387" t="str">
        <x:v>C_f62bade6-47e1-4441-9bb3-1e534300c2f2</x:v>
      </x:c>
      <x:c r="K54" s="479" t="n">
        <x:v>6</x:v>
      </x:c>
      <x:c r="L54" s="387" t="str">
        <x:v>-6</x:v>
      </x:c>
      <x:c r="M54" s="387" t="str">
        <x:v>https://www.sec.gov/Archives/edgar/data/1341439/000119312526277521/orcl-20260531.htm</x:v>
      </x:c>
      <x:c r="N54" s="387" t="str">
        <x:v>10-K Note 6, pp. 83–85</x:v>
      </x:c>
      <x:c r="O54" s="387" t="str">
        <x:v>Historical principal. Not rolled forward to August; excludes interest and leases.</x:v>
      </x:c>
      <x:c r="P54" s="480"/>
      <x:c r="Q54" s="480"/>
      <x:c r="R54" s="481"/>
    </x:row>
    <x:row r="55" ht="45" customHeight="1">
      <x:c r="A55" s="385" t="str">
        <x:v>annual_4</x:v>
      </x:c>
      <x:c r="B55" s="478" t="n">
        <x:v>9750000000</x:v>
      </x:c>
      <x:c r="C55" s="387" t="str">
        <x:v>Historical May principal: Fiscal 2031</x:v>
      </x:c>
      <x:c r="D55" s="482"/>
      <x:c r="E55" s="401" t="d">
        <x:v>2026-05-31T00:00:00.000Z</x:v>
      </x:c>
      <x:c r="F55" s="387" t="str">
        <x:v>10-K</x:v>
      </x:c>
      <x:c r="G55" s="401" t="d">
        <x:v>2026-06-22T00:00:00.000Z</x:v>
      </x:c>
      <x:c r="H55" s="387" t="str">
        <x:v>0001193125-26-277521</x:v>
      </x:c>
      <x:c r="I55" s="387" t="str">
        <x:v>us-gaap:LongTermDebtMaturitiesRepaymentsOfPrincipalInYearFive</x:v>
      </x:c>
      <x:c r="J55" s="387" t="str">
        <x:v>C_f62bade6-47e1-4441-9bb3-1e534300c2f2</x:v>
      </x:c>
      <x:c r="K55" s="479" t="n">
        <x:v>6</x:v>
      </x:c>
      <x:c r="L55" s="387" t="str">
        <x:v>-6</x:v>
      </x:c>
      <x:c r="M55" s="387" t="str">
        <x:v>https://www.sec.gov/Archives/edgar/data/1341439/000119312526277521/orcl-20260531.htm</x:v>
      </x:c>
      <x:c r="N55" s="387" t="str">
        <x:v>10-K Note 6, pp. 83–85</x:v>
      </x:c>
      <x:c r="O55" s="387" t="str">
        <x:v>Historical principal. Not rolled forward to August; excludes interest and leases.</x:v>
      </x:c>
      <x:c r="P55" s="480"/>
      <x:c r="Q55" s="480"/>
      <x:c r="R55" s="481"/>
    </x:row>
    <x:row r="56" ht="45" customHeight="1">
      <x:c r="A56" s="385" t="str">
        <x:v>annual_5</x:v>
      </x:c>
      <x:c r="B56" s="478" t="n">
        <x:v>90250000000</x:v>
      </x:c>
      <x:c r="C56" s="387" t="str">
        <x:v>Historical May principal: Thereafter</x:v>
      </x:c>
      <x:c r="D56" s="482"/>
      <x:c r="E56" s="401" t="d">
        <x:v>2026-05-31T00:00:00.000Z</x:v>
      </x:c>
      <x:c r="F56" s="387" t="str">
        <x:v>10-K</x:v>
      </x:c>
      <x:c r="G56" s="401" t="d">
        <x:v>2026-06-22T00:00:00.000Z</x:v>
      </x:c>
      <x:c r="H56" s="387" t="str">
        <x:v>0001193125-26-277521</x:v>
      </x:c>
      <x:c r="I56" s="387" t="str">
        <x:v>us-gaap:LongTermDebtMaturitiesRepaymentsOfPrincipalAfterYearFive</x:v>
      </x:c>
      <x:c r="J56" s="387" t="str">
        <x:v>C_f62bade6-47e1-4441-9bb3-1e534300c2f2</x:v>
      </x:c>
      <x:c r="K56" s="479" t="n">
        <x:v>6</x:v>
      </x:c>
      <x:c r="L56" s="387" t="str">
        <x:v>-6</x:v>
      </x:c>
      <x:c r="M56" s="387" t="str">
        <x:v>https://www.sec.gov/Archives/edgar/data/1341439/000119312526277521/orcl-20260531.htm</x:v>
      </x:c>
      <x:c r="N56" s="387" t="str">
        <x:v>10-K Note 6, pp. 83–85</x:v>
      </x:c>
      <x:c r="O56" s="387" t="str">
        <x:v>Historical principal. Not rolled forward to August; excludes interest and leases.</x:v>
      </x:c>
      <x:c r="P56" s="480"/>
      <x:c r="Q56" s="480"/>
      <x:c r="R56" s="481"/>
    </x:row>
    <x:row r="57" ht="45" customHeight="1">
      <x:c r="A57" s="385" t="str">
        <x:v>facility_commitment</x:v>
      </x:c>
      <x:c r="B57" s="478" t="n">
        <x:v>10000000000</x:v>
      </x:c>
      <x:c r="C57" s="387" t="str">
        <x:v>Original revolver commitment</x:v>
      </x:c>
      <x:c r="D57" s="482"/>
      <x:c r="E57" s="401" t="d">
        <x:v>2026-03-06T00:00:00.000Z</x:v>
      </x:c>
      <x:c r="F57" s="387" t="str">
        <x:v>10-Q Ex. 10.17</x:v>
      </x:c>
      <x:c r="G57" s="401" t="d">
        <x:v>2026-03-11T00:00:00.000Z</x:v>
      </x:c>
      <x:c r="H57" s="387" t="str">
        <x:v>0001193125-26-101045</x:v>
      </x:c>
      <x:c r="I57" s="480"/>
      <x:c r="J57" s="480"/>
      <x:c r="K57" s="480"/>
      <x:c r="L57" s="480"/>
      <x:c r="M57" s="387" t="str">
        <x:v>https://www.sec.gov/Archives/edgar/data/1341439/000119312526101045/orcl-ex10_17.htm</x:v>
      </x:c>
      <x:c r="N57" s="387" t="str">
        <x:v>Sections 1.01, 2.01, 2.06, 4.02 and 6.02(c)</x:v>
      </x:c>
      <x:c r="O57" s="480"/>
      <x:c r="P57" s="480"/>
      <x:c r="Q57" s="480"/>
      <x:c r="R57" s="481"/>
    </x:row>
    <x:row r="58" ht="45" customHeight="1">
      <x:c r="A58" s="385" t="str">
        <x:v>facility_drawn</x:v>
      </x:c>
      <x:c r="B58" s="478" t="n">
        <x:v>0</x:v>
      </x:c>
      <x:c r="C58" s="387" t="str">
        <x:v>Revolver drawn, May 31 only</x:v>
      </x:c>
      <x:c r="D58" s="482"/>
      <x:c r="E58" s="401" t="d">
        <x:v>2026-05-31T00:00:00.000Z</x:v>
      </x:c>
      <x:c r="F58" s="387" t="str">
        <x:v>10-K</x:v>
      </x:c>
      <x:c r="G58" s="401" t="d">
        <x:v>2026-06-22T00:00:00.000Z</x:v>
      </x:c>
      <x:c r="H58" s="387" t="str">
        <x:v>0001193125-26-277521</x:v>
      </x:c>
      <x:c r="I58" s="480"/>
      <x:c r="J58" s="480"/>
      <x:c r="K58" s="480"/>
      <x:c r="L58" s="480"/>
      <x:c r="M58" s="387" t="str">
        <x:v>https://www.sec.gov/Archives/edgar/data/1341439/000119312526277521/orcl-20260531.htm</x:v>
      </x:c>
      <x:c r="N58" s="387" t="str">
        <x:v>10-K Note 6, p. 85, filed June 22, 2026</x:v>
      </x:c>
      <x:c r="O58" s="480"/>
      <x:c r="P58" s="480"/>
      <x:c r="Q58" s="480"/>
      <x:c r="R58" s="481"/>
    </x:row>
    <x:row r="59" ht="45" customHeight="1">
      <x:c r="A59" s="385" t="str">
        <x:v>covenant_minimum</x:v>
      </x:c>
      <x:c r="B59" s="483" t="n">
        <x:v>3</x:v>
      </x:c>
      <x:c r="C59" s="387" t="str">
        <x:v>Contract-defined minimum interest coverage (x)</x:v>
      </x:c>
      <x:c r="D59" s="482"/>
      <x:c r="E59" s="401" t="d">
        <x:v>2026-03-06T00:00:00.000Z</x:v>
      </x:c>
      <x:c r="F59" s="387" t="str">
        <x:v>10-Q Ex. 10.17</x:v>
      </x:c>
      <x:c r="G59" s="401" t="d">
        <x:v>2026-03-11T00:00:00.000Z</x:v>
      </x:c>
      <x:c r="H59" s="387" t="str">
        <x:v>0001193125-26-101045</x:v>
      </x:c>
      <x:c r="I59" s="480"/>
      <x:c r="J59" s="480"/>
      <x:c r="K59" s="480"/>
      <x:c r="L59" s="480"/>
      <x:c r="M59" s="387" t="str">
        <x:v>https://www.sec.gov/Archives/edgar/data/1341439/000119312526101045/orcl-ex10_17.htm</x:v>
      </x:c>
      <x:c r="N59" s="387" t="str">
        <x:v>Sections 1.01, 2.01, 2.06, 4.02 and 6.02(c)</x:v>
      </x:c>
      <x:c r="O59" s="480"/>
      <x:c r="P59" s="480"/>
      <x:c r="Q59" s="480"/>
      <x:c r="R59" s="481"/>
    </x:row>
    <x:row r="60" ht="45" customHeight="1">
      <x:c r="A60" s="385" t="str">
        <x:v>facility_may_commitment</x:v>
      </x:c>
      <x:c r="B60" s="478" t="n">
        <x:v>10000000000</x:v>
      </x:c>
      <x:c r="C60" s="387" t="str">
        <x:v>Revolver commitment confirmed at May 31</x:v>
      </x:c>
      <x:c r="D60" s="482"/>
      <x:c r="E60" s="401" t="d">
        <x:v>2026-05-31T00:00:00.000Z</x:v>
      </x:c>
      <x:c r="F60" s="387" t="str">
        <x:v>10-K</x:v>
      </x:c>
      <x:c r="G60" s="401" t="d">
        <x:v>2026-06-22T00:00:00.000Z</x:v>
      </x:c>
      <x:c r="H60" s="387" t="str">
        <x:v>0001193125-26-277521</x:v>
      </x:c>
      <x:c r="I60" s="480"/>
      <x:c r="J60" s="480"/>
      <x:c r="K60" s="480"/>
      <x:c r="L60" s="480"/>
      <x:c r="M60" s="387" t="str">
        <x:v>https://www.sec.gov/Archives/edgar/data/1341439/000119312526277521/orcl-20260531.htm</x:v>
      </x:c>
      <x:c r="N60" s="387" t="str">
        <x:v>10-K Note 6, pp. 84–85</x:v>
      </x:c>
      <x:c r="O60" s="387" t="str">
        <x:v>Reported commitment. Not a drawable amount.</x:v>
      </x:c>
      <x:c r="P60" s="480"/>
      <x:c r="Q60" s="480"/>
      <x:c r="R60" s="481"/>
    </x:row>
    <x:row r="61" ht="45" customHeight="1">
      <x:c r="A61" s="385" t="str">
        <x:v>facility_increase_ceiling</x:v>
      </x:c>
      <x:c r="B61" s="478" t="n">
        <x:v>12000000000</x:v>
      </x:c>
      <x:c r="C61" s="387" t="str">
        <x:v>Conditional aggregate commitment ceiling</x:v>
      </x:c>
      <x:c r="D61" s="482"/>
      <x:c r="E61" s="401" t="d">
        <x:v>2026-03-06T00:00:00.000Z</x:v>
      </x:c>
      <x:c r="F61" s="387" t="str">
        <x:v>10-Q Ex. 10.17</x:v>
      </x:c>
      <x:c r="G61" s="401" t="d">
        <x:v>2026-03-11T00:00:00.000Z</x:v>
      </x:c>
      <x:c r="H61" s="387" t="str">
        <x:v>0001193125-26-101045</x:v>
      </x:c>
      <x:c r="I61" s="480"/>
      <x:c r="J61" s="480"/>
      <x:c r="K61" s="480"/>
      <x:c r="L61" s="480"/>
      <x:c r="M61" s="387" t="str">
        <x:v>https://www.sec.gov/Archives/edgar/data/1341439/000119312526101045/orcl-ex10_17.htm</x:v>
      </x:c>
      <x:c r="N61" s="387" t="str">
        <x:v>§2.05(d)</x:v>
      </x:c>
      <x:c r="O61" s="387" t="str">
        <x:v>Lender agreement and conditions required; no exercised increase established. Not committed capacity.</x:v>
      </x:c>
      <x:c r="P61" s="480"/>
      <x:c r="Q61" s="480"/>
      <x:c r="R61" s="481"/>
    </x:row>
    <x:row r="62" ht="60" customHeight="1">
      <x:c r="A62" s="385" t="str">
        <x:v>revolver_term_0</x:v>
      </x:c>
      <x:c r="B62" s="484"/>
      <x:c r="C62" s="387" t="str">
        <x:v>Replacement of the old facility</x:v>
      </x:c>
      <x:c r="D62" s="482"/>
      <x:c r="E62" s="401" t="d">
        <x:v>2026-05-31T00:00:00.000Z</x:v>
      </x:c>
      <x:c r="F62" s="387" t="str">
        <x:v>10-K</x:v>
      </x:c>
      <x:c r="G62" s="401" t="d">
        <x:v>2026-06-22T00:00:00.000Z</x:v>
      </x:c>
      <x:c r="H62" s="387" t="str">
        <x:v>0001193125-26-277521</x:v>
      </x:c>
      <x:c r="I62" s="480"/>
      <x:c r="J62" s="480"/>
      <x:c r="K62" s="480"/>
      <x:c r="L62" s="480"/>
      <x:c r="M62" s="387" t="str">
        <x:v>https://www.sec.gov/Archives/edgar/data/1341439/000119312526277521/orcl-20260531.htm</x:v>
      </x:c>
      <x:c r="N62" s="387" t="str">
        <x:v>10-K Note 6, p. 85</x:v>
      </x:c>
      <x:c r="O62" s="387" t="str">
        <x:v>The old $6B revolver was terminated on March 6, 2026 when the new $10B facility was entered. They are not two concurrent commitments.</x:v>
      </x:c>
      <x:c r="P62" s="480"/>
      <x:c r="Q62" s="480"/>
      <x:c r="R62" s="481"/>
    </x:row>
    <x:row r="63" ht="66" customHeight="1">
      <x:c r="A63" s="385" t="str">
        <x:v>revolver_term_1</x:v>
      </x:c>
      <x:c r="B63" s="484"/>
      <x:c r="C63" s="387" t="str">
        <x:v>Exposure and letters of credit</x:v>
      </x:c>
      <x:c r="D63" s="482"/>
      <x:c r="E63" s="401" t="d">
        <x:v>2026-03-06T00:00:00.000Z</x:v>
      </x:c>
      <x:c r="F63" s="387" t="str">
        <x:v>10-Q Ex. 10.17</x:v>
      </x:c>
      <x:c r="G63" s="401" t="d">
        <x:v>2026-03-11T00:00:00.000Z</x:v>
      </x:c>
      <x:c r="H63" s="387" t="str">
        <x:v>0001193125-26-101045</x:v>
      </x:c>
      <x:c r="I63" s="480"/>
      <x:c r="J63" s="480"/>
      <x:c r="K63" s="480"/>
      <x:c r="L63" s="480"/>
      <x:c r="M63" s="387" t="str">
        <x:v>https://www.sec.gov/Archives/edgar/data/1341439/000119312526101045/orcl-ex10_17.htm</x:v>
      </x:c>
      <x:c r="N63" s="387" t="str">
        <x:v>§1.01 Revolving Credit Exposure; §2.01</x:v>
      </x:c>
      <x:c r="O63" s="38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480"/>
      <x:c r="Q63" s="480"/>
      <x:c r="R63" s="481"/>
    </x:row>
    <x:row r="64" ht="78" customHeight="1">
      <x:c r="A64" s="385" t="str">
        <x:v>revolver_term_2</x:v>
      </x:c>
      <x:c r="B64" s="484"/>
      <x:c r="C64" s="387" t="str">
        <x:v>Reductions and termination</x:v>
      </x:c>
      <x:c r="D64" s="482"/>
      <x:c r="E64" s="401" t="d">
        <x:v>2026-03-06T00:00:00.000Z</x:v>
      </x:c>
      <x:c r="F64" s="387" t="str">
        <x:v>10-Q Ex. 10.17</x:v>
      </x:c>
      <x:c r="G64" s="401" t="d">
        <x:v>2026-03-11T00:00:00.000Z</x:v>
      </x:c>
      <x:c r="H64" s="387" t="str">
        <x:v>0001193125-26-101045</x:v>
      </x:c>
      <x:c r="I64" s="480"/>
      <x:c r="J64" s="480"/>
      <x:c r="K64" s="480"/>
      <x:c r="L64" s="480"/>
      <x:c r="M64" s="387" t="str">
        <x:v>https://www.sec.gov/Archives/edgar/data/1341439/000119312526101045/orcl-ex10_17.htm</x:v>
      </x:c>
      <x:c r="N64" s="387" t="str">
        <x:v>§§2.04, 7.01</x:v>
      </x:c>
      <x:c r="O64" s="38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480"/>
      <x:c r="Q64" s="480"/>
      <x:c r="R64" s="481"/>
    </x:row>
    <x:row r="65" ht="66" customHeight="1">
      <x:c r="A65" s="385" t="str">
        <x:v>revolver_term_3</x:v>
      </x:c>
      <x:c r="B65" s="484"/>
      <x:c r="C65" s="387" t="str">
        <x:v>Conditional increase ceiling</x:v>
      </x:c>
      <x:c r="D65" s="482"/>
      <x:c r="E65" s="401" t="d">
        <x:v>2026-03-06T00:00:00.000Z</x:v>
      </x:c>
      <x:c r="F65" s="387" t="str">
        <x:v>10-Q Ex. 10.17</x:v>
      </x:c>
      <x:c r="G65" s="401" t="d">
        <x:v>2026-03-11T00:00:00.000Z</x:v>
      </x:c>
      <x:c r="H65" s="387" t="str">
        <x:v>0001193125-26-101045</x:v>
      </x:c>
      <x:c r="I65" s="480"/>
      <x:c r="J65" s="480"/>
      <x:c r="K65" s="480"/>
      <x:c r="L65" s="480"/>
      <x:c r="M65" s="387" t="str">
        <x:v>https://www.sec.gov/Archives/edgar/data/1341439/000119312526101045/orcl-ex10_17.htm</x:v>
      </x:c>
      <x:c r="N65" s="387" t="str">
        <x:v>§2.05, especially (d)</x:v>
      </x:c>
      <x:c r="O65" s="387" t="str">
        <x:v>The agreement permits aggregate commitments up to $12B, subject to conditions and willing existing or additional lenders. This is an option ceiling, not a $12B commitment or $2B of available funding. No exercised increase is established by the saved filings.</x:v>
      </x:c>
      <x:c r="P65" s="480"/>
      <x:c r="Q65" s="480"/>
      <x:c r="R65" s="481"/>
    </x:row>
    <x:row r="66" ht="78" customHeight="1">
      <x:c r="A66" s="385" t="str">
        <x:v>revolver_term_4</x:v>
      </x:c>
      <x:c r="B66" s="484"/>
      <x:c r="C66" s="387" t="str">
        <x:v>Borrowing procedure and conditions</x:v>
      </x:c>
      <x:c r="D66" s="482"/>
      <x:c r="E66" s="401" t="d">
        <x:v>2026-03-06T00:00:00.000Z</x:v>
      </x:c>
      <x:c r="F66" s="387" t="str">
        <x:v>10-Q Ex. 10.17</x:v>
      </x:c>
      <x:c r="G66" s="401" t="d">
        <x:v>2026-03-11T00:00:00.000Z</x:v>
      </x:c>
      <x:c r="H66" s="387" t="str">
        <x:v>0001193125-26-101045</x:v>
      </x:c>
      <x:c r="I66" s="480"/>
      <x:c r="J66" s="480"/>
      <x:c r="K66" s="480"/>
      <x:c r="L66" s="480"/>
      <x:c r="M66" s="387" t="str">
        <x:v>https://www.sec.gov/Archives/edgar/data/1341439/000119312526101045/orcl-ex10_17.htm</x:v>
      </x:c>
      <x:c r="N66" s="387" t="str">
        <x:v>§§2.02, 4.02</x:v>
      </x:c>
      <x:c r="O66" s="38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480"/>
      <x:c r="Q66" s="480"/>
      <x:c r="R66" s="481"/>
    </x:row>
    <x:row r="67" ht="102" customHeight="1">
      <x:c r="A67" s="385" t="str">
        <x:v>revolver_term_5</x:v>
      </x:c>
      <x:c r="B67" s="484"/>
      <x:c r="C67" s="387" t="str">
        <x:v>Covenant and evidence needed</x:v>
      </x:c>
      <x:c r="D67" s="482"/>
      <x:c r="E67" s="401" t="d">
        <x:v>2026-03-06T00:00:00.000Z</x:v>
      </x:c>
      <x:c r="F67" s="387" t="str">
        <x:v>10-Q Ex. 10.17</x:v>
      </x:c>
      <x:c r="G67" s="401" t="d">
        <x:v>2026-03-11T00:00:00.000Z</x:v>
      </x:c>
      <x:c r="H67" s="387" t="str">
        <x:v>0001193125-26-101045</x:v>
      </x:c>
      <x:c r="I67" s="480"/>
      <x:c r="J67" s="480"/>
      <x:c r="K67" s="480"/>
      <x:c r="L67" s="480"/>
      <x:c r="M67" s="387" t="str">
        <x:v>https://www.sec.gov/Archives/edgar/data/1341439/000119312526101045/orcl-ex10_17.htm</x:v>
      </x:c>
      <x:c r="N67" s="387" t="str">
        <x:v>§§1.01, 6.01(f)(iii), 6.02(c)</x:v>
      </x:c>
      <x:c r="O67" s="38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480"/>
      <x:c r="Q67" s="480"/>
      <x:c r="R67" s="481"/>
    </x:row>
    <x:row r="68" ht="60" customHeight="1">
      <x:c r="A68" s="385" t="str">
        <x:v>revolver_term_6</x:v>
      </x:c>
      <x:c r="B68" s="484"/>
      <x:c r="C68" s="387" t="str">
        <x:v>Permitted uses</x:v>
      </x:c>
      <x:c r="D68" s="482"/>
      <x:c r="E68" s="401" t="d">
        <x:v>2026-03-06T00:00:00.000Z</x:v>
      </x:c>
      <x:c r="F68" s="387" t="str">
        <x:v>10-Q Ex. 10.17</x:v>
      </x:c>
      <x:c r="G68" s="401" t="d">
        <x:v>2026-03-11T00:00:00.000Z</x:v>
      </x:c>
      <x:c r="H68" s="387" t="str">
        <x:v>0001193125-26-101045</x:v>
      </x:c>
      <x:c r="I68" s="480"/>
      <x:c r="J68" s="480"/>
      <x:c r="K68" s="480"/>
      <x:c r="L68" s="480"/>
      <x:c r="M68" s="387" t="str">
        <x:v>https://www.sec.gov/Archives/edgar/data/1341439/000119312526101045/orcl-ex10_17.htm</x:v>
      </x:c>
      <x:c r="N68" s="387" t="str">
        <x:v>§§2.21, 6.01(g)</x:v>
      </x:c>
      <x:c r="O68" s="387" t="str">
        <x:v>Working capital and other general corporate purposes, subject to Regulation U/X and sanctions, anti-corruption, anti-bribery and anti-money-laundering restrictions. No allocation to a particular repayment is established.</x:v>
      </x:c>
      <x:c r="P68" s="480"/>
      <x:c r="Q68" s="480"/>
      <x:c r="R68" s="481"/>
    </x:row>
    <x:row r="69" ht="78" customHeight="1">
      <x:c r="A69" s="385" t="str">
        <x:v>revolver_term_7</x:v>
      </x:c>
      <x:c r="B69" s="484"/>
      <x:c r="C69" s="387" t="str">
        <x:v>Expiration and extensions</x:v>
      </x:c>
      <x:c r="D69" s="482"/>
      <x:c r="E69" s="401" t="d">
        <x:v>2026-03-06T00:00:00.000Z</x:v>
      </x:c>
      <x:c r="F69" s="387" t="str">
        <x:v>10-Q Ex. 10.17</x:v>
      </x:c>
      <x:c r="G69" s="401" t="d">
        <x:v>2026-03-11T00:00:00.000Z</x:v>
      </x:c>
      <x:c r="H69" s="387" t="str">
        <x:v>0001193125-26-101045</x:v>
      </x:c>
      <x:c r="I69" s="480"/>
      <x:c r="J69" s="480"/>
      <x:c r="K69" s="480"/>
      <x:c r="L69" s="480"/>
      <x:c r="M69" s="387" t="str">
        <x:v>https://www.sec.gov/Archives/edgar/data/1341439/000119312526101045/orcl-ex10_17.htm</x:v>
      </x:c>
      <x:c r="N69" s="387" t="str">
        <x:v>§§1.01, 2.06, 2.07</x:v>
      </x:c>
      <x:c r="O69" s="38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480"/>
      <x:c r="Q69" s="480"/>
      <x:c r="R69" s="481"/>
    </x:row>
    <x:row r="70" ht="45" customHeight="1">
      <x:c r="A70" s="385" t="str">
        <x:v>revolver_source_annual</x:v>
      </x:c>
      <x:c r="B70" s="484"/>
      <x:c r="C70" s="387" t="str">
        <x:v>Saved document reviewed: orcl-20260531.htm</x:v>
      </x:c>
      <x:c r="D70" s="482"/>
      <x:c r="E70" s="401" t="d">
        <x:v>2026-05-31T00:00:00.000Z</x:v>
      </x:c>
      <x:c r="F70" s="387" t="str">
        <x:v>10-K</x:v>
      </x:c>
      <x:c r="G70" s="401" t="d">
        <x:v>2026-06-22T00:00:00.000Z</x:v>
      </x:c>
      <x:c r="H70" s="387" t="str">
        <x:v>0001193125-26-277521</x:v>
      </x:c>
      <x:c r="I70" s="480"/>
      <x:c r="J70" s="480"/>
      <x:c r="K70" s="480"/>
      <x:c r="L70" s="480"/>
      <x:c r="M70" s="387" t="str">
        <x:v>https://www.sec.gov/Archives/edgar/data/1341439/000119312526277521/orcl-20260531.htm</x:v>
      </x:c>
      <x:c r="N70" s="387" t="str">
        <x:v>Revolver audit source set</x:v>
      </x:c>
      <x:c r="O70" s="387" t="str">
        <x:v>Exact reviewed saved bytes, SHA256 61a353e222f961e516bb3e8eed024a5245cfadbf30e3cc16a4a520129f1bdf63. Part of the seven filing/contract documents; the separate SEC index check is through October 15, 2026.</x:v>
      </x:c>
      <x:c r="P70" s="480"/>
      <x:c r="Q70" s="480"/>
      <x:c r="R70" s="481"/>
    </x:row>
    <x:row r="71" ht="45" customHeight="1">
      <x:c r="A71" s="385" t="str">
        <x:v>revolver_source_quarter</x:v>
      </x:c>
      <x:c r="B71" s="484"/>
      <x:c r="C71" s="387" t="str">
        <x:v>Saved document reviewed: orcl-20260831.htm</x:v>
      </x:c>
      <x:c r="D71" s="482"/>
      <x:c r="E71" s="401" t="d">
        <x:v>2026-08-31T00:00:00.000Z</x:v>
      </x:c>
      <x:c r="F71" s="387" t="str">
        <x:v>10-Q</x:v>
      </x:c>
      <x:c r="G71" s="401" t="d">
        <x:v>2026-09-11T00:00:00.000Z</x:v>
      </x:c>
      <x:c r="H71" s="387" t="str">
        <x:v>0001193125-26-389274</x:v>
      </x:c>
      <x:c r="I71" s="480"/>
      <x:c r="J71" s="480"/>
      <x:c r="K71" s="480"/>
      <x:c r="L71" s="480"/>
      <x:c r="M71" s="387" t="str">
        <x:v>https://www.sec.gov/Archives/edgar/data/1341439/000119312526389274/orcl-20260831.htm</x:v>
      </x:c>
      <x:c r="N71" s="387" t="str">
        <x:v>Revolver audit source set</x:v>
      </x:c>
      <x:c r="O71" s="387" t="str">
        <x:v>Exact reviewed saved bytes, SHA256 051dd4893fa497f36d99c8a355cbc90107f56e1a628c78e38c76e7dca0d4a6fd. Part of the seven filing/contract documents; the separate SEC index check is through October 15, 2026.</x:v>
      </x:c>
      <x:c r="P71" s="480"/>
      <x:c r="Q71" s="480"/>
      <x:c r="R71" s="481"/>
    </x:row>
    <x:row r="72" ht="45" customHeight="1">
      <x:c r="A72" s="385" t="str">
        <x:v>revolver_source_agreement</x:v>
      </x:c>
      <x:c r="B72" s="484"/>
      <x:c r="C72" s="387" t="str">
        <x:v>Saved document reviewed: orcl-ex10_17.htm</x:v>
      </x:c>
      <x:c r="D72" s="482"/>
      <x:c r="E72" s="401" t="d">
        <x:v>2026-03-06T00:00:00.000Z</x:v>
      </x:c>
      <x:c r="F72" s="387" t="str">
        <x:v>10-Q Ex. 10.17</x:v>
      </x:c>
      <x:c r="G72" s="401" t="d">
        <x:v>2026-03-11T00:00:00.000Z</x:v>
      </x:c>
      <x:c r="H72" s="387" t="str">
        <x:v>0001193125-26-101045</x:v>
      </x:c>
      <x:c r="I72" s="480"/>
      <x:c r="J72" s="480"/>
      <x:c r="K72" s="480"/>
      <x:c r="L72" s="480"/>
      <x:c r="M72" s="387" t="str">
        <x:v>https://www.sec.gov/Archives/edgar/data/1341439/000119312526101045/orcl-ex10_17.htm</x:v>
      </x:c>
      <x:c r="N72" s="387" t="str">
        <x:v>Revolver audit source set</x:v>
      </x:c>
      <x:c r="O72" s="387" t="str">
        <x:v>Exact reviewed saved bytes, SHA256 df6152c36ea03e85eeef7153f4a9778cf170bfefd2ffd682c80aa401711478a0. Part of the seven filing/contract documents; the separate SEC index check is through October 15, 2026.</x:v>
      </x:c>
      <x:c r="P72" s="480"/>
      <x:c r="Q72" s="480"/>
      <x:c r="R72" s="481"/>
    </x:row>
    <x:row r="73" ht="45" customHeight="1">
      <x:c r="A73" s="385" t="str">
        <x:v>revolver_source_earnings</x:v>
      </x:c>
      <x:c r="B73" s="484"/>
      <x:c r="C73" s="387" t="str">
        <x:v>Saved document reviewed: orcl-20260910.htm</x:v>
      </x:c>
      <x:c r="D73" s="482"/>
      <x:c r="E73" s="401" t="d">
        <x:v>2026-09-10T00:00:00.000Z</x:v>
      </x:c>
      <x:c r="F73" s="387" t="str">
        <x:v>8-K</x:v>
      </x:c>
      <x:c r="G73" s="401" t="d">
        <x:v>2026-09-10T00:00:00.000Z</x:v>
      </x:c>
      <x:c r="H73" s="387" t="str">
        <x:v>0001193125-26-387905</x:v>
      </x:c>
      <x:c r="I73" s="480"/>
      <x:c r="J73" s="480"/>
      <x:c r="K73" s="480"/>
      <x:c r="L73" s="480"/>
      <x:c r="M73" s="387" t="str">
        <x:v>https://www.sec.gov/Archives/edgar/data/1341439/000119312526387905/orcl-20260910.htm</x:v>
      </x:c>
      <x:c r="N73" s="387" t="str">
        <x:v>Revolver audit source set</x:v>
      </x:c>
      <x:c r="O73" s="387" t="str">
        <x:v>Exact reviewed saved bytes, SHA256 159c0926d92ff240406168337f5361dd67b314a0c465306dcae903aa67107d5c. Part of the seven filing/contract documents; the separate SEC index check is through October 15, 2026.</x:v>
      </x:c>
      <x:c r="P73" s="480"/>
      <x:c r="Q73" s="480"/>
      <x:c r="R73" s="481"/>
    </x:row>
    <x:row r="74" ht="45" customHeight="1">
      <x:c r="A74" s="385" t="str">
        <x:v>revolver_source_earnings_exhibit</x:v>
      </x:c>
      <x:c r="B74" s="484"/>
      <x:c r="C74" s="387" t="str">
        <x:v>Saved document reviewed: orcl-ex99_1.htm</x:v>
      </x:c>
      <x:c r="D74" s="482"/>
      <x:c r="E74" s="401" t="d">
        <x:v>2026-09-10T00:00:00.000Z</x:v>
      </x:c>
      <x:c r="F74" s="387" t="str">
        <x:v>8-K Ex. 99.1</x:v>
      </x:c>
      <x:c r="G74" s="401" t="d">
        <x:v>2026-09-10T00:00:00.000Z</x:v>
      </x:c>
      <x:c r="H74" s="387" t="str">
        <x:v>0001193125-26-387905</x:v>
      </x:c>
      <x:c r="I74" s="480"/>
      <x:c r="J74" s="480"/>
      <x:c r="K74" s="480"/>
      <x:c r="L74" s="480"/>
      <x:c r="M74" s="387" t="str">
        <x:v>https://www.sec.gov/Archives/edgar/data/1341439/000119312526387905/orcl-ex99_1.htm</x:v>
      </x:c>
      <x:c r="N74" s="387" t="str">
        <x:v>Revolver audit source set</x:v>
      </x:c>
      <x:c r="O74" s="387" t="str">
        <x:v>Exact reviewed saved bytes, SHA256 805d1f0650b1498f845c40fd18d7ed2da0db5035165fe6086b35eb856c177eed. Part of the seven filing/contract documents; the separate SEC index check is through October 15, 2026.</x:v>
      </x:c>
      <x:c r="P74" s="480"/>
      <x:c r="Q74" s="480"/>
      <x:c r="R74" s="481"/>
    </x:row>
    <x:row r="75" ht="45" customHeight="1">
      <x:c r="A75" s="385" t="str">
        <x:v>revolver_source_plan</x:v>
      </x:c>
      <x:c r="B75" s="484"/>
      <x:c r="C75" s="387" t="str">
        <x:v>Saved document reviewed: d20034d8k.htm</x:v>
      </x:c>
      <x:c r="D75" s="482"/>
      <x:c r="E75" s="401" t="d">
        <x:v>2026-09-12T00:00:00.000Z</x:v>
      </x:c>
      <x:c r="F75" s="387" t="str">
        <x:v>8-K</x:v>
      </x:c>
      <x:c r="G75" s="401" t="d">
        <x:v>2026-09-14T00:00:00.000Z</x:v>
      </x:c>
      <x:c r="H75" s="387" t="str">
        <x:v>0001193125-26-389753</x:v>
      </x:c>
      <x:c r="I75" s="480"/>
      <x:c r="J75" s="480"/>
      <x:c r="K75" s="480"/>
      <x:c r="L75" s="480"/>
      <x:c r="M75" s="387" t="str">
        <x:v>https://www.sec.gov/Archives/edgar/data/1341439/000119312526389753/d20034d8k.htm</x:v>
      </x:c>
      <x:c r="N75" s="387" t="str">
        <x:v>Revolver audit source set</x:v>
      </x:c>
      <x:c r="O75" s="387" t="str">
        <x:v>Exact reviewed saved bytes, SHA256 d3c88d191e5e9ad5a1e62298e67e10d5f1e3b419dda8e4647a8bca0cd8afefb1. Part of the seven filing/contract documents; the separate SEC index check is through October 15, 2026.</x:v>
      </x:c>
      <x:c r="P75" s="480"/>
      <x:c r="Q75" s="480"/>
      <x:c r="R75" s="481"/>
    </x:row>
    <x:row r="76" ht="45" customHeight="1">
      <x:c r="A76" s="385" t="str">
        <x:v>revolver_source_plan_exhibit</x:v>
      </x:c>
      <x:c r="B76" s="484"/>
      <x:c r="C76" s="387" t="str">
        <x:v>Saved document reviewed: d20034dex991.htm</x:v>
      </x:c>
      <x:c r="D76" s="482"/>
      <x:c r="E76" s="401" t="d">
        <x:v>2026-09-12T00:00:00.000Z</x:v>
      </x:c>
      <x:c r="F76" s="387" t="str">
        <x:v>8-K Ex. 99.1</x:v>
      </x:c>
      <x:c r="G76" s="401" t="d">
        <x:v>2026-09-14T00:00:00.000Z</x:v>
      </x:c>
      <x:c r="H76" s="387" t="str">
        <x:v>0001193125-26-389753</x:v>
      </x:c>
      <x:c r="I76" s="480"/>
      <x:c r="J76" s="480"/>
      <x:c r="K76" s="480"/>
      <x:c r="L76" s="480"/>
      <x:c r="M76" s="387" t="str">
        <x:v>https://www.sec.gov/Archives/edgar/data/1341439/000119312526389753/d20034dex991.htm</x:v>
      </x:c>
      <x:c r="N76" s="387" t="str">
        <x:v>Revolver audit source set</x:v>
      </x:c>
      <x:c r="O76" s="387" t="str">
        <x:v>Exact reviewed saved bytes, SHA256 d934b837abf4c1f17b79c765e48365d76a89f73ee66b6023c14de722b3f8d0b3. Part of the seven filing/contract documents; the separate SEC index check is through October 15, 2026.</x:v>
      </x:c>
      <x:c r="P76" s="480"/>
      <x:c r="Q76" s="480"/>
      <x:c r="R76" s="481"/>
    </x:row>
    <x:row r="77" ht="45" customHeight="1">
      <x:c r="A77" s="385" t="str">
        <x:v>coverage_fy_operating_income</x:v>
      </x:c>
      <x:c r="B77" s="478" t="n">
        <x:v>20606000000</x:v>
      </x:c>
      <x:c r="C77" s="387" t="str">
        <x:v>fy operating_income</x:v>
      </x:c>
      <x:c r="D77" s="401" t="d">
        <x:v>2025-06-01T00:00:00.000Z</x:v>
      </x:c>
      <x:c r="E77" s="401" t="d">
        <x:v>2026-05-31T00:00:00.000Z</x:v>
      </x:c>
      <x:c r="F77" s="387" t="str">
        <x:v>10-K</x:v>
      </x:c>
      <x:c r="G77" s="401" t="d">
        <x:v>2026-06-22T00:00:00.000Z</x:v>
      </x:c>
      <x:c r="H77" s="387" t="str">
        <x:v>0001193125-26-277521</x:v>
      </x:c>
      <x:c r="I77" s="387" t="str">
        <x:v>us-gaap:OperatingIncomeLoss</x:v>
      </x:c>
      <x:c r="J77" s="387" t="str">
        <x:v>C_24317829-d237-4c29-bae3-2e46dd1ae625</x:v>
      </x:c>
      <x:c r="K77" s="479" t="n">
        <x:v>6</x:v>
      </x:c>
      <x:c r="L77" s="387" t="str">
        <x:v>-6</x:v>
      </x:c>
      <x:c r="M77" s="387" t="str">
        <x:v>https://www.sec.gov/Archives/edgar/data/1341439/000119312526277521/orcl-20260531.htm</x:v>
      </x:c>
      <x:c r="N77" s="387" t="str">
        <x:v>Operations p. 65; MD&amp;A p. 50</x:v>
      </x:c>
      <x:c r="O77" s="480" t="str"/>
      <x:c r="P77" s="387" t="str">
        <x:v>None (consolidated total)</x:v>
      </x:c>
      <x:c r="Q77" s="387" t="str">
        <x:v>61a353e222f961e516bb3e8eed024a5245cfadbf30e3cc16a4a520129f1bdf63</x:v>
      </x:c>
      <x:c r="R77" s="398" t="str">
        <x:v>iso4217:USD; Exact tag, duration, USD, Oracle CIK and no dimensions; agreeing duplicates only</x:v>
      </x:c>
    </x:row>
    <x:row r="78" ht="45" customHeight="1">
      <x:c r="A78" s="385" t="str">
        <x:v>coverage_fy_interest</x:v>
      </x:c>
      <x:c r="B78" s="478" t="n">
        <x:v>4599000000</x:v>
      </x:c>
      <x:c r="C78" s="387" t="str">
        <x:v>fy interest</x:v>
      </x:c>
      <x:c r="D78" s="401" t="d">
        <x:v>2025-06-01T00:00:00.000Z</x:v>
      </x:c>
      <x:c r="E78" s="401" t="d">
        <x:v>2026-05-31T00:00:00.000Z</x:v>
      </x:c>
      <x:c r="F78" s="387" t="str">
        <x:v>10-K</x:v>
      </x:c>
      <x:c r="G78" s="401" t="d">
        <x:v>2026-06-22T00:00:00.000Z</x:v>
      </x:c>
      <x:c r="H78" s="387" t="str">
        <x:v>0001193125-26-277521</x:v>
      </x:c>
      <x:c r="I78" s="387" t="str">
        <x:v>us-gaap:InterestExpense</x:v>
      </x:c>
      <x:c r="J78" s="387" t="str">
        <x:v>C_24317829-d237-4c29-bae3-2e46dd1ae625</x:v>
      </x:c>
      <x:c r="K78" s="479" t="n">
        <x:v>6</x:v>
      </x:c>
      <x:c r="L78" s="387" t="str">
        <x:v>-6</x:v>
      </x:c>
      <x:c r="M78" s="387" t="str">
        <x:v>https://www.sec.gov/Archives/edgar/data/1341439/000119312526277521/orcl-20260531.htm</x:v>
      </x:c>
      <x:c r="N78" s="387" t="str">
        <x:v>Operations p. 65; MD&amp;A p. 50</x:v>
      </x:c>
      <x:c r="O78" s="480" t="str"/>
      <x:c r="P78" s="387" t="str">
        <x:v>None (consolidated total)</x:v>
      </x:c>
      <x:c r="Q78" s="387" t="str">
        <x:v>61a353e222f961e516bb3e8eed024a5245cfadbf30e3cc16a4a520129f1bdf63</x:v>
      </x:c>
      <x:c r="R78" s="398" t="str">
        <x:v>iso4217:USD; Exact tag, duration, USD, Oracle CIK and no dimensions; agreeing duplicates only</x:v>
      </x:c>
    </x:row>
    <x:row r="79" ht="45" customHeight="1">
      <x:c r="A79" s="385" t="str">
        <x:v>coverage_fy_lease_interest</x:v>
      </x:c>
      <x:c r="B79" s="478" t="n">
        <x:v>279000000</x:v>
      </x:c>
      <x:c r="C79" s="387" t="str">
        <x:v>fy lease_interest</x:v>
      </x:c>
      <x:c r="D79" s="401" t="d">
        <x:v>2025-06-01T00:00:00.000Z</x:v>
      </x:c>
      <x:c r="E79" s="401" t="d">
        <x:v>2026-05-31T00:00:00.000Z</x:v>
      </x:c>
      <x:c r="F79" s="387" t="str">
        <x:v>10-K</x:v>
      </x:c>
      <x:c r="G79" s="401" t="d">
        <x:v>2026-06-22T00:00:00.000Z</x:v>
      </x:c>
      <x:c r="H79" s="387" t="str">
        <x:v>0001193125-26-277521</x:v>
      </x:c>
      <x:c r="I79" s="387" t="str">
        <x:v>us-gaap:FinanceLeaseInterestExpense</x:v>
      </x:c>
      <x:c r="J79" s="387" t="str">
        <x:v>C_24317829-d237-4c29-bae3-2e46dd1ae625</x:v>
      </x:c>
      <x:c r="K79" s="479" t="n">
        <x:v>6</x:v>
      </x:c>
      <x:c r="L79" s="387" t="str">
        <x:v>-6</x:v>
      </x:c>
      <x:c r="M79" s="387" t="str">
        <x:v>https://www.sec.gov/Archives/edgar/data/1341439/000119312526277521/orcl-20260531.htm</x:v>
      </x:c>
      <x:c r="N79" s="387" t="str">
        <x:v>Leases Note 9 p. 88</x:v>
      </x:c>
      <x:c r="O79" s="480" t="str"/>
      <x:c r="P79" s="387" t="str">
        <x:v>None (consolidated total)</x:v>
      </x:c>
      <x:c r="Q79" s="387" t="str">
        <x:v>61a353e222f961e516bb3e8eed024a5245cfadbf30e3cc16a4a520129f1bdf63</x:v>
      </x:c>
      <x:c r="R79" s="398" t="str">
        <x:v>iso4217:USD; Exact tag, duration, USD, Oracle CIK and no dimensions; agreeing duplicates only</x:v>
      </x:c>
    </x:row>
    <x:row r="80" ht="45" customHeight="1">
      <x:c r="A80" s="385" t="str">
        <x:v>coverage_current_operating_income</x:v>
      </x:c>
      <x:c r="B80" s="478" t="n">
        <x:v>6728000000</x:v>
      </x:c>
      <x:c r="C80" s="387" t="str">
        <x:v>current operating_income</x:v>
      </x:c>
      <x:c r="D80" s="401" t="d">
        <x:v>2026-06-01T00:00:00.000Z</x:v>
      </x:c>
      <x:c r="E80" s="401" t="d">
        <x:v>2026-08-31T00:00:00.000Z</x:v>
      </x:c>
      <x:c r="F80" s="387" t="str">
        <x:v>10-Q</x:v>
      </x:c>
      <x:c r="G80" s="401" t="d">
        <x:v>2026-09-11T00:00:00.000Z</x:v>
      </x:c>
      <x:c r="H80" s="387" t="str">
        <x:v>0001193125-26-389274</x:v>
      </x:c>
      <x:c r="I80" s="387" t="str">
        <x:v>us-gaap:OperatingIncomeLoss</x:v>
      </x:c>
      <x:c r="J80" s="387" t="str">
        <x:v>C_f2f9ad85-08df-4e59-8948-bfd9405570de</x:v>
      </x:c>
      <x:c r="K80" s="479" t="n">
        <x:v>6</x:v>
      </x:c>
      <x:c r="L80" s="387" t="str">
        <x:v>-6</x:v>
      </x:c>
      <x:c r="M80" s="387" t="str">
        <x:v>https://www.sec.gov/Archives/edgar/data/1341439/000119312526389274/orcl-20260831.htm</x:v>
      </x:c>
      <x:c r="N80" s="387" t="str">
        <x:v>Operations p. 2; MD&amp;A p. 32</x:v>
      </x:c>
      <x:c r="O80" s="480" t="str"/>
      <x:c r="P80" s="387" t="str">
        <x:v>None (consolidated total)</x:v>
      </x:c>
      <x:c r="Q80" s="387" t="str">
        <x:v>051dd4893fa497f36d99c8a355cbc90107f56e1a628c78e38c76e7dca0d4a6fd</x:v>
      </x:c>
      <x:c r="R80" s="398" t="str">
        <x:v>iso4217:USD; Exact tag, duration, USD, Oracle CIK and no dimensions; agreeing duplicates only</x:v>
      </x:c>
    </x:row>
    <x:row r="81" ht="45" customHeight="1">
      <x:c r="A81" s="385" t="str">
        <x:v>coverage_current_interest</x:v>
      </x:c>
      <x:c r="B81" s="478" t="n">
        <x:v>1428000000</x:v>
      </x:c>
      <x:c r="C81" s="387" t="str">
        <x:v>current interest</x:v>
      </x:c>
      <x:c r="D81" s="401" t="d">
        <x:v>2026-06-01T00:00:00.000Z</x:v>
      </x:c>
      <x:c r="E81" s="401" t="d">
        <x:v>2026-08-31T00:00:00.000Z</x:v>
      </x:c>
      <x:c r="F81" s="387" t="str">
        <x:v>10-Q</x:v>
      </x:c>
      <x:c r="G81" s="401" t="d">
        <x:v>2026-09-11T00:00:00.000Z</x:v>
      </x:c>
      <x:c r="H81" s="387" t="str">
        <x:v>0001193125-26-389274</x:v>
      </x:c>
      <x:c r="I81" s="387" t="str">
        <x:v>us-gaap:InterestExpense</x:v>
      </x:c>
      <x:c r="J81" s="387" t="str">
        <x:v>C_f2f9ad85-08df-4e59-8948-bfd9405570de</x:v>
      </x:c>
      <x:c r="K81" s="479" t="n">
        <x:v>6</x:v>
      </x:c>
      <x:c r="L81" s="387" t="str">
        <x:v>-6</x:v>
      </x:c>
      <x:c r="M81" s="387" t="str">
        <x:v>https://www.sec.gov/Archives/edgar/data/1341439/000119312526389274/orcl-20260831.htm</x:v>
      </x:c>
      <x:c r="N81" s="387" t="str">
        <x:v>Operations p. 2; MD&amp;A p. 32</x:v>
      </x:c>
      <x:c r="O81" s="480" t="str"/>
      <x:c r="P81" s="387" t="str">
        <x:v>None (consolidated total)</x:v>
      </x:c>
      <x:c r="Q81" s="387" t="str">
        <x:v>051dd4893fa497f36d99c8a355cbc90107f56e1a628c78e38c76e7dca0d4a6fd</x:v>
      </x:c>
      <x:c r="R81" s="398" t="str">
        <x:v>iso4217:USD; Exact tag, duration, USD, Oracle CIK and no dimensions; agreeing duplicates only</x:v>
      </x:c>
    </x:row>
    <x:row r="82" ht="45" customHeight="1">
      <x:c r="A82" s="385" t="str">
        <x:v>coverage_current_lease_interest</x:v>
      </x:c>
      <x:c r="B82" s="478" t="n">
        <x:v>126000000</x:v>
      </x:c>
      <x:c r="C82" s="387" t="str">
        <x:v>current lease_interest</x:v>
      </x:c>
      <x:c r="D82" s="401" t="d">
        <x:v>2026-06-01T00:00:00.000Z</x:v>
      </x:c>
      <x:c r="E82" s="401" t="d">
        <x:v>2026-08-31T00:00:00.000Z</x:v>
      </x:c>
      <x:c r="F82" s="387" t="str">
        <x:v>10-Q</x:v>
      </x:c>
      <x:c r="G82" s="401" t="d">
        <x:v>2026-09-11T00:00:00.000Z</x:v>
      </x:c>
      <x:c r="H82" s="387" t="str">
        <x:v>0001193125-26-389274</x:v>
      </x:c>
      <x:c r="I82" s="387" t="str">
        <x:v>us-gaap:FinanceLeaseInterestExpense</x:v>
      </x:c>
      <x:c r="J82" s="387" t="str">
        <x:v>C_f2f9ad85-08df-4e59-8948-bfd9405570de</x:v>
      </x:c>
      <x:c r="K82" s="479" t="n">
        <x:v>6</x:v>
      </x:c>
      <x:c r="L82" s="387" t="str">
        <x:v>-6</x:v>
      </x:c>
      <x:c r="M82" s="387" t="str">
        <x:v>https://www.sec.gov/Archives/edgar/data/1341439/000119312526389274/orcl-20260831.htm</x:v>
      </x:c>
      <x:c r="N82" s="387" t="str">
        <x:v>Leases Note 6 p. 12</x:v>
      </x:c>
      <x:c r="O82" s="480" t="str"/>
      <x:c r="P82" s="387" t="str">
        <x:v>None (consolidated total)</x:v>
      </x:c>
      <x:c r="Q82" s="387" t="str">
        <x:v>051dd4893fa497f36d99c8a355cbc90107f56e1a628c78e38c76e7dca0d4a6fd</x:v>
      </x:c>
      <x:c r="R82" s="398" t="str">
        <x:v>iso4217:USD; Exact tag, duration, USD, Oracle CIK and no dimensions; agreeing duplicates only</x:v>
      </x:c>
    </x:row>
    <x:row r="83" ht="45" customHeight="1">
      <x:c r="A83" s="385" t="str">
        <x:v>coverage_prior_operating_income</x:v>
      </x:c>
      <x:c r="B83" s="478" t="n">
        <x:v>4277000000</x:v>
      </x:c>
      <x:c r="C83" s="387" t="str">
        <x:v>prior operating_income</x:v>
      </x:c>
      <x:c r="D83" s="401" t="d">
        <x:v>2025-06-01T00:00:00.000Z</x:v>
      </x:c>
      <x:c r="E83" s="401" t="d">
        <x:v>2025-08-31T00:00:00.000Z</x:v>
      </x:c>
      <x:c r="F83" s="387" t="str">
        <x:v>10-Q</x:v>
      </x:c>
      <x:c r="G83" s="401" t="d">
        <x:v>2026-09-11T00:00:00.000Z</x:v>
      </x:c>
      <x:c r="H83" s="387" t="str">
        <x:v>0001193125-26-389274</x:v>
      </x:c>
      <x:c r="I83" s="387" t="str">
        <x:v>us-gaap:OperatingIncomeLoss</x:v>
      </x:c>
      <x:c r="J83" s="387" t="str">
        <x:v>C_a0bdcecc-b2bf-40f4-8106-f50197737571</x:v>
      </x:c>
      <x:c r="K83" s="479" t="n">
        <x:v>6</x:v>
      </x:c>
      <x:c r="L83" s="387" t="str">
        <x:v>-6</x:v>
      </x:c>
      <x:c r="M83" s="387" t="str">
        <x:v>https://www.sec.gov/Archives/edgar/data/1341439/000119312526389274/orcl-20260831.htm</x:v>
      </x:c>
      <x:c r="N83" s="387" t="str">
        <x:v>Operations p. 2; MD&amp;A p. 32</x:v>
      </x:c>
      <x:c r="O83" s="480" t="str"/>
      <x:c r="P83" s="387" t="str">
        <x:v>None (consolidated total)</x:v>
      </x:c>
      <x:c r="Q83" s="387" t="str">
        <x:v>051dd4893fa497f36d99c8a355cbc90107f56e1a628c78e38c76e7dca0d4a6fd</x:v>
      </x:c>
      <x:c r="R83" s="398" t="str">
        <x:v>iso4217:USD; Exact tag, duration, USD, Oracle CIK and no dimensions; agreeing duplicates only</x:v>
      </x:c>
    </x:row>
    <x:row r="84" ht="45" customHeight="1">
      <x:c r="A84" s="385" t="str">
        <x:v>coverage_prior_interest</x:v>
      </x:c>
      <x:c r="B84" s="478" t="n">
        <x:v>923000000</x:v>
      </x:c>
      <x:c r="C84" s="387" t="str">
        <x:v>prior interest</x:v>
      </x:c>
      <x:c r="D84" s="401" t="d">
        <x:v>2025-06-01T00:00:00.000Z</x:v>
      </x:c>
      <x:c r="E84" s="401" t="d">
        <x:v>2025-08-31T00:00:00.000Z</x:v>
      </x:c>
      <x:c r="F84" s="387" t="str">
        <x:v>10-Q</x:v>
      </x:c>
      <x:c r="G84" s="401" t="d">
        <x:v>2026-09-11T00:00:00.000Z</x:v>
      </x:c>
      <x:c r="H84" s="387" t="str">
        <x:v>0001193125-26-389274</x:v>
      </x:c>
      <x:c r="I84" s="387" t="str">
        <x:v>us-gaap:InterestExpense</x:v>
      </x:c>
      <x:c r="J84" s="387" t="str">
        <x:v>C_a0bdcecc-b2bf-40f4-8106-f50197737571</x:v>
      </x:c>
      <x:c r="K84" s="479" t="n">
        <x:v>6</x:v>
      </x:c>
      <x:c r="L84" s="387" t="str">
        <x:v>-6</x:v>
      </x:c>
      <x:c r="M84" s="387" t="str">
        <x:v>https://www.sec.gov/Archives/edgar/data/1341439/000119312526389274/orcl-20260831.htm</x:v>
      </x:c>
      <x:c r="N84" s="387" t="str">
        <x:v>Operations p. 2; MD&amp;A p. 32</x:v>
      </x:c>
      <x:c r="O84" s="480" t="str"/>
      <x:c r="P84" s="387" t="str">
        <x:v>None (consolidated total)</x:v>
      </x:c>
      <x:c r="Q84" s="387" t="str">
        <x:v>051dd4893fa497f36d99c8a355cbc90107f56e1a628c78e38c76e7dca0d4a6fd</x:v>
      </x:c>
      <x:c r="R84" s="398" t="str">
        <x:v>iso4217:USD; Exact tag, duration, USD, Oracle CIK and no dimensions; agreeing duplicates only</x:v>
      </x:c>
    </x:row>
    <x:row r="85" ht="45" customHeight="1">
      <x:c r="A85" s="385" t="str">
        <x:v>coverage_prior_lease_interest</x:v>
      </x:c>
      <x:c r="B85" s="478" t="n">
        <x:v>48000000</x:v>
      </x:c>
      <x:c r="C85" s="387" t="str">
        <x:v>prior lease_interest</x:v>
      </x:c>
      <x:c r="D85" s="401" t="d">
        <x:v>2025-06-01T00:00:00.000Z</x:v>
      </x:c>
      <x:c r="E85" s="401" t="d">
        <x:v>2025-08-31T00:00:00.000Z</x:v>
      </x:c>
      <x:c r="F85" s="387" t="str">
        <x:v>10-Q</x:v>
      </x:c>
      <x:c r="G85" s="401" t="d">
        <x:v>2026-09-11T00:00:00.000Z</x:v>
      </x:c>
      <x:c r="H85" s="387" t="str">
        <x:v>0001193125-26-389274</x:v>
      </x:c>
      <x:c r="I85" s="387" t="str">
        <x:v>us-gaap:FinanceLeaseInterestExpense</x:v>
      </x:c>
      <x:c r="J85" s="387" t="str">
        <x:v>C_a0bdcecc-b2bf-40f4-8106-f50197737571</x:v>
      </x:c>
      <x:c r="K85" s="479" t="n">
        <x:v>6</x:v>
      </x:c>
      <x:c r="L85" s="387" t="str">
        <x:v>-6</x:v>
      </x:c>
      <x:c r="M85" s="387" t="str">
        <x:v>https://www.sec.gov/Archives/edgar/data/1341439/000119312526389274/orcl-20260831.htm</x:v>
      </x:c>
      <x:c r="N85" s="387" t="str">
        <x:v>Leases Note 6 p. 12</x:v>
      </x:c>
      <x:c r="O85" s="480" t="str"/>
      <x:c r="P85" s="387" t="str">
        <x:v>None (consolidated total)</x:v>
      </x:c>
      <x:c r="Q85" s="387" t="str">
        <x:v>051dd4893fa497f36d99c8a355cbc90107f56e1a628c78e38c76e7dca0d4a6fd</x:v>
      </x:c>
      <x:c r="R85" s="398" t="str">
        <x:v>iso4217:USD; Exact tag, duration, USD, Oracle CIK and no dimensions; agreeing duplicates only</x:v>
      </x:c>
    </x:row>
    <x:row r="86" ht="45" customHeight="1">
      <x:c r="A86" s="389" t="str">
        <x:v>financing_index</x:v>
      </x:c>
      <x:c r="B86" s="485"/>
      <x:c r="C86" s="391" t="str">
        <x:v>SEC financing-candidate index</x:v>
      </x:c>
      <x:c r="D86" s="402" t="d">
        <x:v>2026-08-31T00:00:00.000Z</x:v>
      </x:c>
      <x:c r="E86" s="402" t="d">
        <x:v>2026-10-15T00:00:00.000Z</x:v>
      </x:c>
      <x:c r="F86" s="391" t="str">
        <x:v>SEC submissions index</x:v>
      </x:c>
      <x:c r="G86" s="403"/>
      <x:c r="H86" s="486"/>
      <x:c r="I86" s="486"/>
      <x:c r="J86" s="486"/>
      <x:c r="K86" s="486"/>
      <x:c r="L86" s="486"/>
      <x:c r="M86" s="391" t="str">
        <x:v>https://data.sec.gov/submissions/CIK0001341439.json</x:v>
      </x:c>
      <x:c r="N86" s="391" t="str">
        <x:v>Two later 8-K candidates, matched to reviewed documents</x:v>
      </x:c>
      <x:c r="O86" s="391" t="str">
        <x:v>Retrieved index SHA256 bed0ec89b0d273799517d3e332b3a4ba3612168f0e4e9b963759b507f857adec; checked 2026-10-16</x:v>
      </x:c>
      <x:c r="P86" s="486"/>
      <x:c r="Q86" s="391" t="str">
        <x:v>bed0ec89b0d273799517d3e332b3a4ba3612168f0e4e9b963759b507f857adec</x:v>
      </x:c>
      <x:c r="R86" s="487"/>
    </x:row>
    <x:row r="89" ht="72" customHeight="1">
      <x:c r="A89" s="316" t="str">
        <x:v>Funding conclusion evidence</x:v>
      </x:c>
      <x:c r="B89" s="332" t="str">
        <x:v>Filing / filed date</x:v>
      </x:c>
      <x:c r="C89" s="332" t="str">
        <x:v>Accession</x:v>
      </x:c>
      <x:c r="D89" s="371" t="str">
        <x:v>Location</x:v>
      </x:c>
      <x:c r="M89" s="488" t="str">
        <x:v>SEC source</x:v>
      </x:c>
    </x:row>
    <x:row r="90" ht="72" customHeight="1">
      <x:c r="A90" s="324" t="str">
        <x:v>Near-term obligations</x:v>
      </x:c>
      <x:c r="B90" s="335" t="str">
        <x:v>10-Q filed Sep 11, 2026</x:v>
      </x:c>
      <x:c r="C90" s="335" t="str">
        <x:v>0001193125-26-389274</x:v>
      </x:c>
      <x:c r="D90" s="489" t="str">
        <x:v>pp. 1–2, 5–7, 12–14, 32–35</x:v>
      </x:c>
      <x:c r="M90" s="490" t="str">
        <x:v>https://www.sec.gov/Archives/edgar/data/1341439/000119312526389274/orcl-20260831.htm</x:v>
      </x:c>
    </x:row>
    <x:row r="91" ht="72" customHeight="1">
      <x:c r="A91" s="324" t="str">
        <x:v>Near-term obligations</x:v>
      </x:c>
      <x:c r="B91" s="335" t="str">
        <x:v>10-K filed Jun 22, 2026</x:v>
      </x:c>
      <x:c r="C91" s="335" t="str">
        <x:v>0001193125-26-277521</x:v>
      </x:c>
      <x:c r="D91" s="489" t="str">
        <x:v>Note 6 debt table and term-loan terms, pp. 83–86</x:v>
      </x:c>
      <x:c r="M91" s="490" t="str">
        <x:v>https://www.sec.gov/Archives/edgar/data/1341439/000119312526277521/orcl-20260531.htm</x:v>
      </x:c>
    </x:row>
    <x:row r="92" ht="72" customHeight="1">
      <x:c r="A92" s="324" t="str">
        <x:v>Resources and access</x:v>
      </x:c>
      <x:c r="B92" s="335" t="str">
        <x:v>10-Q filed Sep 11, 2026</x:v>
      </x:c>
      <x:c r="C92" s="335" t="str">
        <x:v>0001193125-26-389274</x:v>
      </x:c>
      <x:c r="D92" s="489" t="str">
        <x:v>pp. 1–2, 5–7, 12–14, 32–35</x:v>
      </x:c>
      <x:c r="M92" s="490" t="str">
        <x:v>https://www.sec.gov/Archives/edgar/data/1341439/000119312526389274/orcl-20260831.htm</x:v>
      </x:c>
    </x:row>
    <x:row r="93" ht="72" customHeight="1">
      <x:c r="A93" s="324" t="str">
        <x:v>Resources and access</x:v>
      </x:c>
      <x:c r="B93" s="335" t="str">
        <x:v>10-K filed Jun 22, 2026</x:v>
      </x:c>
      <x:c r="C93" s="335" t="str">
        <x:v>0001193125-26-277521</x:v>
      </x:c>
      <x:c r="D93" s="489" t="str">
        <x:v>pp. 50, 65, 83–85, 88</x:v>
      </x:c>
      <x:c r="M93" s="490" t="str">
        <x:v>https://www.sec.gov/Archives/edgar/data/1341439/000119312526277521/orcl-20260531.htm</x:v>
      </x:c>
    </x:row>
    <x:row r="94" ht="72" customHeight="1">
      <x:c r="A94" s="324" t="str">
        <x:v>Resources and access</x:v>
      </x:c>
      <x:c r="B94" s="335" t="str">
        <x:v>Credit agreement filed Mar 11, 2026</x:v>
      </x:c>
      <x:c r="C94" s="335" t="str">
        <x:v>0001193125-26-101045</x:v>
      </x:c>
      <x:c r="D94" s="489" t="str">
        <x:v>§§2.01, 2.21, 4.02, 6.02(c)</x:v>
      </x:c>
      <x:c r="M94" s="490" t="str">
        <x:v>https://www.sec.gov/Archives/edgar/data/1341439/000119312526101045/orcl-ex10_17.htm</x:v>
      </x:c>
    </x:row>
    <x:row r="95" ht="72" customHeight="1">
      <x:c r="A95" s="324" t="str">
        <x:v>Competing cash uses</x:v>
      </x:c>
      <x:c r="B95" s="335" t="str">
        <x:v>10-Q filed Sep 11, 2026</x:v>
      </x:c>
      <x:c r="C95" s="335" t="str">
        <x:v>0001193125-26-389274</x:v>
      </x:c>
      <x:c r="D95" s="489" t="str">
        <x:v>pp. 1–2, 5–7, 12–14, 32–35</x:v>
      </x:c>
      <x:c r="M95" s="490" t="str">
        <x:v>https://www.sec.gov/Archives/edgar/data/1341439/000119312526389274/orcl-20260831.htm</x:v>
      </x:c>
    </x:row>
    <x:row r="96" ht="72" customHeight="1">
      <x:c r="A96" s="324" t="str">
        <x:v>Decisive unknowns</x:v>
      </x:c>
      <x:c r="B96" s="335" t="str">
        <x:v>10-Q filed Sep 11, 2026</x:v>
      </x:c>
      <x:c r="C96" s="335" t="str">
        <x:v>0001193125-26-389274</x:v>
      </x:c>
      <x:c r="D96" s="489" t="str">
        <x:v>pp. 1–2, 5–7, 12–14, 32–35</x:v>
      </x:c>
      <x:c r="M96" s="490" t="str">
        <x:v>https://www.sec.gov/Archives/edgar/data/1341439/000119312526389274/orcl-20260831.htm</x:v>
      </x:c>
    </x:row>
    <x:row r="97" ht="72" customHeight="1">
      <x:c r="A97" s="324" t="str">
        <x:v>Decisive unknowns</x:v>
      </x:c>
      <x:c r="B97" s="335" t="str">
        <x:v>10-K filed Jun 22, 2026</x:v>
      </x:c>
      <x:c r="C97" s="335" t="str">
        <x:v>0001193125-26-277521</x:v>
      </x:c>
      <x:c r="D97" s="489" t="str">
        <x:v>pp. 50, 65, 83–85, 88</x:v>
      </x:c>
      <x:c r="M97" s="490" t="str">
        <x:v>https://www.sec.gov/Archives/edgar/data/1341439/000119312526277521/orcl-20260531.htm</x:v>
      </x:c>
    </x:row>
    <x:row r="98" ht="72" customHeight="1">
      <x:c r="A98" s="324" t="str">
        <x:v>Decisive unknowns</x:v>
      </x:c>
      <x:c r="B98" s="335" t="str">
        <x:v>Credit agreement filed Mar 11, 2026</x:v>
      </x:c>
      <x:c r="C98" s="335" t="str">
        <x:v>0001193125-26-101045</x:v>
      </x:c>
      <x:c r="D98" s="489" t="str">
        <x:v>§§2.01, 2.21, 4.02, 6.02(c)</x:v>
      </x:c>
      <x:c r="M98" s="490" t="str">
        <x:v>https://www.sec.gov/Archives/edgar/data/1341439/000119312526101045/orcl-ex10_17.htm</x:v>
      </x:c>
    </x:row>
    <x:row r="99" ht="72" customHeight="1">
      <x:c r="A99" s="324" t="str">
        <x:v>Historical coverage</x:v>
      </x:c>
      <x:c r="B99" s="335" t="str">
        <x:v>10-Q filed Sep 11, 2026</x:v>
      </x:c>
      <x:c r="C99" s="335" t="str">
        <x:v>0001193125-26-389274</x:v>
      </x:c>
      <x:c r="D99" s="489" t="str">
        <x:v>Operations p. 2; lease Note 6 p. 12; MD&amp;A p. 32</x:v>
      </x:c>
      <x:c r="M99" s="490" t="str">
        <x:v>https://www.sec.gov/Archives/edgar/data/1341439/000119312526389274/orcl-20260831.htm</x:v>
      </x:c>
    </x:row>
    <x:row r="100" ht="72" customHeight="1">
      <x:c r="A100" s="325" t="str">
        <x:v>Historical coverage</x:v>
      </x:c>
      <x:c r="B100" s="491" t="str">
        <x:v>10-K filed Jun 22, 2026</x:v>
      </x:c>
      <x:c r="C100" s="491" t="str">
        <x:v>0001193125-26-277521</x:v>
      </x:c>
      <x:c r="D100" s="492" t="str">
        <x:v>Operations p. 65; MD&amp;A p. 50; lease Note 9 p. 88</x:v>
      </x:c>
      <x:c r="M100" s="493" t="str">
        <x:v>https://www.sec.gov/Archives/edgar/data/1341439/000119312526277521/orcl-20260531.htm</x:v>
      </x:c>
    </x:row>
    <x:row r="102" ht="78" customHeight="1">
      <x:c r="A102" s="316" t="str">
        <x:v>Key</x:v>
      </x:c>
      <x:c r="B102" s="332" t="str">
        <x:v>USD millions, except ratios (x)</x:v>
      </x:c>
      <x:c r="C102" s="332" t="str">
        <x:v>Reported input</x:v>
      </x:c>
      <x:c r="D102" s="332" t="str">
        <x:v>Period start</x:v>
      </x:c>
      <x:c r="E102" s="332" t="str">
        <x:v>Period end / as of</x:v>
      </x:c>
      <x:c r="F102" s="332" t="str">
        <x:v>Form</x:v>
      </x:c>
      <x:c r="G102" s="332" t="str">
        <x:v>Filed</x:v>
      </x:c>
      <x:c r="H102" s="332" t="str">
        <x:v>Accession</x:v>
      </x:c>
      <x:c r="I102" s="332" t="str">
        <x:v>Tag</x:v>
      </x:c>
      <x:c r="J102" s="332" t="str">
        <x:v>Context ID</x:v>
      </x:c>
      <x:c r="K102" s="332" t="str">
        <x:v>Scale</x:v>
      </x:c>
      <x:c r="L102" s="332" t="str">
        <x:v>Decimals</x:v>
      </x:c>
      <x:c r="M102" s="332" t="str">
        <x:v>Source</x:v>
      </x:c>
      <x:c r="N102" s="332" t="str">
        <x:v>Filing location</x:v>
      </x:c>
      <x:c r="O102" s="332" t="str">
        <x:v>Finding / Unavailable reason</x:v>
      </x:c>
      <x:c r="P102" s="332" t="str">
        <x:v>Dimensions</x:v>
      </x:c>
      <x:c r="Q102" s="332" t="str">
        <x:v>Reviewed source SHA256</x:v>
      </x:c>
      <x:c r="R102" s="317" t="str">
        <x:v>Unit and selection rule</x:v>
      </x:c>
    </x:row>
    <x:row r="103" ht="78" customHeight="1">
      <x:c r="A103" s="324" t="str">
        <x:v>Current borrowing</x:v>
      </x:c>
      <x:c r="B103" s="494" t="n">
        <x:v>7625000000</x:v>
      </x:c>
      <x:c r="C103" s="335" t="str">
        <x:v>Current borrowing</x:v>
      </x:c>
      <x:c r="D103" s="366"/>
      <x:c r="E103" s="334" t="d">
        <x:v>2026-08-31T00:00:00.000Z</x:v>
      </x:c>
      <x:c r="F103" s="335" t="str">
        <x:v>10-Q</x:v>
      </x:c>
      <x:c r="G103" s="334" t="d">
        <x:v>2026-09-11T00:00:00.000Z</x:v>
      </x:c>
      <x:c r="H103" s="335" t="str">
        <x:v>0001193125-26-389274</x:v>
      </x:c>
      <x:c r="I103" s="335" t="str">
        <x:v>us-gaap:NotesPayableCurrent</x:v>
      </x:c>
      <x:c r="J103" s="366"/>
      <x:c r="K103" s="366"/>
      <x:c r="L103" s="366"/>
      <x:c r="M103" s="335" t="str">
        <x:v>https://www.sec.gov/Archives/edgar/data/1341439/000119312526389274/orcl-20260831.htm</x:v>
      </x:c>
      <x:c r="N103" s="335" t="str">
        <x:v>10-Q balance sheet, p. 1</x:v>
      </x:c>
      <x:c r="O103" s="366" t="str"/>
      <x:c r="P103" s="335" t="str">
        <x:v>None (consolidated total)</x:v>
      </x:c>
      <x:c r="Q103" s="366" t="str"/>
      <x:c r="R103" s="319" t="str">
        <x:v>USD; USD instant at the balance-sheet date, from the latest original 10-K or 10-Q itself</x:v>
      </x:c>
    </x:row>
    <x:row r="104" ht="78" customHeight="1">
      <x:c r="A104" s="324" t="str">
        <x:v>Noncurrent borrowing</x:v>
      </x:c>
      <x:c r="B104" s="494" t="n">
        <x:v>117712000000</x:v>
      </x:c>
      <x:c r="C104" s="335" t="str">
        <x:v>Noncurrent borrowing</x:v>
      </x:c>
      <x:c r="D104" s="366"/>
      <x:c r="E104" s="334" t="d">
        <x:v>2026-08-31T00:00:00.000Z</x:v>
      </x:c>
      <x:c r="F104" s="335" t="str">
        <x:v>10-Q</x:v>
      </x:c>
      <x:c r="G104" s="334" t="d">
        <x:v>2026-09-11T00:00:00.000Z</x:v>
      </x:c>
      <x:c r="H104" s="335" t="str">
        <x:v>0001193125-26-389274</x:v>
      </x:c>
      <x:c r="I104" s="335" t="str">
        <x:v>us-gaap:LongTermNotesAndLoans</x:v>
      </x:c>
      <x:c r="J104" s="366"/>
      <x:c r="K104" s="366"/>
      <x:c r="L104" s="366"/>
      <x:c r="M104" s="335" t="str">
        <x:v>https://www.sec.gov/Archives/edgar/data/1341439/000119312526389274/orcl-20260831.htm</x:v>
      </x:c>
      <x:c r="N104" s="335" t="str">
        <x:v>10-Q balance sheet, p. 1</x:v>
      </x:c>
      <x:c r="O104" s="366" t="str"/>
      <x:c r="P104" s="335" t="str">
        <x:v>None (consolidated total)</x:v>
      </x:c>
      <x:c r="Q104" s="366" t="str"/>
      <x:c r="R104" s="319" t="str">
        <x:v>USD; USD instant at the balance-sheet date, from the latest original 10-K or 10-Q itself</x:v>
      </x:c>
    </x:row>
    <x:row r="105" ht="78" customHeight="1">
      <x:c r="A105" s="324" t="str">
        <x:v>Operating lease liabilities — current</x:v>
      </x:c>
      <x:c r="B105" s="494" t="n">
        <x:v>4027000000</x:v>
      </x:c>
      <x:c r="C105" s="335" t="str">
        <x:v>Operating lease liabilities — current</x:v>
      </x:c>
      <x:c r="D105" s="366"/>
      <x:c r="E105" s="334" t="d">
        <x:v>2026-08-31T00:00:00.000Z</x:v>
      </x:c>
      <x:c r="F105" s="335" t="str">
        <x:v>10-Q</x:v>
      </x:c>
      <x:c r="G105" s="334" t="d">
        <x:v>2026-09-11T00:00:00.000Z</x:v>
      </x:c>
      <x:c r="H105" s="335" t="str">
        <x:v>0001193125-26-389274</x:v>
      </x:c>
      <x:c r="I105" s="335" t="str">
        <x:v>us-gaap:OperatingLeaseLiabilityCurrent</x:v>
      </x:c>
      <x:c r="J105" s="335" t="str">
        <x:v>C_6aa4717d-0551-43f7-9cf4-c8a0049a656e</x:v>
      </x:c>
      <x:c r="K105" s="495" t="n">
        <x:v>6</x:v>
      </x:c>
      <x:c r="L105" s="335" t="str">
        <x:v>-6</x:v>
      </x:c>
      <x:c r="M105" s="335" t="str">
        <x:v>https://www.sec.gov/Archives/edgar/data/1341439/000119312526389274/orcl-20260831.htm</x:v>
      </x:c>
      <x:c r="N105" s="335" t="str">
        <x:v>10-Q Note 6, pp. 12–13</x:v>
      </x:c>
      <x:c r="O105" s="366" t="str"/>
      <x:c r="P105" s="335" t="str">
        <x:v>None (consolidated total)</x:v>
      </x:c>
      <x:c r="Q105" s="335" t="str">
        <x:v>051dd4893fa497f36d99c8a355cbc90107f56e1a628c78e38c76e7dca0d4a6fd</x:v>
      </x:c>
      <x:c r="R105" s="319" t="str">
        <x:v>USD; Exact prefixed tag; exact stated instant; USD; no dimensions; agreeing duplicates.</x:v>
      </x:c>
    </x:row>
    <x:row r="106" ht="78" customHeight="1">
      <x:c r="A106" s="324" t="str">
        <x:v>Operating lease liabilities — noncurrent</x:v>
      </x:c>
      <x:c r="B106" s="494" t="n">
        <x:v>30594000000</x:v>
      </x:c>
      <x:c r="C106" s="335" t="str">
        <x:v>Operating lease liabilities — noncurrent</x:v>
      </x:c>
      <x:c r="D106" s="366"/>
      <x:c r="E106" s="334" t="d">
        <x:v>2026-08-31T00:00:00.000Z</x:v>
      </x:c>
      <x:c r="F106" s="335" t="str">
        <x:v>10-Q</x:v>
      </x:c>
      <x:c r="G106" s="334" t="d">
        <x:v>2026-09-11T00:00:00.000Z</x:v>
      </x:c>
      <x:c r="H106" s="335" t="str">
        <x:v>0001193125-26-389274</x:v>
      </x:c>
      <x:c r="I106" s="335" t="str">
        <x:v>us-gaap:OperatingLeaseLiabilityNoncurrent</x:v>
      </x:c>
      <x:c r="J106" s="335" t="str">
        <x:v>C_6aa4717d-0551-43f7-9cf4-c8a0049a656e</x:v>
      </x:c>
      <x:c r="K106" s="495" t="n">
        <x:v>6</x:v>
      </x:c>
      <x:c r="L106" s="335" t="str">
        <x:v>-6</x:v>
      </x:c>
      <x:c r="M106" s="335" t="str">
        <x:v>https://www.sec.gov/Archives/edgar/data/1341439/000119312526389274/orcl-20260831.htm</x:v>
      </x:c>
      <x:c r="N106" s="335" t="str">
        <x:v>10-Q Note 6, pp. 12–13</x:v>
      </x:c>
      <x:c r="O106" s="366" t="str"/>
      <x:c r="P106" s="335" t="str">
        <x:v>None (consolidated total)</x:v>
      </x:c>
      <x:c r="Q106" s="335" t="str">
        <x:v>051dd4893fa497f36d99c8a355cbc90107f56e1a628c78e38c76e7dca0d4a6fd</x:v>
      </x:c>
      <x:c r="R106" s="319" t="str">
        <x:v>USD; Exact prefixed tag; exact stated instant; USD; no dimensions; agreeing duplicates.</x:v>
      </x:c>
    </x:row>
    <x:row r="107" ht="78" customHeight="1">
      <x:c r="A107" s="324" t="str">
        <x:v>Operating lease liabilities — reported total control</x:v>
      </x:c>
      <x:c r="B107" s="494" t="n">
        <x:v>34621000000</x:v>
      </x:c>
      <x:c r="C107" s="335" t="str">
        <x:v>Operating lease liabilities — reported total control</x:v>
      </x:c>
      <x:c r="D107" s="366"/>
      <x:c r="E107" s="334" t="d">
        <x:v>2026-08-31T00:00:00.000Z</x:v>
      </x:c>
      <x:c r="F107" s="335" t="str">
        <x:v>10-Q</x:v>
      </x:c>
      <x:c r="G107" s="334" t="d">
        <x:v>2026-09-11T00:00:00.000Z</x:v>
      </x:c>
      <x:c r="H107" s="335" t="str">
        <x:v>0001193125-26-389274</x:v>
      </x:c>
      <x:c r="I107" s="335" t="str">
        <x:v>us-gaap:OperatingLeaseLiability</x:v>
      </x:c>
      <x:c r="J107" s="335" t="str">
        <x:v>C_6aa4717d-0551-43f7-9cf4-c8a0049a656e</x:v>
      </x:c>
      <x:c r="K107" s="495" t="n">
        <x:v>6</x:v>
      </x:c>
      <x:c r="L107" s="335" t="str">
        <x:v>-6</x:v>
      </x:c>
      <x:c r="M107" s="335" t="str">
        <x:v>https://www.sec.gov/Archives/edgar/data/1341439/000119312526389274/orcl-20260831.htm</x:v>
      </x:c>
      <x:c r="N107" s="335" t="str">
        <x:v>10-Q Note 6, pp. 12–13</x:v>
      </x:c>
      <x:c r="O107" s="366" t="str"/>
      <x:c r="P107" s="335" t="str">
        <x:v>None (consolidated total)</x:v>
      </x:c>
      <x:c r="Q107" s="335" t="str">
        <x:v>051dd4893fa497f36d99c8a355cbc90107f56e1a628c78e38c76e7dca0d4a6fd</x:v>
      </x:c>
      <x:c r="R107" s="319" t="str">
        <x:v>USD; Exact prefixed tag; exact stated instant; USD; no dimensions; agreeing duplicates.</x:v>
      </x:c>
    </x:row>
    <x:row r="108" ht="78" customHeight="1">
      <x:c r="A108" s="324" t="str">
        <x:v>Finance lease liabilities — current</x:v>
      </x:c>
      <x:c r="B108" s="494" t="n">
        <x:v>749000000</x:v>
      </x:c>
      <x:c r="C108" s="335" t="str">
        <x:v>Finance lease liabilities — current</x:v>
      </x:c>
      <x:c r="D108" s="366"/>
      <x:c r="E108" s="334" t="d">
        <x:v>2026-08-31T00:00:00.000Z</x:v>
      </x:c>
      <x:c r="F108" s="335" t="str">
        <x:v>10-Q</x:v>
      </x:c>
      <x:c r="G108" s="334" t="d">
        <x:v>2026-09-11T00:00:00.000Z</x:v>
      </x:c>
      <x:c r="H108" s="335" t="str">
        <x:v>0001193125-26-389274</x:v>
      </x:c>
      <x:c r="I108" s="335" t="str">
        <x:v>us-gaap:FinanceLeaseLiabilityCurrent</x:v>
      </x:c>
      <x:c r="J108" s="335" t="str">
        <x:v>C_6aa4717d-0551-43f7-9cf4-c8a0049a656e</x:v>
      </x:c>
      <x:c r="K108" s="495" t="n">
        <x:v>6</x:v>
      </x:c>
      <x:c r="L108" s="335" t="str">
        <x:v>-6</x:v>
      </x:c>
      <x:c r="M108" s="335" t="str">
        <x:v>https://www.sec.gov/Archives/edgar/data/1341439/000119312526389274/orcl-20260831.htm</x:v>
      </x:c>
      <x:c r="N108" s="335" t="str">
        <x:v>10-Q Note 6, pp. 12–13</x:v>
      </x:c>
      <x:c r="O108" s="366" t="str"/>
      <x:c r="P108" s="335" t="str">
        <x:v>None (consolidated total)</x:v>
      </x:c>
      <x:c r="Q108" s="335" t="str">
        <x:v>051dd4893fa497f36d99c8a355cbc90107f56e1a628c78e38c76e7dca0d4a6fd</x:v>
      </x:c>
      <x:c r="R108" s="319" t="str">
        <x:v>USD; Exact prefixed tag; exact stated instant; USD; no dimensions; agreeing duplicates.</x:v>
      </x:c>
    </x:row>
    <x:row r="109" ht="78" customHeight="1">
      <x:c r="A109" s="324" t="str">
        <x:v>Finance lease liabilities — noncurrent</x:v>
      </x:c>
      <x:c r="B109" s="494" t="n">
        <x:v>8436000000</x:v>
      </x:c>
      <x:c r="C109" s="335" t="str">
        <x:v>Finance lease liabilities — noncurrent</x:v>
      </x:c>
      <x:c r="D109" s="366"/>
      <x:c r="E109" s="334" t="d">
        <x:v>2026-08-31T00:00:00.000Z</x:v>
      </x:c>
      <x:c r="F109" s="335" t="str">
        <x:v>10-Q</x:v>
      </x:c>
      <x:c r="G109" s="334" t="d">
        <x:v>2026-09-11T00:00:00.000Z</x:v>
      </x:c>
      <x:c r="H109" s="335" t="str">
        <x:v>0001193125-26-389274</x:v>
      </x:c>
      <x:c r="I109" s="335" t="str">
        <x:v>us-gaap:FinanceLeaseLiabilityNoncurrent</x:v>
      </x:c>
      <x:c r="J109" s="335" t="str">
        <x:v>C_6aa4717d-0551-43f7-9cf4-c8a0049a656e</x:v>
      </x:c>
      <x:c r="K109" s="495" t="n">
        <x:v>6</x:v>
      </x:c>
      <x:c r="L109" s="335" t="str">
        <x:v>-6</x:v>
      </x:c>
      <x:c r="M109" s="335" t="str">
        <x:v>https://www.sec.gov/Archives/edgar/data/1341439/000119312526389274/orcl-20260831.htm</x:v>
      </x:c>
      <x:c r="N109" s="335" t="str">
        <x:v>10-Q Note 6, pp. 12–13</x:v>
      </x:c>
      <x:c r="O109" s="366" t="str"/>
      <x:c r="P109" s="335" t="str">
        <x:v>None (consolidated total)</x:v>
      </x:c>
      <x:c r="Q109" s="335" t="str">
        <x:v>051dd4893fa497f36d99c8a355cbc90107f56e1a628c78e38c76e7dca0d4a6fd</x:v>
      </x:c>
      <x:c r="R109" s="319" t="str">
        <x:v>USD; Exact prefixed tag; exact stated instant; USD; no dimensions; agreeing duplicates.</x:v>
      </x:c>
    </x:row>
    <x:row r="110" ht="78" customHeight="1">
      <x:c r="A110" s="324" t="str">
        <x:v>Finance lease liabilities — reported total control</x:v>
      </x:c>
      <x:c r="B110" s="494" t="n">
        <x:v>9185000000</x:v>
      </x:c>
      <x:c r="C110" s="335" t="str">
        <x:v>Finance lease liabilities — reported total control</x:v>
      </x:c>
      <x:c r="D110" s="366"/>
      <x:c r="E110" s="334" t="d">
        <x:v>2026-08-31T00:00:00.000Z</x:v>
      </x:c>
      <x:c r="F110" s="335" t="str">
        <x:v>10-Q</x:v>
      </x:c>
      <x:c r="G110" s="334" t="d">
        <x:v>2026-09-11T00:00:00.000Z</x:v>
      </x:c>
      <x:c r="H110" s="335" t="str">
        <x:v>0001193125-26-389274</x:v>
      </x:c>
      <x:c r="I110" s="335" t="str">
        <x:v>us-gaap:FinanceLeaseLiability</x:v>
      </x:c>
      <x:c r="J110" s="335" t="str">
        <x:v>C_6aa4717d-0551-43f7-9cf4-c8a0049a656e</x:v>
      </x:c>
      <x:c r="K110" s="495" t="n">
        <x:v>6</x:v>
      </x:c>
      <x:c r="L110" s="335" t="str">
        <x:v>-6</x:v>
      </x:c>
      <x:c r="M110" s="335" t="str">
        <x:v>https://www.sec.gov/Archives/edgar/data/1341439/000119312526389274/orcl-20260831.htm</x:v>
      </x:c>
      <x:c r="N110" s="335" t="str">
        <x:v>10-Q Note 6, pp. 12–13</x:v>
      </x:c>
      <x:c r="O110" s="366" t="str"/>
      <x:c r="P110" s="335" t="str">
        <x:v>None (consolidated total)</x:v>
      </x:c>
      <x:c r="Q110" s="335" t="str">
        <x:v>051dd4893fa497f36d99c8a355cbc90107f56e1a628c78e38c76e7dca0d4a6fd</x:v>
      </x:c>
      <x:c r="R110" s="319" t="str">
        <x:v>USD; Exact prefixed tag; exact stated instant; USD; no dimensions; agreeing duplicates.</x:v>
      </x:c>
    </x:row>
    <x:row r="111" ht="78" customHeight="1">
      <x:c r="A111" s="325" t="str">
        <x:v>Leases not yet commenced</x:v>
      </x:c>
      <x:c r="B111" s="496" t="n">
        <x:v>288000000000</x:v>
      </x:c>
      <x:c r="C111" s="491" t="str">
        <x:v>Leases not yet commenced</x:v>
      </x:c>
      <x:c r="D111" s="367"/>
      <x:c r="E111" s="363" t="d">
        <x:v>2026-08-31T00:00:00.000Z</x:v>
      </x:c>
      <x:c r="F111" s="491" t="str">
        <x:v>10-Q</x:v>
      </x:c>
      <x:c r="G111" s="363" t="d">
        <x:v>2026-09-11T00:00:00.000Z</x:v>
      </x:c>
      <x:c r="H111" s="491" t="str">
        <x:v>0001193125-26-389274</x:v>
      </x:c>
      <x:c r="I111" s="491" t="str">
        <x:v>orcl:LesseeOperatingLeaseLeaseNotYetCommencedLeaseCommitments</x:v>
      </x:c>
      <x:c r="J111" s="491" t="str">
        <x:v>C_6aa4717d-0551-43f7-9cf4-c8a0049a656e</x:v>
      </x:c>
      <x:c r="K111" s="497" t="n">
        <x:v>9</x:v>
      </x:c>
      <x:c r="L111" s="491" t="str">
        <x:v>-9</x:v>
      </x:c>
      <x:c r="M111" s="491" t="str">
        <x:v>https://www.sec.gov/Archives/edgar/data/1341439/000119312526389274/orcl-20260831.htm</x:v>
      </x:c>
      <x:c r="N111" s="491" t="str">
        <x:v>10-Q Note 6, p. 13</x:v>
      </x:c>
      <x:c r="O111" s="491" t="str">
        <x:v>Amount reported in rounded billions. Future commitment, not a recognized lease liability. Expected to commence Q2 fiscal 2027–fiscal 2029, with 15–19 year terms. Annual payment timing is Unavailable.</x:v>
      </x:c>
      <x:c r="P111" s="491" t="str">
        <x:v>None (consolidated total)</x:v>
      </x:c>
      <x:c r="Q111" s="491" t="str">
        <x:v>051dd4893fa497f36d99c8a355cbc90107f56e1a628c78e38c76e7dca0d4a6fd</x:v>
      </x:c>
      <x:c r="R111" s="321" t="str">
        <x:v>USD; Exact prefixed tag; exact stated instant; USD; no dimensions; agreeing duplicates.</x:v>
      </x:c>
    </x:row>
    <x:row r="114" ht="86" customHeight="1">
      <x:c r="A114" s="316" t="str">
        <x:v>Key</x:v>
      </x:c>
      <x:c r="B114" s="332" t="str">
        <x:v>USD millions, except ratios (x)</x:v>
      </x:c>
      <x:c r="C114" s="332" t="str">
        <x:v>Reported input</x:v>
      </x:c>
      <x:c r="D114" s="332" t="str">
        <x:v>Period start</x:v>
      </x:c>
      <x:c r="E114" s="332" t="str">
        <x:v>Period end / as of</x:v>
      </x:c>
      <x:c r="F114" s="332" t="str">
        <x:v>Form</x:v>
      </x:c>
      <x:c r="G114" s="332" t="str">
        <x:v>Filed</x:v>
      </x:c>
      <x:c r="H114" s="332" t="str">
        <x:v>Accession</x:v>
      </x:c>
      <x:c r="I114" s="332" t="str">
        <x:v>Tag</x:v>
      </x:c>
      <x:c r="J114" s="332" t="str">
        <x:v>Context ID</x:v>
      </x:c>
      <x:c r="K114" s="332" t="str">
        <x:v>Scale</x:v>
      </x:c>
      <x:c r="L114" s="332" t="str">
        <x:v>Decimals</x:v>
      </x:c>
      <x:c r="M114" s="332" t="str">
        <x:v>Source</x:v>
      </x:c>
      <x:c r="N114" s="332" t="str">
        <x:v>Filing location</x:v>
      </x:c>
      <x:c r="O114" s="332" t="str">
        <x:v>Finding / Unavailable reason</x:v>
      </x:c>
      <x:c r="P114" s="332" t="str">
        <x:v>Dimensions</x:v>
      </x:c>
      <x:c r="Q114" s="332" t="str">
        <x:v>Reviewed source SHA256</x:v>
      </x:c>
      <x:c r="R114" s="317" t="str">
        <x:v>Unit and selection rule</x:v>
      </x:c>
    </x:row>
    <x:row r="115" ht="86" customHeight="1">
      <x:c r="A115" s="324" t="str">
        <x:v>Ratio input: Cash and cash equivalents</x:v>
      </x:c>
      <x:c r="B115" s="494" t="n">
        <x:v>36369000000</x:v>
      </x:c>
      <x:c r="C115" s="335" t="str">
        <x:v>Cash and cash equivalents</x:v>
      </x:c>
      <x:c r="D115" s="498"/>
      <x:c r="E115" s="334" t="d">
        <x:v>2026-08-31T00:00:00.000Z</x:v>
      </x:c>
      <x:c r="F115" s="335" t="str">
        <x:v>10-Q</x:v>
      </x:c>
      <x:c r="G115" s="334" t="d">
        <x:v>2026-09-11T00:00:00.000Z</x:v>
      </x:c>
      <x:c r="H115" s="335" t="str">
        <x:v>0001193125-26-389274</x:v>
      </x:c>
      <x:c r="I115" s="335" t="str">
        <x:v>us-gaap:CashAndCashEquivalentsAtCarryingValue</x:v>
      </x:c>
      <x:c r="J115" s="366"/>
      <x:c r="K115" s="366"/>
      <x:c r="L115" s="366"/>
      <x:c r="M115" s="335" t="str">
        <x:v>https://www.sec.gov/Archives/edgar/data/1341439/000119312526389274/orcl-20260831.htm</x:v>
      </x:c>
      <x:c r="N115" s="335" t="str">
        <x:v>Checked balance sheet / cash-flow statement</x:v>
      </x:c>
      <x:c r="O115" s="335" t="str">
        <x:v>USD instant at the balance-sheet date, from the latest original 10-K or 10-Q itself</x:v>
      </x:c>
      <x:c r="P115" s="335" t="str">
        <x:v>None (consolidated total)</x:v>
      </x:c>
      <x:c r="Q115" s="366"/>
      <x:c r="R115" s="319" t="str">
        <x:v>USD</x:v>
      </x:c>
    </x:row>
    <x:row r="116" ht="86" customHeight="1">
      <x:c r="A116" s="324" t="str">
        <x:v>Ratio input: Notes payable and other borrowings, current</x:v>
      </x:c>
      <x:c r="B116" s="494" t="n">
        <x:v>7625000000</x:v>
      </x:c>
      <x:c r="C116" s="335" t="str">
        <x:v>Notes payable and other borrowings, current</x:v>
      </x:c>
      <x:c r="D116" s="498"/>
      <x:c r="E116" s="334" t="d">
        <x:v>2026-08-31T00:00:00.000Z</x:v>
      </x:c>
      <x:c r="F116" s="335" t="str">
        <x:v>10-Q</x:v>
      </x:c>
      <x:c r="G116" s="334" t="d">
        <x:v>2026-09-11T00:00:00.000Z</x:v>
      </x:c>
      <x:c r="H116" s="335" t="str">
        <x:v>0001193125-26-389274</x:v>
      </x:c>
      <x:c r="I116" s="335" t="str">
        <x:v>us-gaap:NotesPayableCurrent</x:v>
      </x:c>
      <x:c r="J116" s="366"/>
      <x:c r="K116" s="366"/>
      <x:c r="L116" s="366"/>
      <x:c r="M116" s="335" t="str">
        <x:v>https://www.sec.gov/Archives/edgar/data/1341439/000119312526389274/orcl-20260831.htm</x:v>
      </x:c>
      <x:c r="N116" s="335" t="str">
        <x:v>Checked balance sheet / cash-flow statement</x:v>
      </x:c>
      <x:c r="O116" s="335" t="str">
        <x:v>USD instant at the balance-sheet date, from the latest original 10-K or 10-Q itself</x:v>
      </x:c>
      <x:c r="P116" s="335" t="str">
        <x:v>None (consolidated total)</x:v>
      </x:c>
      <x:c r="Q116" s="366"/>
      <x:c r="R116" s="319" t="str">
        <x:v>USD</x:v>
      </x:c>
    </x:row>
    <x:row r="117" ht="86" customHeight="1">
      <x:c r="A117" s="324" t="str">
        <x:v>Ratio input: Notes payable and other borrowings, non-current</x:v>
      </x:c>
      <x:c r="B117" s="494" t="n">
        <x:v>117712000000</x:v>
      </x:c>
      <x:c r="C117" s="335" t="str">
        <x:v>Notes payable and other borrowings, non-current</x:v>
      </x:c>
      <x:c r="D117" s="498"/>
      <x:c r="E117" s="334" t="d">
        <x:v>2026-08-31T00:00:00.000Z</x:v>
      </x:c>
      <x:c r="F117" s="335" t="str">
        <x:v>10-Q</x:v>
      </x:c>
      <x:c r="G117" s="334" t="d">
        <x:v>2026-09-11T00:00:00.000Z</x:v>
      </x:c>
      <x:c r="H117" s="335" t="str">
        <x:v>0001193125-26-389274</x:v>
      </x:c>
      <x:c r="I117" s="335" t="str">
        <x:v>us-gaap:LongTermNotesAndLoans</x:v>
      </x:c>
      <x:c r="J117" s="366"/>
      <x:c r="K117" s="366"/>
      <x:c r="L117" s="366"/>
      <x:c r="M117" s="335" t="str">
        <x:v>https://www.sec.gov/Archives/edgar/data/1341439/000119312526389274/orcl-20260831.htm</x:v>
      </x:c>
      <x:c r="N117" s="335" t="str">
        <x:v>Checked balance sheet / cash-flow statement</x:v>
      </x:c>
      <x:c r="O117" s="335" t="str">
        <x:v>USD instant at the balance-sheet date, from the latest original 10-K or 10-Q itself</x:v>
      </x:c>
      <x:c r="P117" s="335" t="str">
        <x:v>None (consolidated total)</x:v>
      </x:c>
      <x:c r="Q117" s="366"/>
      <x:c r="R117" s="319" t="str">
        <x:v>USD</x:v>
      </x:c>
    </x:row>
    <x:row r="118" ht="86" customHeight="1">
      <x:c r="A118" s="324" t="str">
        <x:v>Ratio input: Current liabilities</x:v>
      </x:c>
      <x:c r="B118" s="494" t="n">
        <x:v>47514000000</x:v>
      </x:c>
      <x:c r="C118" s="335" t="str">
        <x:v>Current liabilities</x:v>
      </x:c>
      <x:c r="D118" s="498"/>
      <x:c r="E118" s="334" t="d">
        <x:v>2026-08-31T00:00:00.000Z</x:v>
      </x:c>
      <x:c r="F118" s="335" t="str">
        <x:v>10-Q</x:v>
      </x:c>
      <x:c r="G118" s="334" t="d">
        <x:v>2026-09-11T00:00:00.000Z</x:v>
      </x:c>
      <x:c r="H118" s="335" t="str">
        <x:v>0001193125-26-389274</x:v>
      </x:c>
      <x:c r="I118" s="335" t="str">
        <x:v>us-gaap:LiabilitiesCurrent</x:v>
      </x:c>
      <x:c r="J118" s="366"/>
      <x:c r="K118" s="366"/>
      <x:c r="L118" s="366"/>
      <x:c r="M118" s="335" t="str">
        <x:v>https://www.sec.gov/Archives/edgar/data/1341439/000119312526389274/orcl-20260831.htm</x:v>
      </x:c>
      <x:c r="N118" s="335" t="str">
        <x:v>Checked balance sheet / cash-flow statement</x:v>
      </x:c>
      <x:c r="O118" s="335" t="str">
        <x:v>USD instant at the balance-sheet date, from the latest original 10-K or 10-Q itself</x:v>
      </x:c>
      <x:c r="P118" s="335" t="str">
        <x:v>None (consolidated total)</x:v>
      </x:c>
      <x:c r="Q118" s="366"/>
      <x:c r="R118" s="319" t="str">
        <x:v>USD</x:v>
      </x:c>
    </x:row>
    <x:row r="119" ht="86" customHeight="1">
      <x:c r="A119" s="324" t="str">
        <x:v>Ratio input: Current assets</x:v>
      </x:c>
      <x:c r="B119" s="494" t="n">
        <x:v>55630000000</x:v>
      </x:c>
      <x:c r="C119" s="335" t="str">
        <x:v>Current assets</x:v>
      </x:c>
      <x:c r="D119" s="498"/>
      <x:c r="E119" s="334" t="d">
        <x:v>2026-08-31T00:00:00.000Z</x:v>
      </x:c>
      <x:c r="F119" s="335" t="str">
        <x:v>10-Q</x:v>
      </x:c>
      <x:c r="G119" s="334" t="d">
        <x:v>2026-09-11T00:00:00.000Z</x:v>
      </x:c>
      <x:c r="H119" s="335" t="str">
        <x:v>0001193125-26-389274</x:v>
      </x:c>
      <x:c r="I119" s="335" t="str">
        <x:v>us-gaap:AssetsCurrent</x:v>
      </x:c>
      <x:c r="J119" s="366"/>
      <x:c r="K119" s="366"/>
      <x:c r="L119" s="366"/>
      <x:c r="M119" s="335" t="str">
        <x:v>https://www.sec.gov/Archives/edgar/data/1341439/000119312526389274/orcl-20260831.htm</x:v>
      </x:c>
      <x:c r="N119" s="335" t="str">
        <x:v>Checked balance sheet / cash-flow statement</x:v>
      </x:c>
      <x:c r="O119" s="335" t="str">
        <x:v>USD instant at the balance-sheet date, from the latest original 10-K or 10-Q itself</x:v>
      </x:c>
      <x:c r="P119" s="335" t="str">
        <x:v>None (consolidated total)</x:v>
      </x:c>
      <x:c r="Q119" s="366"/>
      <x:c r="R119" s="319" t="str">
        <x:v>USD</x:v>
      </x:c>
    </x:row>
    <x:row r="120" ht="86" customHeight="1">
      <x:c r="A120" s="324" t="str">
        <x:v>Ratio input: Operating cash flow · fiscal year</x:v>
      </x:c>
      <x:c r="B120" s="494" t="n">
        <x:v>31977000000</x:v>
      </x:c>
      <x:c r="C120" s="335" t="str">
        <x:v>Operating cash flow · fiscal year</x:v>
      </x:c>
      <x:c r="D120" s="334" t="d">
        <x:v>2025-06-01T00:00:00.000Z</x:v>
      </x:c>
      <x:c r="E120" s="334" t="d">
        <x:v>2026-05-31T00:00:00.000Z</x:v>
      </x:c>
      <x:c r="F120" s="335" t="str">
        <x:v>10-K</x:v>
      </x:c>
      <x:c r="G120" s="334" t="d">
        <x:v>2026-06-22T00:00:00.000Z</x:v>
      </x:c>
      <x:c r="H120" s="335" t="str">
        <x:v>0001193125-26-277521</x:v>
      </x:c>
      <x:c r="I120" s="335" t="str">
        <x:v>us-gaap:NetCashProvidedByUsedInOperatingActivities</x:v>
      </x:c>
      <x:c r="J120" s="335" t="str">
        <x:v>C_24317829-d237-4c29-bae3-2e46dd1ae625</x:v>
      </x:c>
      <x:c r="K120" s="495" t="n">
        <x:v>6</x:v>
      </x:c>
      <x:c r="L120" s="335" t="str">
        <x:v>-6</x:v>
      </x:c>
      <x:c r="M120" s="335" t="str">
        <x:v>https://www.sec.gov/Archives/edgar/data/1341439/000119312526277521/orcl-20260531.htm</x:v>
      </x:c>
      <x:c r="N120" s="335" t="str">
        <x:v>Checked balance sheet / cash-flow statement</x:v>
      </x:c>
      <x:c r="O120" s="335" t="str">
        <x:v>Exact tag, USD duration, exact start and end dates, no dimensions</x:v>
      </x:c>
      <x:c r="P120" s="335" t="str">
        <x:v>None (consolidated total)</x:v>
      </x:c>
      <x:c r="Q120" s="366"/>
      <x:c r="R120" s="319" t="str">
        <x:v>USD</x:v>
      </x:c>
    </x:row>
    <x:row r="121" ht="86" customHeight="1">
      <x:c r="A121" s="324" t="str">
        <x:v>Ratio input: Operating cash flow · current year to date</x:v>
      </x:c>
      <x:c r="B121" s="494" t="n">
        <x:v>23103000000</x:v>
      </x:c>
      <x:c r="C121" s="335" t="str">
        <x:v>Operating cash flow · current year to date</x:v>
      </x:c>
      <x:c r="D121" s="334" t="d">
        <x:v>2026-06-01T00:00:00.000Z</x:v>
      </x:c>
      <x:c r="E121" s="334" t="d">
        <x:v>2026-08-31T00:00:00.000Z</x:v>
      </x:c>
      <x:c r="F121" s="335" t="str">
        <x:v>10-Q</x:v>
      </x:c>
      <x:c r="G121" s="334" t="d">
        <x:v>2026-09-11T00:00:00.000Z</x:v>
      </x:c>
      <x:c r="H121" s="335" t="str">
        <x:v>0001193125-26-389274</x:v>
      </x:c>
      <x:c r="I121" s="335" t="str">
        <x:v>us-gaap:NetCashProvidedByUsedInOperatingActivities</x:v>
      </x:c>
      <x:c r="J121" s="335" t="str">
        <x:v>C_f2f9ad85-08df-4e59-8948-bfd9405570de</x:v>
      </x:c>
      <x:c r="K121" s="495" t="n">
        <x:v>6</x:v>
      </x:c>
      <x:c r="L121" s="335" t="str">
        <x:v>-6</x:v>
      </x:c>
      <x:c r="M121" s="335" t="str">
        <x:v>https://www.sec.gov/Archives/edgar/data/1341439/000119312526389274/orcl-20260831.htm</x:v>
      </x:c>
      <x:c r="N121" s="335" t="str">
        <x:v>Checked balance sheet / cash-flow statement</x:v>
      </x:c>
      <x:c r="O121" s="335" t="str">
        <x:v>Exact tag, USD duration, exact start and end dates, no dimensions</x:v>
      </x:c>
      <x:c r="P121" s="335" t="str">
        <x:v>None (consolidated total)</x:v>
      </x:c>
      <x:c r="Q121" s="366"/>
      <x:c r="R121" s="319" t="str">
        <x:v>USD</x:v>
      </x:c>
    </x:row>
    <x:row r="122" ht="86" customHeight="1">
      <x:c r="A122" s="324" t="str">
        <x:v>Ratio input: Operating cash flow · prior year to date</x:v>
      </x:c>
      <x:c r="B122" s="494" t="n">
        <x:v>8140000000</x:v>
      </x:c>
      <x:c r="C122" s="335" t="str">
        <x:v>Operating cash flow · prior year to date</x:v>
      </x:c>
      <x:c r="D122" s="334" t="d">
        <x:v>2025-06-01T00:00:00.000Z</x:v>
      </x:c>
      <x:c r="E122" s="334" t="d">
        <x:v>2025-08-31T00:00:00.000Z</x:v>
      </x:c>
      <x:c r="F122" s="335" t="str">
        <x:v>10-Q</x:v>
      </x:c>
      <x:c r="G122" s="334" t="d">
        <x:v>2026-09-11T00:00:00.000Z</x:v>
      </x:c>
      <x:c r="H122" s="335" t="str">
        <x:v>0001193125-26-389274</x:v>
      </x:c>
      <x:c r="I122" s="335" t="str">
        <x:v>us-gaap:NetCashProvidedByUsedInOperatingActivities</x:v>
      </x:c>
      <x:c r="J122" s="335" t="str">
        <x:v>C_a0bdcecc-b2bf-40f4-8106-f50197737571</x:v>
      </x:c>
      <x:c r="K122" s="495" t="n">
        <x:v>6</x:v>
      </x:c>
      <x:c r="L122" s="335" t="str">
        <x:v>-6</x:v>
      </x:c>
      <x:c r="M122" s="335" t="str">
        <x:v>https://www.sec.gov/Archives/edgar/data/1341439/000119312526389274/orcl-20260831.htm</x:v>
      </x:c>
      <x:c r="N122" s="335" t="str">
        <x:v>Checked balance sheet / cash-flow statement</x:v>
      </x:c>
      <x:c r="O122" s="335" t="str">
        <x:v>Exact tag, USD duration, exact start and end dates, no dimensions</x:v>
      </x:c>
      <x:c r="P122" s="335" t="str">
        <x:v>None (consolidated total)</x:v>
      </x:c>
      <x:c r="Q122" s="366"/>
      <x:c r="R122" s="319" t="str">
        <x:v>USD</x:v>
      </x:c>
    </x:row>
    <x:row r="123" ht="86" customHeight="1">
      <x:c r="A123" s="324" t="str">
        <x:v>Ratio input: Capital expenditures · fiscal year</x:v>
      </x:c>
      <x:c r="B123" s="494" t="n">
        <x:v>55663000000</x:v>
      </x:c>
      <x:c r="C123" s="335" t="str">
        <x:v>Capital expenditures · fiscal year</x:v>
      </x:c>
      <x:c r="D123" s="334" t="d">
        <x:v>2025-06-01T00:00:00.000Z</x:v>
      </x:c>
      <x:c r="E123" s="334" t="d">
        <x:v>2026-05-31T00:00:00.000Z</x:v>
      </x:c>
      <x:c r="F123" s="335" t="str">
        <x:v>10-K</x:v>
      </x:c>
      <x:c r="G123" s="334" t="d">
        <x:v>2026-06-22T00:00:00.000Z</x:v>
      </x:c>
      <x:c r="H123" s="335" t="str">
        <x:v>0001193125-26-277521</x:v>
      </x:c>
      <x:c r="I123" s="335" t="str">
        <x:v>us-gaap:PaymentsToAcquirePropertyPlantAndEquipment</x:v>
      </x:c>
      <x:c r="J123" s="335" t="str">
        <x:v>C_24317829-d237-4c29-bae3-2e46dd1ae625</x:v>
      </x:c>
      <x:c r="K123" s="495" t="n">
        <x:v>6</x:v>
      </x:c>
      <x:c r="L123" s="335" t="str">
        <x:v>-6</x:v>
      </x:c>
      <x:c r="M123" s="335" t="str">
        <x:v>https://www.sec.gov/Archives/edgar/data/1341439/000119312526277521/orcl-20260531.htm</x:v>
      </x:c>
      <x:c r="N123" s="335" t="str">
        <x:v>Checked balance sheet / cash-flow statement</x:v>
      </x:c>
      <x:c r="O123" s="335" t="str">
        <x:v>Exact tag, USD duration, exact start and end dates, no dimensions</x:v>
      </x:c>
      <x:c r="P123" s="335" t="str">
        <x:v>None (consolidated total)</x:v>
      </x:c>
      <x:c r="Q123" s="366"/>
      <x:c r="R123" s="319" t="str">
        <x:v>USD</x:v>
      </x:c>
    </x:row>
    <x:row r="124" ht="86" customHeight="1">
      <x:c r="A124" s="324" t="str">
        <x:v>Ratio input: Capital expenditures · current year to date</x:v>
      </x:c>
      <x:c r="B124" s="494" t="n">
        <x:v>28499000000</x:v>
      </x:c>
      <x:c r="C124" s="335" t="str">
        <x:v>Capital expenditures · current year to date</x:v>
      </x:c>
      <x:c r="D124" s="334" t="d">
        <x:v>2026-06-01T00:00:00.000Z</x:v>
      </x:c>
      <x:c r="E124" s="334" t="d">
        <x:v>2026-08-31T00:00:00.000Z</x:v>
      </x:c>
      <x:c r="F124" s="335" t="str">
        <x:v>10-Q</x:v>
      </x:c>
      <x:c r="G124" s="334" t="d">
        <x:v>2026-09-11T00:00:00.000Z</x:v>
      </x:c>
      <x:c r="H124" s="335" t="str">
        <x:v>0001193125-26-389274</x:v>
      </x:c>
      <x:c r="I124" s="335" t="str">
        <x:v>us-gaap:PaymentsToAcquirePropertyPlantAndEquipment</x:v>
      </x:c>
      <x:c r="J124" s="335" t="str">
        <x:v>C_f2f9ad85-08df-4e59-8948-bfd9405570de</x:v>
      </x:c>
      <x:c r="K124" s="495" t="n">
        <x:v>6</x:v>
      </x:c>
      <x:c r="L124" s="335" t="str">
        <x:v>-6</x:v>
      </x:c>
      <x:c r="M124" s="335" t="str">
        <x:v>https://www.sec.gov/Archives/edgar/data/1341439/000119312526389274/orcl-20260831.htm</x:v>
      </x:c>
      <x:c r="N124" s="335" t="str">
        <x:v>Checked balance sheet / cash-flow statement</x:v>
      </x:c>
      <x:c r="O124" s="335" t="str">
        <x:v>Exact tag, USD duration, exact start and end dates, no dimensions</x:v>
      </x:c>
      <x:c r="P124" s="335" t="str">
        <x:v>None (consolidated total)</x:v>
      </x:c>
      <x:c r="Q124" s="366"/>
      <x:c r="R124" s="319" t="str">
        <x:v>USD</x:v>
      </x:c>
    </x:row>
    <x:row r="125" ht="86" customHeight="1">
      <x:c r="A125" s="325" t="str">
        <x:v>Ratio input: Capital expenditures · prior year to date</x:v>
      </x:c>
      <x:c r="B125" s="496" t="n">
        <x:v>8502000000</x:v>
      </x:c>
      <x:c r="C125" s="491" t="str">
        <x:v>Capital expenditures · prior year to date</x:v>
      </x:c>
      <x:c r="D125" s="363" t="d">
        <x:v>2025-06-01T00:00:00.000Z</x:v>
      </x:c>
      <x:c r="E125" s="363" t="d">
        <x:v>2025-08-31T00:00:00.000Z</x:v>
      </x:c>
      <x:c r="F125" s="491" t="str">
        <x:v>10-Q</x:v>
      </x:c>
      <x:c r="G125" s="363" t="d">
        <x:v>2026-09-11T00:00:00.000Z</x:v>
      </x:c>
      <x:c r="H125" s="491" t="str">
        <x:v>0001193125-26-389274</x:v>
      </x:c>
      <x:c r="I125" s="491" t="str">
        <x:v>us-gaap:PaymentsToAcquirePropertyPlantAndEquipment</x:v>
      </x:c>
      <x:c r="J125" s="491" t="str">
        <x:v>C_a0bdcecc-b2bf-40f4-8106-f50197737571</x:v>
      </x:c>
      <x:c r="K125" s="497" t="n">
        <x:v>6</x:v>
      </x:c>
      <x:c r="L125" s="491" t="str">
        <x:v>-6</x:v>
      </x:c>
      <x:c r="M125" s="491" t="str">
        <x:v>https://www.sec.gov/Archives/edgar/data/1341439/000119312526389274/orcl-20260831.htm</x:v>
      </x:c>
      <x:c r="N125" s="491" t="str">
        <x:v>Checked balance sheet / cash-flow statement</x:v>
      </x:c>
      <x:c r="O125" s="491" t="str">
        <x:v>Exact tag, USD duration, exact start and end dates, no dimensions</x:v>
      </x:c>
      <x:c r="P125" s="491" t="str">
        <x:v>None (consolidated total)</x:v>
      </x:c>
      <x:c r="Q125" s="367"/>
      <x:c r="R125" s="321" t="str">
        <x:v>USD</x:v>
      </x:c>
    </x:row>
    <x:row r="128" ht="70" customHeight="1">
      <x:c r="A128" s="316" t="str">
        <x:v>Key</x:v>
      </x:c>
      <x:c r="B128" s="332" t="str">
        <x:v>USD millions, except ratios (x)</x:v>
      </x:c>
      <x:c r="C128" s="332" t="str">
        <x:v>Reported input</x:v>
      </x:c>
      <x:c r="D128" s="332" t="str">
        <x:v>Period start</x:v>
      </x:c>
      <x:c r="E128" s="332" t="str">
        <x:v>Period end / as of</x:v>
      </x:c>
      <x:c r="F128" s="332" t="str">
        <x:v>Form</x:v>
      </x:c>
      <x:c r="G128" s="332" t="str">
        <x:v>Filed</x:v>
      </x:c>
      <x:c r="H128" s="332" t="str">
        <x:v>Accession</x:v>
      </x:c>
      <x:c r="I128" s="332" t="str">
        <x:v>Tag</x:v>
      </x:c>
      <x:c r="J128" s="332" t="str">
        <x:v>Context ID</x:v>
      </x:c>
      <x:c r="K128" s="332" t="str">
        <x:v>Scale</x:v>
      </x:c>
      <x:c r="L128" s="332" t="str">
        <x:v>Decimals</x:v>
      </x:c>
      <x:c r="M128" s="332" t="str">
        <x:v>Source</x:v>
      </x:c>
      <x:c r="N128" s="332" t="str">
        <x:v>Filing location</x:v>
      </x:c>
      <x:c r="O128" s="332" t="str">
        <x:v>Finding / Unavailable reason</x:v>
      </x:c>
      <x:c r="P128" s="332" t="str">
        <x:v>Dimensions</x:v>
      </x:c>
      <x:c r="Q128" s="332" t="str">
        <x:v>Reviewed source SHA256</x:v>
      </x:c>
      <x:c r="R128" s="317" t="str">
        <x:v>Unit and selection rule</x:v>
      </x:c>
    </x:row>
    <x:row r="129" ht="70" customHeight="1">
      <x:c r="A129" s="324" t="str">
        <x:v>Cash and cash equivalents</x:v>
      </x:c>
      <x:c r="B129" s="494" t="n">
        <x:v>31289000000</x:v>
      </x:c>
      <x:c r="C129" s="335" t="str">
        <x:v>Cash and cash equivalents</x:v>
      </x:c>
      <x:c r="D129" s="498"/>
      <x:c r="E129" s="334" t="d">
        <x:v>2026-05-31T00:00:00.000Z</x:v>
      </x:c>
      <x:c r="F129" s="335" t="str">
        <x:v>10-K</x:v>
      </x:c>
      <x:c r="G129" s="334" t="d">
        <x:v>2026-06-22T00:00:00.000Z</x:v>
      </x:c>
      <x:c r="H129" s="335" t="str">
        <x:v>0001193125-26-277521</x:v>
      </x:c>
      <x:c r="I129" s="335" t="str">
        <x:v>us-gaap:CashAndCashEquivalentsAtCarryingValue</x:v>
      </x:c>
      <x:c r="J129" s="335" t="str">
        <x:v>C_f62bade6-47e1-4441-9bb3-1e534300c2f2</x:v>
      </x:c>
      <x:c r="K129" s="495" t="n">
        <x:v>6</x:v>
      </x:c>
      <x:c r="L129" s="335" t="str">
        <x:v>-6</x:v>
      </x:c>
      <x:c r="M129" s="335" t="str">
        <x:v>https://www.sec.gov/Archives/edgar/data/1341439/000119312526277521/orcl-20260531.htm</x:v>
      </x:c>
      <x:c r="N129" s="335" t="str">
        <x:v>10-K balance sheet p. 64; cash/restricted cash policy p. 70</x:v>
      </x:c>
      <x:c r="O129" s="335" t="str">
        <x:v>USD instant at the balance-sheet date, from the latest original 10-K or 10-Q itself</x:v>
      </x:c>
      <x:c r="P129" s="335" t="str">
        <x:v>None (consolidated total)</x:v>
      </x:c>
      <x:c r="Q129" s="335" t="str">
        <x:v>61a353e222f961e516bb3e8eed024a5245cfadbf30e3cc16a4a520129f1bdf63</x:v>
      </x:c>
      <x:c r="R129" s="319" t="str">
        <x:v>USD</x:v>
      </x:c>
    </x:row>
    <x:row r="130" ht="70" customHeight="1">
      <x:c r="A130" s="324" t="str">
        <x:v>Current assets</x:v>
      </x:c>
      <x:c r="B130" s="494" t="n">
        <x:v>46567000000</x:v>
      </x:c>
      <x:c r="C130" s="335" t="str">
        <x:v>Current assets</x:v>
      </x:c>
      <x:c r="D130" s="498"/>
      <x:c r="E130" s="334" t="d">
        <x:v>2026-05-31T00:00:00.000Z</x:v>
      </x:c>
      <x:c r="F130" s="335" t="str">
        <x:v>10-K</x:v>
      </x:c>
      <x:c r="G130" s="334" t="d">
        <x:v>2026-06-22T00:00:00.000Z</x:v>
      </x:c>
      <x:c r="H130" s="335" t="str">
        <x:v>0001193125-26-277521</x:v>
      </x:c>
      <x:c r="I130" s="335" t="str">
        <x:v>us-gaap:AssetsCurrent</x:v>
      </x:c>
      <x:c r="J130" s="335" t="str">
        <x:v>C_f62bade6-47e1-4441-9bb3-1e534300c2f2</x:v>
      </x:c>
      <x:c r="K130" s="495" t="n">
        <x:v>6</x:v>
      </x:c>
      <x:c r="L130" s="335" t="str">
        <x:v>-6</x:v>
      </x:c>
      <x:c r="M130" s="335" t="str">
        <x:v>https://www.sec.gov/Archives/edgar/data/1341439/000119312526277521/orcl-20260531.htm</x:v>
      </x:c>
      <x:c r="N130" s="335" t="str">
        <x:v>10-K balance sheet p. 64; cash/restricted cash policy p. 70</x:v>
      </x:c>
      <x:c r="O130" s="335" t="str">
        <x:v>USD instant at the balance-sheet date, from the latest original 10-K or 10-Q itself</x:v>
      </x:c>
      <x:c r="P130" s="335" t="str">
        <x:v>None (consolidated total)</x:v>
      </x:c>
      <x:c r="Q130" s="335" t="str">
        <x:v>61a353e222f961e516bb3e8eed024a5245cfadbf30e3cc16a4a520129f1bdf63</x:v>
      </x:c>
      <x:c r="R130" s="319" t="str">
        <x:v>USD</x:v>
      </x:c>
    </x:row>
    <x:row r="131" ht="70" customHeight="1">
      <x:c r="A131" s="324" t="str">
        <x:v>Current liabilities</x:v>
      </x:c>
      <x:c r="B131" s="494" t="n">
        <x:v>41764000000</x:v>
      </x:c>
      <x:c r="C131" s="335" t="str">
        <x:v>Current liabilities</x:v>
      </x:c>
      <x:c r="D131" s="498"/>
      <x:c r="E131" s="334" t="d">
        <x:v>2026-05-31T00:00:00.000Z</x:v>
      </x:c>
      <x:c r="F131" s="335" t="str">
        <x:v>10-K</x:v>
      </x:c>
      <x:c r="G131" s="334" t="d">
        <x:v>2026-06-22T00:00:00.000Z</x:v>
      </x:c>
      <x:c r="H131" s="335" t="str">
        <x:v>0001193125-26-277521</x:v>
      </x:c>
      <x:c r="I131" s="335" t="str">
        <x:v>us-gaap:LiabilitiesCurrent</x:v>
      </x:c>
      <x:c r="J131" s="335" t="str">
        <x:v>C_f62bade6-47e1-4441-9bb3-1e534300c2f2</x:v>
      </x:c>
      <x:c r="K131" s="495" t="n">
        <x:v>6</x:v>
      </x:c>
      <x:c r="L131" s="335" t="str">
        <x:v>-6</x:v>
      </x:c>
      <x:c r="M131" s="335" t="str">
        <x:v>https://www.sec.gov/Archives/edgar/data/1341439/000119312526277521/orcl-20260531.htm</x:v>
      </x:c>
      <x:c r="N131" s="335" t="str">
        <x:v>10-K balance sheet p. 64; cash/restricted cash policy p. 70</x:v>
      </x:c>
      <x:c r="O131" s="335" t="str">
        <x:v>USD instant at the balance-sheet date, from the latest original 10-K or 10-Q itself</x:v>
      </x:c>
      <x:c r="P131" s="335" t="str">
        <x:v>None (consolidated total)</x:v>
      </x:c>
      <x:c r="Q131" s="335" t="str">
        <x:v>61a353e222f961e516bb3e8eed024a5245cfadbf30e3cc16a4a520129f1bdf63</x:v>
      </x:c>
      <x:c r="R131" s="319" t="str">
        <x:v>USD</x:v>
      </x:c>
    </x:row>
    <x:row r="132" ht="70" customHeight="1">
      <x:c r="A132" s="324" t="str">
        <x:v>Notes payable and other borrowings, current</x:v>
      </x:c>
      <x:c r="B132" s="494" t="n">
        <x:v>7199000000</x:v>
      </x:c>
      <x:c r="C132" s="335" t="str">
        <x:v>Notes payable and other borrowings, current</x:v>
      </x:c>
      <x:c r="D132" s="498"/>
      <x:c r="E132" s="334" t="d">
        <x:v>2026-05-31T00:00:00.000Z</x:v>
      </x:c>
      <x:c r="F132" s="335" t="str">
        <x:v>10-K</x:v>
      </x:c>
      <x:c r="G132" s="334" t="d">
        <x:v>2026-06-22T00:00:00.000Z</x:v>
      </x:c>
      <x:c r="H132" s="335" t="str">
        <x:v>0001193125-26-277521</x:v>
      </x:c>
      <x:c r="I132" s="335" t="str">
        <x:v>us-gaap:NotesPayableCurrent</x:v>
      </x:c>
      <x:c r="J132" s="335" t="str">
        <x:v>C_f62bade6-47e1-4441-9bb3-1e534300c2f2</x:v>
      </x:c>
      <x:c r="K132" s="495" t="n">
        <x:v>6</x:v>
      </x:c>
      <x:c r="L132" s="335" t="str">
        <x:v>-6</x:v>
      </x:c>
      <x:c r="M132" s="335" t="str">
        <x:v>https://www.sec.gov/Archives/edgar/data/1341439/000119312526277521/orcl-20260531.htm</x:v>
      </x:c>
      <x:c r="N132" s="335" t="str">
        <x:v>10-K balance sheet p. 64; cash/restricted cash policy p. 70</x:v>
      </x:c>
      <x:c r="O132" s="335" t="str">
        <x:v>USD instant at the balance-sheet date, from the latest original 10-K or 10-Q itself</x:v>
      </x:c>
      <x:c r="P132" s="335" t="str">
        <x:v>None (consolidated total)</x:v>
      </x:c>
      <x:c r="Q132" s="335" t="str">
        <x:v>61a353e222f961e516bb3e8eed024a5245cfadbf30e3cc16a4a520129f1bdf63</x:v>
      </x:c>
      <x:c r="R132" s="319" t="str">
        <x:v>USD</x:v>
      </x:c>
    </x:row>
    <x:row r="133" ht="70" customHeight="1">
      <x:c r="A133" s="324" t="str">
        <x:v>Notes payable and other borrowings, non-current</x:v>
      </x:c>
      <x:c r="B133" s="494" t="n">
        <x:v>122342000000</x:v>
      </x:c>
      <x:c r="C133" s="335" t="str">
        <x:v>Notes payable and other borrowings, non-current</x:v>
      </x:c>
      <x:c r="D133" s="498"/>
      <x:c r="E133" s="334" t="d">
        <x:v>2026-05-31T00:00:00.000Z</x:v>
      </x:c>
      <x:c r="F133" s="335" t="str">
        <x:v>10-K</x:v>
      </x:c>
      <x:c r="G133" s="334" t="d">
        <x:v>2026-06-22T00:00:00.000Z</x:v>
      </x:c>
      <x:c r="H133" s="335" t="str">
        <x:v>0001193125-26-277521</x:v>
      </x:c>
      <x:c r="I133" s="335" t="str">
        <x:v>us-gaap:LongTermNotesAndLoans</x:v>
      </x:c>
      <x:c r="J133" s="335" t="str">
        <x:v>C_f62bade6-47e1-4441-9bb3-1e534300c2f2</x:v>
      </x:c>
      <x:c r="K133" s="495" t="n">
        <x:v>6</x:v>
      </x:c>
      <x:c r="L133" s="335" t="str">
        <x:v>-6</x:v>
      </x:c>
      <x:c r="M133" s="335" t="str">
        <x:v>https://www.sec.gov/Archives/edgar/data/1341439/000119312526277521/orcl-20260531.htm</x:v>
      </x:c>
      <x:c r="N133" s="335" t="str">
        <x:v>10-K balance sheet p. 64; cash/restricted cash policy p. 70</x:v>
      </x:c>
      <x:c r="O133" s="335" t="str">
        <x:v>USD instant at the balance-sheet date, from the latest original 10-K or 10-Q itself</x:v>
      </x:c>
      <x:c r="P133" s="335" t="str">
        <x:v>None (consolidated total)</x:v>
      </x:c>
      <x:c r="Q133" s="335" t="str">
        <x:v>61a353e222f961e516bb3e8eed024a5245cfadbf30e3cc16a4a520129f1bdf63</x:v>
      </x:c>
      <x:c r="R133" s="319" t="str">
        <x:v>USD</x:v>
      </x:c>
    </x:row>
    <x:row r="134" ht="70" customHeight="1">
      <x:c r="A134" s="324" t="str">
        <x:v>Operating cash flow · fiscal year</x:v>
      </x:c>
      <x:c r="B134" s="494" t="n">
        <x:v>31977000000</x:v>
      </x:c>
      <x:c r="C134" s="335" t="str">
        <x:v>Operating cash flow · fiscal year</x:v>
      </x:c>
      <x:c r="D134" s="334" t="d">
        <x:v>2025-06-01T00:00:00.000Z</x:v>
      </x:c>
      <x:c r="E134" s="334" t="d">
        <x:v>2026-05-31T00:00:00.000Z</x:v>
      </x:c>
      <x:c r="F134" s="335" t="str">
        <x:v>10-K</x:v>
      </x:c>
      <x:c r="G134" s="334" t="d">
        <x:v>2026-06-22T00:00:00.000Z</x:v>
      </x:c>
      <x:c r="H134" s="335" t="str">
        <x:v>0001193125-26-277521</x:v>
      </x:c>
      <x:c r="I134" s="335" t="str">
        <x:v>us-gaap:NetCashProvidedByUsedInOperatingActivities</x:v>
      </x:c>
      <x:c r="J134" s="335" t="str">
        <x:v>C_24317829-d237-4c29-bae3-2e46dd1ae625</x:v>
      </x:c>
      <x:c r="K134" s="495" t="n">
        <x:v>6</x:v>
      </x:c>
      <x:c r="L134" s="335" t="str">
        <x:v>-6</x:v>
      </x:c>
      <x:c r="M134" s="335" t="str">
        <x:v>https://www.sec.gov/Archives/edgar/data/1341439/000119312526277521/orcl-20260531.htm</x:v>
      </x:c>
      <x:c r="N134" s="335" t="str">
        <x:v>Annual cash-flow statement</x:v>
      </x:c>
      <x:c r="O134" s="335" t="str">
        <x:v>Exact tag, USD duration, exact start and end dates, no dimensions</x:v>
      </x:c>
      <x:c r="P134" s="335" t="str">
        <x:v>None (consolidated total)</x:v>
      </x:c>
      <x:c r="Q134" s="366" t="str"/>
      <x:c r="R134" s="319" t="str">
        <x:v>USD</x:v>
      </x:c>
    </x:row>
    <x:row r="135" ht="70" customHeight="1">
      <x:c r="A135" s="325" t="str">
        <x:v>Capital expenditures · fiscal year</x:v>
      </x:c>
      <x:c r="B135" s="496" t="n">
        <x:v>55663000000</x:v>
      </x:c>
      <x:c r="C135" s="491" t="str">
        <x:v>Capital expenditures · fiscal year</x:v>
      </x:c>
      <x:c r="D135" s="363" t="d">
        <x:v>2025-06-01T00:00:00.000Z</x:v>
      </x:c>
      <x:c r="E135" s="363" t="d">
        <x:v>2026-05-31T00:00:00.000Z</x:v>
      </x:c>
      <x:c r="F135" s="491" t="str">
        <x:v>10-K</x:v>
      </x:c>
      <x:c r="G135" s="363" t="d">
        <x:v>2026-06-22T00:00:00.000Z</x:v>
      </x:c>
      <x:c r="H135" s="491" t="str">
        <x:v>0001193125-26-277521</x:v>
      </x:c>
      <x:c r="I135" s="491" t="str">
        <x:v>us-gaap:PaymentsToAcquirePropertyPlantAndEquipment</x:v>
      </x:c>
      <x:c r="J135" s="491" t="str">
        <x:v>C_24317829-d237-4c29-bae3-2e46dd1ae625</x:v>
      </x:c>
      <x:c r="K135" s="497" t="n">
        <x:v>6</x:v>
      </x:c>
      <x:c r="L135" s="491" t="str">
        <x:v>-6</x:v>
      </x:c>
      <x:c r="M135" s="491" t="str">
        <x:v>https://www.sec.gov/Archives/edgar/data/1341439/000119312526277521/orcl-20260531.htm</x:v>
      </x:c>
      <x:c r="N135" s="491" t="str">
        <x:v>Annual cash-flow statement</x:v>
      </x:c>
      <x:c r="O135" s="491" t="str">
        <x:v>Exact tag, USD duration, exact start and end dates, no dimensions</x:v>
      </x:c>
      <x:c r="P135" s="491" t="str">
        <x:v>None (consolidated total)</x:v>
      </x:c>
      <x:c r="Q135" s="367" t="str"/>
      <x:c r="R135" s="321" t="str">
        <x:v>USD</x:v>
      </x:c>
    </x:row>
    <x:row r="138" ht="72" customHeight="1">
      <x:c r="A138" s="2090" t="str">
        <x:v>Input</x:v>
      </x:c>
      <x:c r="B138" s="2091" t="str">
        <x:v>USD millions</x:v>
      </x:c>
      <x:c r="C138" s="2091" t="str">
        <x:v>Measure</x:v>
      </x:c>
      <x:c r="D138" s="2091" t="str">
        <x:v>Period start</x:v>
      </x:c>
      <x:c r="E138" s="2091" t="str">
        <x:v>Period end</x:v>
      </x:c>
      <x:c r="F138" s="2091" t="str">
        <x:v>Form</x:v>
      </x:c>
      <x:c r="G138" s="2091" t="str">
        <x:v>Filed</x:v>
      </x:c>
      <x:c r="H138" s="2091" t="str">
        <x:v>Accession</x:v>
      </x:c>
      <x:c r="I138" s="2091" t="str">
        <x:v>Tag</x:v>
      </x:c>
      <x:c r="J138" s="2091" t="str">
        <x:v>Context</x:v>
      </x:c>
      <x:c r="K138" s="2091" t="str">
        <x:v>Scale</x:v>
      </x:c>
      <x:c r="L138" s="2091" t="str">
        <x:v>Decimals</x:v>
      </x:c>
      <x:c r="M138" s="2091" t="str">
        <x:v>Source</x:v>
      </x:c>
      <x:c r="N138" s="2091" t="str">
        <x:v>Filing location</x:v>
      </x:c>
      <x:c r="O138" s="2091" t="str">
        <x:v>Selection rule</x:v>
      </x:c>
      <x:c r="P138" s="2091" t="str">
        <x:v>Dimensions</x:v>
      </x:c>
      <x:c r="Q138" s="2091" t="str">
        <x:v>Reviewed source SHA256</x:v>
      </x:c>
      <x:c r="R138" s="2092" t="str">
        <x:v>Unit</x:v>
      </x:c>
    </x:row>
    <x:row r="139" ht="72" customHeight="1">
      <x:c r="A139" s="1067" t="str">
        <x:v>ORCL FY2022 cash: us-gaap:CashAndCashEquivalentsAtCarryingValue</x:v>
      </x:c>
      <x:c r="B139" s="2093" t="n">
        <x:v>21383000000</x:v>
      </x:c>
      <x:c r="C139" s="1247" t="str">
        <x:v>ORCL FY2022 cash: us-gaap:CashAndCashEquivalentsAtCarryingValue</x:v>
      </x:c>
      <x:c r="D139" s="2094"/>
      <x:c r="E139" s="2094" t="d">
        <x:v>2022-05-31T00:00:00.000Z</x:v>
      </x:c>
      <x:c r="F139" s="1247" t="str">
        <x:v>10-K</x:v>
      </x:c>
      <x:c r="G139" s="2094" t="d">
        <x:v>2022-06-21T00:00:00.000Z</x:v>
      </x:c>
      <x:c r="H139" s="1247" t="str">
        <x:v>0001564590-22-023675</x:v>
      </x:c>
      <x:c r="I139" s="1247" t="str">
        <x:v>us-gaap:CashAndCashEquivalentsAtCarryingValue</x:v>
      </x:c>
      <x:c r="J139" s="1247" t="str">
        <x:v>C_0001341439_20220531</x:v>
      </x:c>
      <x:c r="K139" s="1247" t="n">
        <x:v>6</x:v>
      </x:c>
      <x:c r="L139" s="1247" t="str">
        <x:v>-6</x:v>
      </x:c>
      <x:c r="M139" s="1247" t="str">
        <x:v>https://www.sec.gov/Archives/edgar/data/1341439/000156459022023675/orcl-10k_20220531.htm</x:v>
      </x:c>
      <x:c r="N139" s="1247" t="str">
        <x:v>Printed p. 66; Cash and cash equivalents $ 21,383 $ 30,098</x:v>
      </x:c>
      <x:c r="O139" s="1247" t="str">
        <x:v>Exact prefixed tag; exact period; USD; no dimensions; checked source version.</x:v>
      </x:c>
      <x:c r="P139" s="1247" t="str">
        <x:v>None (consolidated total)</x:v>
      </x:c>
      <x:c r="Q139" s="1247" t="str">
        <x:v>28aea71056a6c3f683d2c6de0da37c8eeddf9bcba4e357dc686783319e105560</x:v>
      </x:c>
      <x:c r="R139" s="1058" t="str">
        <x:v>USD</x:v>
      </x:c>
    </x:row>
    <x:row r="140" ht="72" customHeight="1">
      <x:c r="A140" s="1067" t="str">
        <x:v>ORCL FY2022 gross_debt: us-gaap:NotesPayableCurrent</x:v>
      </x:c>
      <x:c r="B140" s="2093" t="n">
        <x:v>3749000000</x:v>
      </x:c>
      <x:c r="C140" s="1247" t="str">
        <x:v>ORCL FY2022 gross_debt: us-gaap:NotesPayableCurrent</x:v>
      </x:c>
      <x:c r="D140" s="2094"/>
      <x:c r="E140" s="2094" t="d">
        <x:v>2022-05-31T00:00:00.000Z</x:v>
      </x:c>
      <x:c r="F140" s="1247" t="str">
        <x:v>10-K</x:v>
      </x:c>
      <x:c r="G140" s="2094" t="d">
        <x:v>2022-06-21T00:00:00.000Z</x:v>
      </x:c>
      <x:c r="H140" s="1247" t="str">
        <x:v>0001564590-22-023675</x:v>
      </x:c>
      <x:c r="I140" s="1247" t="str">
        <x:v>us-gaap:NotesPayableCurrent</x:v>
      </x:c>
      <x:c r="J140" s="1247" t="str">
        <x:v>C_0001341439_20220531</x:v>
      </x:c>
      <x:c r="K140" s="1247" t="n">
        <x:v>6</x:v>
      </x:c>
      <x:c r="L140" s="1247" t="str">
        <x:v>-6</x:v>
      </x:c>
      <x:c r="M140" s="1247" t="str">
        <x:v>https://www.sec.gov/Archives/edgar/data/1341439/000156459022023675/orcl-10k_20220531.htm</x:v>
      </x:c>
      <x:c r="N140" s="1247" t="str">
        <x:v>Printed p. 66; Notes payable, current $ 3,749 $ 8,250</x:v>
      </x:c>
      <x:c r="O140" s="1247" t="str">
        <x:v>Exact prefixed tag; exact period; USD; no dimensions; checked source version.</x:v>
      </x:c>
      <x:c r="P140" s="1247" t="str">
        <x:v>None (consolidated total)</x:v>
      </x:c>
      <x:c r="Q140" s="1247" t="str">
        <x:v>28aea71056a6c3f683d2c6de0da37c8eeddf9bcba4e357dc686783319e105560</x:v>
      </x:c>
      <x:c r="R140" s="1058" t="str">
        <x:v>USD</x:v>
      </x:c>
    </x:row>
    <x:row r="141" ht="72" customHeight="1">
      <x:c r="A141" s="1067" t="str">
        <x:v>ORCL FY2022 gross_debt: us-gaap:LongTermNotesAndLoans</x:v>
      </x:c>
      <x:c r="B141" s="2093" t="n">
        <x:v>72110000000</x:v>
      </x:c>
      <x:c r="C141" s="1247" t="str">
        <x:v>ORCL FY2022 gross_debt: us-gaap:LongTermNotesAndLoans</x:v>
      </x:c>
      <x:c r="D141" s="2094"/>
      <x:c r="E141" s="2094" t="d">
        <x:v>2022-05-31T00:00:00.000Z</x:v>
      </x:c>
      <x:c r="F141" s="1247" t="str">
        <x:v>10-K</x:v>
      </x:c>
      <x:c r="G141" s="2094" t="d">
        <x:v>2022-06-21T00:00:00.000Z</x:v>
      </x:c>
      <x:c r="H141" s="1247" t="str">
        <x:v>0001564590-22-023675</x:v>
      </x:c>
      <x:c r="I141" s="1247" t="str">
        <x:v>us-gaap:LongTermNotesAndLoans</x:v>
      </x:c>
      <x:c r="J141" s="1247" t="str">
        <x:v>C_0001341439_20220531</x:v>
      </x:c>
      <x:c r="K141" s="1247" t="n">
        <x:v>6</x:v>
      </x:c>
      <x:c r="L141" s="1247" t="str">
        <x:v>-6</x:v>
      </x:c>
      <x:c r="M141" s="1247" t="str">
        <x:v>https://www.sec.gov/Archives/edgar/data/1341439/000156459022023675/orcl-10k_20220531.htm</x:v>
      </x:c>
      <x:c r="N141" s="1247" t="str">
        <x:v>Printed p. 66; Notes payable and other borrowings, non-current 72,110 75,995</x:v>
      </x:c>
      <x:c r="O141" s="1247" t="str">
        <x:v>Exact prefixed tag; exact period; USD; no dimensions; checked source version.</x:v>
      </x:c>
      <x:c r="P141" s="1247" t="str">
        <x:v>None (consolidated total)</x:v>
      </x:c>
      <x:c r="Q141" s="1247" t="str">
        <x:v>28aea71056a6c3f683d2c6de0da37c8eeddf9bcba4e357dc686783319e105560</x:v>
      </x:c>
      <x:c r="R141" s="1058" t="str">
        <x:v>USD</x:v>
      </x:c>
    </x:row>
    <x:row r="142" ht="72" customHeight="1">
      <x:c r="A142" s="1067" t="str">
        <x:v>ORCL FY2022 operating_cash_flow: us-gaap:NetCashProvidedByUsedInOperatingActivities</x:v>
      </x:c>
      <x:c r="B142" s="2093" t="n">
        <x:v>9539000000</x:v>
      </x:c>
      <x:c r="C142" s="1247" t="str">
        <x:v>ORCL FY2022 operating_cash_flow: us-gaap:NetCashProvidedByUsedInOperatingActivities</x:v>
      </x:c>
      <x:c r="D142" s="2094" t="d">
        <x:v>2021-06-01T00:00:00.000Z</x:v>
      </x:c>
      <x:c r="E142" s="2094" t="d">
        <x:v>2022-05-31T00:00:00.000Z</x:v>
      </x:c>
      <x:c r="F142" s="1247" t="str">
        <x:v>10-K</x:v>
      </x:c>
      <x:c r="G142" s="2094" t="d">
        <x:v>2022-06-21T00:00:00.000Z</x:v>
      </x:c>
      <x:c r="H142" s="1247" t="str">
        <x:v>0001564590-22-023675</x:v>
      </x:c>
      <x:c r="I142" s="1247" t="str">
        <x:v>us-gaap:NetCashProvidedByUsedInOperatingActivities</x:v>
      </x:c>
      <x:c r="J142" s="1247" t="str">
        <x:v>C_0001341439_20210601_20220531</x:v>
      </x:c>
      <x:c r="K142" s="1247" t="n">
        <x:v>6</x:v>
      </x:c>
      <x:c r="L142" s="1247" t="str">
        <x:v>-6</x:v>
      </x:c>
      <x:c r="M142" s="1247" t="str">
        <x:v>https://www.sec.gov/Archives/edgar/data/1341439/000156459022023675/orcl-10k_20220531.htm</x:v>
      </x:c>
      <x:c r="N142" s="1247" t="str">
        <x:v>Printed p. 70; Net cash provided by operating activities 9,539 15,887 13,139</x:v>
      </x:c>
      <x:c r="O142" s="1247" t="str">
        <x:v>Exact prefixed tag; exact period; USD; no dimensions; checked source version.</x:v>
      </x:c>
      <x:c r="P142" s="1247" t="str">
        <x:v>None (consolidated total)</x:v>
      </x:c>
      <x:c r="Q142" s="1247" t="str">
        <x:v>28aea71056a6c3f683d2c6de0da37c8eeddf9bcba4e357dc686783319e105560</x:v>
      </x:c>
      <x:c r="R142" s="1058" t="str">
        <x:v>USD</x:v>
      </x:c>
    </x:row>
    <x:row r="143" ht="72" customHeight="1">
      <x:c r="A143" s="1067" t="str">
        <x:v>ORCL FY2022 capital_spending: us-gaap:PaymentsToAcquirePropertyPlantAndEquipment</x:v>
      </x:c>
      <x:c r="B143" s="2093" t="n">
        <x:v>4511000000</x:v>
      </x:c>
      <x:c r="C143" s="1247" t="str">
        <x:v>ORCL FY2022 capital_spending: us-gaap:PaymentsToAcquirePropertyPlantAndEquipment</x:v>
      </x:c>
      <x:c r="D143" s="2094" t="d">
        <x:v>2021-06-01T00:00:00.000Z</x:v>
      </x:c>
      <x:c r="E143" s="2094" t="d">
        <x:v>2022-05-31T00:00:00.000Z</x:v>
      </x:c>
      <x:c r="F143" s="1247" t="str">
        <x:v>10-K</x:v>
      </x:c>
      <x:c r="G143" s="2094" t="d">
        <x:v>2022-06-21T00:00:00.000Z</x:v>
      </x:c>
      <x:c r="H143" s="1247" t="str">
        <x:v>0001564590-22-023675</x:v>
      </x:c>
      <x:c r="I143" s="1247" t="str">
        <x:v>us-gaap:PaymentsToAcquirePropertyPlantAndEquipment</x:v>
      </x:c>
      <x:c r="J143" s="1247" t="str">
        <x:v>C_0001341439_20210601_20220531</x:v>
      </x:c>
      <x:c r="K143" s="1247" t="n">
        <x:v>6</x:v>
      </x:c>
      <x:c r="L143" s="1247" t="str">
        <x:v>-6</x:v>
      </x:c>
      <x:c r="M143" s="1247" t="str">
        <x:v>https://www.sec.gov/Archives/edgar/data/1341439/000156459022023675/orcl-10k_20220531.htm</x:v>
      </x:c>
      <x:c r="N143" s="1247" t="str">
        <x:v>Printed p. 70; Capital expenditures ( 4,511 ) ( 2,135 ) ( 1,564 )</x:v>
      </x:c>
      <x:c r="O143" s="1247" t="str">
        <x:v>Exact prefixed tag; exact period; USD; no dimensions; checked source version.</x:v>
      </x:c>
      <x:c r="P143" s="1247" t="str">
        <x:v>None (consolidated total)</x:v>
      </x:c>
      <x:c r="Q143" s="1247" t="str">
        <x:v>28aea71056a6c3f683d2c6de0da37c8eeddf9bcba4e357dc686783319e105560</x:v>
      </x:c>
      <x:c r="R143" s="1058" t="str">
        <x:v>USD</x:v>
      </x:c>
    </x:row>
    <x:row r="144" ht="72" customHeight="1">
      <x:c r="A144" s="1067" t="str">
        <x:v>ORCL FY2023 cash: us-gaap:CashAndCashEquivalentsAtCarryingValue</x:v>
      </x:c>
      <x:c r="B144" s="2093" t="n">
        <x:v>9765000000</x:v>
      </x:c>
      <x:c r="C144" s="1247" t="str">
        <x:v>ORCL FY2023 cash: us-gaap:CashAndCashEquivalentsAtCarryingValue</x:v>
      </x:c>
      <x:c r="D144" s="2094"/>
      <x:c r="E144" s="2094" t="d">
        <x:v>2023-05-31T00:00:00.000Z</x:v>
      </x:c>
      <x:c r="F144" s="1247" t="str">
        <x:v>10-K</x:v>
      </x:c>
      <x:c r="G144" s="2094" t="d">
        <x:v>2023-06-20T00:00:00.000Z</x:v>
      </x:c>
      <x:c r="H144" s="1247" t="str">
        <x:v>0000950170-23-028914</x:v>
      </x:c>
      <x:c r="I144" s="1247" t="str">
        <x:v>us-gaap:CashAndCashEquivalentsAtCarryingValue</x:v>
      </x:c>
      <x:c r="J144" s="1247" t="str">
        <x:v>C_8dc19c16-0a90-49bb-9768-74f9aa8bba7f</x:v>
      </x:c>
      <x:c r="K144" s="1247" t="n">
        <x:v>6</x:v>
      </x:c>
      <x:c r="L144" s="1247" t="str">
        <x:v>-6</x:v>
      </x:c>
      <x:c r="M144" s="1247" t="str">
        <x:v>https://www.sec.gov/Archives/edgar/data/1341439/000095017023028914/orcl-20230531.htm</x:v>
      </x:c>
      <x:c r="N144" s="1247" t="str">
        <x:v>Printed p. 64; Cash and cash equivalents $ 9,765 $ 21,383</x:v>
      </x:c>
      <x:c r="O144" s="1247" t="str">
        <x:v>Exact prefixed tag; exact period; USD; no dimensions; checked source version.</x:v>
      </x:c>
      <x:c r="P144" s="1247" t="str">
        <x:v>None (consolidated total)</x:v>
      </x:c>
      <x:c r="Q144" s="1247" t="str">
        <x:v>755628a06c70fb4bb81da2c6d5c0716c08eb06a9a6b4dc4fe276421f42fe5116</x:v>
      </x:c>
      <x:c r="R144" s="1058" t="str">
        <x:v>USD</x:v>
      </x:c>
    </x:row>
    <x:row r="145" ht="72" customHeight="1">
      <x:c r="A145" s="1067" t="str">
        <x:v>ORCL FY2023 gross_debt: us-gaap:NotesPayableCurrent</x:v>
      </x:c>
      <x:c r="B145" s="2093" t="n">
        <x:v>4061000000</x:v>
      </x:c>
      <x:c r="C145" s="1247" t="str">
        <x:v>ORCL FY2023 gross_debt: us-gaap:NotesPayableCurrent</x:v>
      </x:c>
      <x:c r="D145" s="2094"/>
      <x:c r="E145" s="2094" t="d">
        <x:v>2023-05-31T00:00:00.000Z</x:v>
      </x:c>
      <x:c r="F145" s="1247" t="str">
        <x:v>10-K</x:v>
      </x:c>
      <x:c r="G145" s="2094" t="d">
        <x:v>2023-06-20T00:00:00.000Z</x:v>
      </x:c>
      <x:c r="H145" s="1247" t="str">
        <x:v>0000950170-23-028914</x:v>
      </x:c>
      <x:c r="I145" s="1247" t="str">
        <x:v>us-gaap:NotesPayableCurrent</x:v>
      </x:c>
      <x:c r="J145" s="1247" t="str">
        <x:v>C_8dc19c16-0a90-49bb-9768-74f9aa8bba7f</x:v>
      </x:c>
      <x:c r="K145" s="1247" t="n">
        <x:v>6</x:v>
      </x:c>
      <x:c r="L145" s="1247" t="str">
        <x:v>-6</x:v>
      </x:c>
      <x:c r="M145" s="1247" t="str">
        <x:v>https://www.sec.gov/Archives/edgar/data/1341439/000095017023028914/orcl-20230531.htm</x:v>
      </x:c>
      <x:c r="N145" s="1247" t="str">
        <x:v>Printed p. 64; Notes payable and other borrowings, current $ 4,061 $ 3,749</x:v>
      </x:c>
      <x:c r="O145" s="1247" t="str">
        <x:v>Exact prefixed tag; exact period; USD; no dimensions; checked source version.</x:v>
      </x:c>
      <x:c r="P145" s="1247" t="str">
        <x:v>None (consolidated total)</x:v>
      </x:c>
      <x:c r="Q145" s="1247" t="str">
        <x:v>755628a06c70fb4bb81da2c6d5c0716c08eb06a9a6b4dc4fe276421f42fe5116</x:v>
      </x:c>
      <x:c r="R145" s="1058" t="str">
        <x:v>USD</x:v>
      </x:c>
    </x:row>
    <x:row r="146" ht="72" customHeight="1">
      <x:c r="A146" s="1067" t="str">
        <x:v>ORCL FY2023 gross_debt: us-gaap:LongTermNotesAndLoans</x:v>
      </x:c>
      <x:c r="B146" s="2093" t="n">
        <x:v>86420000000</x:v>
      </x:c>
      <x:c r="C146" s="1247" t="str">
        <x:v>ORCL FY2023 gross_debt: us-gaap:LongTermNotesAndLoans</x:v>
      </x:c>
      <x:c r="D146" s="2094"/>
      <x:c r="E146" s="2094" t="d">
        <x:v>2023-05-31T00:00:00.000Z</x:v>
      </x:c>
      <x:c r="F146" s="1247" t="str">
        <x:v>10-K</x:v>
      </x:c>
      <x:c r="G146" s="2094" t="d">
        <x:v>2023-06-20T00:00:00.000Z</x:v>
      </x:c>
      <x:c r="H146" s="1247" t="str">
        <x:v>0000950170-23-028914</x:v>
      </x:c>
      <x:c r="I146" s="1247" t="str">
        <x:v>us-gaap:LongTermNotesAndLoans</x:v>
      </x:c>
      <x:c r="J146" s="1247" t="str">
        <x:v>C_8dc19c16-0a90-49bb-9768-74f9aa8bba7f</x:v>
      </x:c>
      <x:c r="K146" s="1247" t="n">
        <x:v>6</x:v>
      </x:c>
      <x:c r="L146" s="1247" t="str">
        <x:v>-6</x:v>
      </x:c>
      <x:c r="M146" s="1247" t="str">
        <x:v>https://www.sec.gov/Archives/edgar/data/1341439/000095017023028914/orcl-20230531.htm</x:v>
      </x:c>
      <x:c r="N146" s="1247" t="str">
        <x:v>Printed p. 64; Notes payable and other borrowings, non-current 86,420 72,110</x:v>
      </x:c>
      <x:c r="O146" s="1247" t="str">
        <x:v>Exact prefixed tag; exact period; USD; no dimensions; checked source version.</x:v>
      </x:c>
      <x:c r="P146" s="1247" t="str">
        <x:v>None (consolidated total)</x:v>
      </x:c>
      <x:c r="Q146" s="1247" t="str">
        <x:v>755628a06c70fb4bb81da2c6d5c0716c08eb06a9a6b4dc4fe276421f42fe5116</x:v>
      </x:c>
      <x:c r="R146" s="1058" t="str">
        <x:v>USD</x:v>
      </x:c>
    </x:row>
    <x:row r="147" ht="72" customHeight="1">
      <x:c r="A147" s="1067" t="str">
        <x:v>ORCL FY2023 operating_cash_flow: us-gaap:NetCashProvidedByUsedInOperatingActivities</x:v>
      </x:c>
      <x:c r="B147" s="2093" t="n">
        <x:v>17165000000</x:v>
      </x:c>
      <x:c r="C147" s="1247" t="str">
        <x:v>ORCL FY2023 operating_cash_flow: us-gaap:NetCashProvidedByUsedInOperatingActivities</x:v>
      </x:c>
      <x:c r="D147" s="2094" t="d">
        <x:v>2022-06-01T00:00:00.000Z</x:v>
      </x:c>
      <x:c r="E147" s="2094" t="d">
        <x:v>2023-05-31T00:00:00.000Z</x:v>
      </x:c>
      <x:c r="F147" s="1247" t="str">
        <x:v>10-K</x:v>
      </x:c>
      <x:c r="G147" s="2094" t="d">
        <x:v>2023-06-20T00:00:00.000Z</x:v>
      </x:c>
      <x:c r="H147" s="1247" t="str">
        <x:v>0000950170-23-028914</x:v>
      </x:c>
      <x:c r="I147" s="1247" t="str">
        <x:v>us-gaap:NetCashProvidedByUsedInOperatingActivities</x:v>
      </x:c>
      <x:c r="J147" s="1247" t="str">
        <x:v>C_c621f99d-407f-4251-b31f-e58bcdda6fa8</x:v>
      </x:c>
      <x:c r="K147" s="1247" t="n">
        <x:v>6</x:v>
      </x:c>
      <x:c r="L147" s="1247" t="str">
        <x:v>-6</x:v>
      </x:c>
      <x:c r="M147" s="1247" t="str">
        <x:v>https://www.sec.gov/Archives/edgar/data/1341439/000095017023028914/orcl-20230531.htm</x:v>
      </x:c>
      <x:c r="N147" s="1247" t="str">
        <x:v>Printed p. 68; Net cash provided by operating activities 17,165 9,539 15,887</x:v>
      </x:c>
      <x:c r="O147" s="1247" t="str">
        <x:v>Exact prefixed tag; exact period; USD; no dimensions; checked source version.</x:v>
      </x:c>
      <x:c r="P147" s="1247" t="str">
        <x:v>None (consolidated total)</x:v>
      </x:c>
      <x:c r="Q147" s="1247" t="str">
        <x:v>755628a06c70fb4bb81da2c6d5c0716c08eb06a9a6b4dc4fe276421f42fe5116</x:v>
      </x:c>
      <x:c r="R147" s="1058" t="str">
        <x:v>USD</x:v>
      </x:c>
    </x:row>
    <x:row r="148" ht="72" customHeight="1">
      <x:c r="A148" s="1067" t="str">
        <x:v>ORCL FY2023 capital_spending: us-gaap:PaymentsToAcquirePropertyPlantAndEquipment</x:v>
      </x:c>
      <x:c r="B148" s="2093" t="n">
        <x:v>8695000000</x:v>
      </x:c>
      <x:c r="C148" s="1247" t="str">
        <x:v>ORCL FY2023 capital_spending: us-gaap:PaymentsToAcquirePropertyPlantAndEquipment</x:v>
      </x:c>
      <x:c r="D148" s="2094" t="d">
        <x:v>2022-06-01T00:00:00.000Z</x:v>
      </x:c>
      <x:c r="E148" s="2094" t="d">
        <x:v>2023-05-31T00:00:00.000Z</x:v>
      </x:c>
      <x:c r="F148" s="1247" t="str">
        <x:v>10-K</x:v>
      </x:c>
      <x:c r="G148" s="2094" t="d">
        <x:v>2023-06-20T00:00:00.000Z</x:v>
      </x:c>
      <x:c r="H148" s="1247" t="str">
        <x:v>0000950170-23-028914</x:v>
      </x:c>
      <x:c r="I148" s="1247" t="str">
        <x:v>us-gaap:PaymentsToAcquirePropertyPlantAndEquipment</x:v>
      </x:c>
      <x:c r="J148" s="1247" t="str">
        <x:v>C_c621f99d-407f-4251-b31f-e58bcdda6fa8</x:v>
      </x:c>
      <x:c r="K148" s="1247" t="n">
        <x:v>6</x:v>
      </x:c>
      <x:c r="L148" s="1247" t="str">
        <x:v>-6</x:v>
      </x:c>
      <x:c r="M148" s="1247" t="str">
        <x:v>https://www.sec.gov/Archives/edgar/data/1341439/000095017023028914/orcl-20230531.htm</x:v>
      </x:c>
      <x:c r="N148" s="1247" t="str">
        <x:v>Printed p. 68; Capital expenditures ( 8,695 ) ( 4,511 ) ( 2,135 )</x:v>
      </x:c>
      <x:c r="O148" s="1247" t="str">
        <x:v>Exact prefixed tag; exact period; USD; no dimensions; checked source version.</x:v>
      </x:c>
      <x:c r="P148" s="1247" t="str">
        <x:v>None (consolidated total)</x:v>
      </x:c>
      <x:c r="Q148" s="1247" t="str">
        <x:v>755628a06c70fb4bb81da2c6d5c0716c08eb06a9a6b4dc4fe276421f42fe5116</x:v>
      </x:c>
      <x:c r="R148" s="1058" t="str">
        <x:v>USD</x:v>
      </x:c>
    </x:row>
    <x:row r="149" ht="72" customHeight="1">
      <x:c r="A149" s="1067" t="str">
        <x:v>ORCL FY2024 cash: us-gaap:CashAndCashEquivalentsAtCarryingValue</x:v>
      </x:c>
      <x:c r="B149" s="2093" t="n">
        <x:v>10454000000</x:v>
      </x:c>
      <x:c r="C149" s="1247" t="str">
        <x:v>ORCL FY2024 cash: us-gaap:CashAndCashEquivalentsAtCarryingValue</x:v>
      </x:c>
      <x:c r="D149" s="2094"/>
      <x:c r="E149" s="2094" t="d">
        <x:v>2024-05-31T00:00:00.000Z</x:v>
      </x:c>
      <x:c r="F149" s="1247" t="str">
        <x:v>10-K</x:v>
      </x:c>
      <x:c r="G149" s="2094" t="d">
        <x:v>2024-06-20T00:00:00.000Z</x:v>
      </x:c>
      <x:c r="H149" s="1247" t="str">
        <x:v>0000950170-24-075605</x:v>
      </x:c>
      <x:c r="I149" s="1247" t="str">
        <x:v>us-gaap:CashAndCashEquivalentsAtCarryingValue</x:v>
      </x:c>
      <x:c r="J149" s="1247" t="str">
        <x:v>C_8b38d07e-7182-4ebc-9787-e25717cdb910</x:v>
      </x:c>
      <x:c r="K149" s="1247" t="n">
        <x:v>6</x:v>
      </x:c>
      <x:c r="L149" s="1247" t="str">
        <x:v>-6</x:v>
      </x:c>
      <x:c r="M149" s="1247" t="str">
        <x:v>https://www.sec.gov/Archives/edgar/data/1341439/000095017024075605/orcl-20240531.htm</x:v>
      </x:c>
      <x:c r="N149" s="1247" t="str">
        <x:v>Printed p. 65; Cash and cash equivalents $ 10,454 $ 9,765</x:v>
      </x:c>
      <x:c r="O149" s="1247" t="str">
        <x:v>Exact prefixed tag; exact period; USD; no dimensions; checked source version.</x:v>
      </x:c>
      <x:c r="P149" s="1247" t="str">
        <x:v>None (consolidated total)</x:v>
      </x:c>
      <x:c r="Q149" s="1247" t="str">
        <x:v>3e8f9ae9676d6765458be96ef146b4c4b84c0b365b50ea487cf6caa70c2890cd</x:v>
      </x:c>
      <x:c r="R149" s="1058" t="str">
        <x:v>USD</x:v>
      </x:c>
    </x:row>
    <x:row r="150" ht="72" customHeight="1">
      <x:c r="A150" s="1067" t="str">
        <x:v>ORCL FY2024 gross_debt: us-gaap:NotesPayableCurrent</x:v>
      </x:c>
      <x:c r="B150" s="2093" t="n">
        <x:v>10605000000</x:v>
      </x:c>
      <x:c r="C150" s="1247" t="str">
        <x:v>ORCL FY2024 gross_debt: us-gaap:NotesPayableCurrent</x:v>
      </x:c>
      <x:c r="D150" s="2094"/>
      <x:c r="E150" s="2094" t="d">
        <x:v>2024-05-31T00:00:00.000Z</x:v>
      </x:c>
      <x:c r="F150" s="1247" t="str">
        <x:v>10-K</x:v>
      </x:c>
      <x:c r="G150" s="2094" t="d">
        <x:v>2024-06-20T00:00:00.000Z</x:v>
      </x:c>
      <x:c r="H150" s="1247" t="str">
        <x:v>0000950170-24-075605</x:v>
      </x:c>
      <x:c r="I150" s="1247" t="str">
        <x:v>us-gaap:NotesPayableCurrent</x:v>
      </x:c>
      <x:c r="J150" s="1247" t="str">
        <x:v>C_8b38d07e-7182-4ebc-9787-e25717cdb910</x:v>
      </x:c>
      <x:c r="K150" s="1247" t="n">
        <x:v>6</x:v>
      </x:c>
      <x:c r="L150" s="1247" t="str">
        <x:v>-6</x:v>
      </x:c>
      <x:c r="M150" s="1247" t="str">
        <x:v>https://www.sec.gov/Archives/edgar/data/1341439/000095017024075605/orcl-20240531.htm</x:v>
      </x:c>
      <x:c r="N150" s="1247" t="str">
        <x:v>Printed p. 65; Notes payable and other borrowings, current $ 10,605 $ 4,061</x:v>
      </x:c>
      <x:c r="O150" s="1247" t="str">
        <x:v>Exact prefixed tag; exact period; USD; no dimensions; checked source version.</x:v>
      </x:c>
      <x:c r="P150" s="1247" t="str">
        <x:v>None (consolidated total)</x:v>
      </x:c>
      <x:c r="Q150" s="1247" t="str">
        <x:v>3e8f9ae9676d6765458be96ef146b4c4b84c0b365b50ea487cf6caa70c2890cd</x:v>
      </x:c>
      <x:c r="R150" s="1058" t="str">
        <x:v>USD</x:v>
      </x:c>
    </x:row>
    <x:row r="151" ht="72" customHeight="1">
      <x:c r="A151" s="1067" t="str">
        <x:v>ORCL FY2024 gross_debt: us-gaap:LongTermNotesAndLoans</x:v>
      </x:c>
      <x:c r="B151" s="2093" t="n">
        <x:v>76264000000</x:v>
      </x:c>
      <x:c r="C151" s="1247" t="str">
        <x:v>ORCL FY2024 gross_debt: us-gaap:LongTermNotesAndLoans</x:v>
      </x:c>
      <x:c r="D151" s="2094"/>
      <x:c r="E151" s="2094" t="d">
        <x:v>2024-05-31T00:00:00.000Z</x:v>
      </x:c>
      <x:c r="F151" s="1247" t="str">
        <x:v>10-K</x:v>
      </x:c>
      <x:c r="G151" s="2094" t="d">
        <x:v>2024-06-20T00:00:00.000Z</x:v>
      </x:c>
      <x:c r="H151" s="1247" t="str">
        <x:v>0000950170-24-075605</x:v>
      </x:c>
      <x:c r="I151" s="1247" t="str">
        <x:v>us-gaap:LongTermNotesAndLoans</x:v>
      </x:c>
      <x:c r="J151" s="1247" t="str">
        <x:v>C_8b38d07e-7182-4ebc-9787-e25717cdb910</x:v>
      </x:c>
      <x:c r="K151" s="1247" t="n">
        <x:v>6</x:v>
      </x:c>
      <x:c r="L151" s="1247" t="str">
        <x:v>-6</x:v>
      </x:c>
      <x:c r="M151" s="1247" t="str">
        <x:v>https://www.sec.gov/Archives/edgar/data/1341439/000095017024075605/orcl-20240531.htm</x:v>
      </x:c>
      <x:c r="N151" s="1247" t="str">
        <x:v>Printed p. 65; Notes payable and other borrowings, non-current 76,264 86,420</x:v>
      </x:c>
      <x:c r="O151" s="1247" t="str">
        <x:v>Exact prefixed tag; exact period; USD; no dimensions; checked source version.</x:v>
      </x:c>
      <x:c r="P151" s="1247" t="str">
        <x:v>None (consolidated total)</x:v>
      </x:c>
      <x:c r="Q151" s="1247" t="str">
        <x:v>3e8f9ae9676d6765458be96ef146b4c4b84c0b365b50ea487cf6caa70c2890cd</x:v>
      </x:c>
      <x:c r="R151" s="1058" t="str">
        <x:v>USD</x:v>
      </x:c>
    </x:row>
    <x:row r="152" ht="72" customHeight="1">
      <x:c r="A152" s="1067" t="str">
        <x:v>ORCL FY2024 operating_cash_flow: us-gaap:NetCashProvidedByUsedInOperatingActivities</x:v>
      </x:c>
      <x:c r="B152" s="2093" t="n">
        <x:v>18673000000</x:v>
      </x:c>
      <x:c r="C152" s="1247" t="str">
        <x:v>ORCL FY2024 operating_cash_flow: us-gaap:NetCashProvidedByUsedInOperatingActivities</x:v>
      </x:c>
      <x:c r="D152" s="2094" t="d">
        <x:v>2023-06-01T00:00:00.000Z</x:v>
      </x:c>
      <x:c r="E152" s="2094" t="d">
        <x:v>2024-05-31T00:00:00.000Z</x:v>
      </x:c>
      <x:c r="F152" s="1247" t="str">
        <x:v>10-K</x:v>
      </x:c>
      <x:c r="G152" s="2094" t="d">
        <x:v>2024-06-20T00:00:00.000Z</x:v>
      </x:c>
      <x:c r="H152" s="1247" t="str">
        <x:v>0000950170-24-075605</x:v>
      </x:c>
      <x:c r="I152" s="1247" t="str">
        <x:v>us-gaap:NetCashProvidedByUsedInOperatingActivities</x:v>
      </x:c>
      <x:c r="J152" s="1247" t="str">
        <x:v>C_6b80b0ed-ad46-419f-9d80-36739c35988b</x:v>
      </x:c>
      <x:c r="K152" s="1247" t="n">
        <x:v>6</x:v>
      </x:c>
      <x:c r="L152" s="1247" t="str">
        <x:v>-6</x:v>
      </x:c>
      <x:c r="M152" s="1247" t="str">
        <x:v>https://www.sec.gov/Archives/edgar/data/1341439/000095017024075605/orcl-20240531.htm</x:v>
      </x:c>
      <x:c r="N152" s="1247" t="str">
        <x:v>Printed p. 69; Net cash provided by operating activities 18,673 17,165 9,539</x:v>
      </x:c>
      <x:c r="O152" s="1247" t="str">
        <x:v>Exact prefixed tag; exact period; USD; no dimensions; checked source version.</x:v>
      </x:c>
      <x:c r="P152" s="1247" t="str">
        <x:v>None (consolidated total)</x:v>
      </x:c>
      <x:c r="Q152" s="1247" t="str">
        <x:v>3e8f9ae9676d6765458be96ef146b4c4b84c0b365b50ea487cf6caa70c2890cd</x:v>
      </x:c>
      <x:c r="R152" s="1058" t="str">
        <x:v>USD</x:v>
      </x:c>
    </x:row>
    <x:row r="153" ht="72" customHeight="1">
      <x:c r="A153" s="1067" t="str">
        <x:v>ORCL FY2024 capital_spending: us-gaap:PaymentsToAcquirePropertyPlantAndEquipment</x:v>
      </x:c>
      <x:c r="B153" s="2093" t="n">
        <x:v>6866000000</x:v>
      </x:c>
      <x:c r="C153" s="1247" t="str">
        <x:v>ORCL FY2024 capital_spending: us-gaap:PaymentsToAcquirePropertyPlantAndEquipment</x:v>
      </x:c>
      <x:c r="D153" s="2094" t="d">
        <x:v>2023-06-01T00:00:00.000Z</x:v>
      </x:c>
      <x:c r="E153" s="2094" t="d">
        <x:v>2024-05-31T00:00:00.000Z</x:v>
      </x:c>
      <x:c r="F153" s="1247" t="str">
        <x:v>10-K</x:v>
      </x:c>
      <x:c r="G153" s="2094" t="d">
        <x:v>2024-06-20T00:00:00.000Z</x:v>
      </x:c>
      <x:c r="H153" s="1247" t="str">
        <x:v>0000950170-24-075605</x:v>
      </x:c>
      <x:c r="I153" s="1247" t="str">
        <x:v>us-gaap:PaymentsToAcquirePropertyPlantAndEquipment</x:v>
      </x:c>
      <x:c r="J153" s="1247" t="str">
        <x:v>C_6b80b0ed-ad46-419f-9d80-36739c35988b</x:v>
      </x:c>
      <x:c r="K153" s="1247" t="n">
        <x:v>6</x:v>
      </x:c>
      <x:c r="L153" s="1247" t="str">
        <x:v>-6</x:v>
      </x:c>
      <x:c r="M153" s="1247" t="str">
        <x:v>https://www.sec.gov/Archives/edgar/data/1341439/000095017024075605/orcl-20240531.htm</x:v>
      </x:c>
      <x:c r="N153" s="1247" t="str">
        <x:v>Printed p. 69; Capital expenditures ( 6,866 ) ( 8,695 ) ( 4,511 )</x:v>
      </x:c>
      <x:c r="O153" s="1247" t="str">
        <x:v>Exact prefixed tag; exact period; USD; no dimensions; checked source version.</x:v>
      </x:c>
      <x:c r="P153" s="1247" t="str">
        <x:v>None (consolidated total)</x:v>
      </x:c>
      <x:c r="Q153" s="1247" t="str">
        <x:v>3e8f9ae9676d6765458be96ef146b4c4b84c0b365b50ea487cf6caa70c2890cd</x:v>
      </x:c>
      <x:c r="R153" s="1058" t="str">
        <x:v>USD</x:v>
      </x:c>
    </x:row>
    <x:row r="154" ht="72" customHeight="1">
      <x:c r="A154" s="1067" t="str">
        <x:v>ORCL FY2025 cash: us-gaap:CashAndCashEquivalentsAtCarryingValue</x:v>
      </x:c>
      <x:c r="B154" s="2093" t="n">
        <x:v>10786000000</x:v>
      </x:c>
      <x:c r="C154" s="1247" t="str">
        <x:v>ORCL FY2025 cash: us-gaap:CashAndCashEquivalentsAtCarryingValue</x:v>
      </x:c>
      <x:c r="D154" s="2094"/>
      <x:c r="E154" s="2094" t="d">
        <x:v>2025-05-31T00:00:00.000Z</x:v>
      </x:c>
      <x:c r="F154" s="1247" t="str">
        <x:v>10-K</x:v>
      </x:c>
      <x:c r="G154" s="2094" t="d">
        <x:v>2025-06-18T00:00:00.000Z</x:v>
      </x:c>
      <x:c r="H154" s="1247" t="str">
        <x:v>0000950170-25-087926</x:v>
      </x:c>
      <x:c r="I154" s="1247" t="str">
        <x:v>us-gaap:CashAndCashEquivalentsAtCarryingValue</x:v>
      </x:c>
      <x:c r="J154" s="1247" t="str">
        <x:v>C_9322c118-9fe7-4397-a563-84e40760adaa</x:v>
      </x:c>
      <x:c r="K154" s="1247" t="n">
        <x:v>6</x:v>
      </x:c>
      <x:c r="L154" s="1247" t="str">
        <x:v>-6</x:v>
      </x:c>
      <x:c r="M154" s="1247" t="str">
        <x:v>https://www.sec.gov/Archives/edgar/data/1341439/000095017025087926/orcl-20250531.htm</x:v>
      </x:c>
      <x:c r="N154" s="1247" t="str">
        <x:v>Printed p. 64; Cash and cash equivalents $ 10,786 $ 10,454</x:v>
      </x:c>
      <x:c r="O154" s="1247" t="str">
        <x:v>Exact prefixed tag; exact period; USD; no dimensions; checked source version.</x:v>
      </x:c>
      <x:c r="P154" s="1247" t="str">
        <x:v>None (consolidated total)</x:v>
      </x:c>
      <x:c r="Q154" s="1247" t="str">
        <x:v>054e0a5e56c038d279b6cec60c9c004fb4e11b1dc21c7db2fd62ef4eca25529f</x:v>
      </x:c>
      <x:c r="R154" s="1058" t="str">
        <x:v>USD</x:v>
      </x:c>
    </x:row>
    <x:row r="155" ht="72" customHeight="1">
      <x:c r="A155" s="1067" t="str">
        <x:v>ORCL FY2025 gross_debt: us-gaap:NotesPayableCurrent</x:v>
      </x:c>
      <x:c r="B155" s="2093" t="n">
        <x:v>7271000000</x:v>
      </x:c>
      <x:c r="C155" s="1247" t="str">
        <x:v>ORCL FY2025 gross_debt: us-gaap:NotesPayableCurrent</x:v>
      </x:c>
      <x:c r="D155" s="2094"/>
      <x:c r="E155" s="2094" t="d">
        <x:v>2025-05-31T00:00:00.000Z</x:v>
      </x:c>
      <x:c r="F155" s="1247" t="str">
        <x:v>10-K</x:v>
      </x:c>
      <x:c r="G155" s="2094" t="d">
        <x:v>2025-06-18T00:00:00.000Z</x:v>
      </x:c>
      <x:c r="H155" s="1247" t="str">
        <x:v>0000950170-25-087926</x:v>
      </x:c>
      <x:c r="I155" s="1247" t="str">
        <x:v>us-gaap:NotesPayableCurrent</x:v>
      </x:c>
      <x:c r="J155" s="1247" t="str">
        <x:v>C_9322c118-9fe7-4397-a563-84e40760adaa</x:v>
      </x:c>
      <x:c r="K155" s="1247" t="n">
        <x:v>6</x:v>
      </x:c>
      <x:c r="L155" s="1247" t="str">
        <x:v>-6</x:v>
      </x:c>
      <x:c r="M155" s="1247" t="str">
        <x:v>https://www.sec.gov/Archives/edgar/data/1341439/000095017025087926/orcl-20250531.htm</x:v>
      </x:c>
      <x:c r="N155" s="1247" t="str">
        <x:v>Printed p. 64; Notes payable and other borrowings, current $ 7,271 $ 10,605</x:v>
      </x:c>
      <x:c r="O155" s="1247" t="str">
        <x:v>Exact prefixed tag; exact period; USD; no dimensions; checked source version.</x:v>
      </x:c>
      <x:c r="P155" s="1247" t="str">
        <x:v>None (consolidated total)</x:v>
      </x:c>
      <x:c r="Q155" s="1247" t="str">
        <x:v>054e0a5e56c038d279b6cec60c9c004fb4e11b1dc21c7db2fd62ef4eca25529f</x:v>
      </x:c>
      <x:c r="R155" s="1058" t="str">
        <x:v>USD</x:v>
      </x:c>
    </x:row>
    <x:row r="156" ht="72" customHeight="1">
      <x:c r="A156" s="1067" t="str">
        <x:v>ORCL FY2025 gross_debt: us-gaap:LongTermNotesAndLoans</x:v>
      </x:c>
      <x:c r="B156" s="2093" t="n">
        <x:v>85297000000</x:v>
      </x:c>
      <x:c r="C156" s="1247" t="str">
        <x:v>ORCL FY2025 gross_debt: us-gaap:LongTermNotesAndLoans</x:v>
      </x:c>
      <x:c r="D156" s="2094"/>
      <x:c r="E156" s="2094" t="d">
        <x:v>2025-05-31T00:00:00.000Z</x:v>
      </x:c>
      <x:c r="F156" s="1247" t="str">
        <x:v>10-K</x:v>
      </x:c>
      <x:c r="G156" s="2094" t="d">
        <x:v>2025-06-18T00:00:00.000Z</x:v>
      </x:c>
      <x:c r="H156" s="1247" t="str">
        <x:v>0000950170-25-087926</x:v>
      </x:c>
      <x:c r="I156" s="1247" t="str">
        <x:v>us-gaap:LongTermNotesAndLoans</x:v>
      </x:c>
      <x:c r="J156" s="1247" t="str">
        <x:v>C_9322c118-9fe7-4397-a563-84e40760adaa</x:v>
      </x:c>
      <x:c r="K156" s="1247" t="n">
        <x:v>6</x:v>
      </x:c>
      <x:c r="L156" s="1247" t="str">
        <x:v>-6</x:v>
      </x:c>
      <x:c r="M156" s="1247" t="str">
        <x:v>https://www.sec.gov/Archives/edgar/data/1341439/000095017025087926/orcl-20250531.htm</x:v>
      </x:c>
      <x:c r="N156" s="1247" t="str">
        <x:v>Printed p. 64; Notes payable and other borrowings, non-current 85,297 76,264</x:v>
      </x:c>
      <x:c r="O156" s="1247" t="str">
        <x:v>Exact prefixed tag; exact period; USD; no dimensions; checked source version.</x:v>
      </x:c>
      <x:c r="P156" s="1247" t="str">
        <x:v>None (consolidated total)</x:v>
      </x:c>
      <x:c r="Q156" s="1247" t="str">
        <x:v>054e0a5e56c038d279b6cec60c9c004fb4e11b1dc21c7db2fd62ef4eca25529f</x:v>
      </x:c>
      <x:c r="R156" s="1058" t="str">
        <x:v>USD</x:v>
      </x:c>
    </x:row>
    <x:row r="157" ht="72" customHeight="1">
      <x:c r="A157" s="1067" t="str">
        <x:v>ORCL FY2025 operating_cash_flow: us-gaap:NetCashProvidedByUsedInOperatingActivities</x:v>
      </x:c>
      <x:c r="B157" s="2093" t="n">
        <x:v>20821000000</x:v>
      </x:c>
      <x:c r="C157" s="1247" t="str">
        <x:v>ORCL FY2025 operating_cash_flow: us-gaap:NetCashProvidedByUsedInOperatingActivities</x:v>
      </x:c>
      <x:c r="D157" s="2094" t="d">
        <x:v>2024-06-01T00:00:00.000Z</x:v>
      </x:c>
      <x:c r="E157" s="2094" t="d">
        <x:v>2025-05-31T00:00:00.000Z</x:v>
      </x:c>
      <x:c r="F157" s="1247" t="str">
        <x:v>10-K</x:v>
      </x:c>
      <x:c r="G157" s="2094" t="d">
        <x:v>2025-06-18T00:00:00.000Z</x:v>
      </x:c>
      <x:c r="H157" s="1247" t="str">
        <x:v>0000950170-25-087926</x:v>
      </x:c>
      <x:c r="I157" s="1247" t="str">
        <x:v>us-gaap:NetCashProvidedByUsedInOperatingActivities</x:v>
      </x:c>
      <x:c r="J157" s="1247" t="str">
        <x:v>C_3cc4ac16-8bed-47e2-a23b-8e372a01f4e9</x:v>
      </x:c>
      <x:c r="K157" s="1247" t="n">
        <x:v>6</x:v>
      </x:c>
      <x:c r="L157" s="1247" t="str">
        <x:v>-6</x:v>
      </x:c>
      <x:c r="M157" s="1247" t="str">
        <x:v>https://www.sec.gov/Archives/edgar/data/1341439/000095017025087926/orcl-20250531.htm</x:v>
      </x:c>
      <x:c r="N157" s="1247" t="str">
        <x:v>Printed p. 68; Net cash provided by operating activities 20,821 18,673 17,165</x:v>
      </x:c>
      <x:c r="O157" s="1247" t="str">
        <x:v>Exact prefixed tag; exact period; USD; no dimensions; checked source version.</x:v>
      </x:c>
      <x:c r="P157" s="1247" t="str">
        <x:v>None (consolidated total)</x:v>
      </x:c>
      <x:c r="Q157" s="1247" t="str">
        <x:v>054e0a5e56c038d279b6cec60c9c004fb4e11b1dc21c7db2fd62ef4eca25529f</x:v>
      </x:c>
      <x:c r="R157" s="1058" t="str">
        <x:v>USD</x:v>
      </x:c>
    </x:row>
    <x:row r="158" ht="72" customHeight="1">
      <x:c r="A158" s="1067" t="str">
        <x:v>ORCL FY2025 capital_spending: us-gaap:PaymentsToAcquirePropertyPlantAndEquipment</x:v>
      </x:c>
      <x:c r="B158" s="2093" t="n">
        <x:v>21215000000</x:v>
      </x:c>
      <x:c r="C158" s="1247" t="str">
        <x:v>ORCL FY2025 capital_spending: us-gaap:PaymentsToAcquirePropertyPlantAndEquipment</x:v>
      </x:c>
      <x:c r="D158" s="2094" t="d">
        <x:v>2024-06-01T00:00:00.000Z</x:v>
      </x:c>
      <x:c r="E158" s="2094" t="d">
        <x:v>2025-05-31T00:00:00.000Z</x:v>
      </x:c>
      <x:c r="F158" s="1247" t="str">
        <x:v>10-K</x:v>
      </x:c>
      <x:c r="G158" s="2094" t="d">
        <x:v>2025-06-18T00:00:00.000Z</x:v>
      </x:c>
      <x:c r="H158" s="1247" t="str">
        <x:v>0000950170-25-087926</x:v>
      </x:c>
      <x:c r="I158" s="1247" t="str">
        <x:v>us-gaap:PaymentsToAcquirePropertyPlantAndEquipment</x:v>
      </x:c>
      <x:c r="J158" s="1247" t="str">
        <x:v>C_3cc4ac16-8bed-47e2-a23b-8e372a01f4e9</x:v>
      </x:c>
      <x:c r="K158" s="1247" t="n">
        <x:v>6</x:v>
      </x:c>
      <x:c r="L158" s="1247" t="str">
        <x:v>-6</x:v>
      </x:c>
      <x:c r="M158" s="1247" t="str">
        <x:v>https://www.sec.gov/Archives/edgar/data/1341439/000095017025087926/orcl-20250531.htm</x:v>
      </x:c>
      <x:c r="N158" s="1247" t="str">
        <x:v>Printed p. 68; Capital expenditures ( 21,215 ) ( 6,866 ) ( 8,695 )</x:v>
      </x:c>
      <x:c r="O158" s="1247" t="str">
        <x:v>Exact prefixed tag; exact period; USD; no dimensions; checked source version.</x:v>
      </x:c>
      <x:c r="P158" s="1247" t="str">
        <x:v>None (consolidated total)</x:v>
      </x:c>
      <x:c r="Q158" s="1247" t="str">
        <x:v>054e0a5e56c038d279b6cec60c9c004fb4e11b1dc21c7db2fd62ef4eca25529f</x:v>
      </x:c>
      <x:c r="R158" s="1058" t="str">
        <x:v>USD</x:v>
      </x:c>
    </x:row>
    <x:row r="159" ht="72" customHeight="1">
      <x:c r="A159" s="1067" t="str">
        <x:v>ORCL FY2026 cash: us-gaap:CashAndCashEquivalentsAtCarryingValue</x:v>
      </x:c>
      <x:c r="B159" s="2093" t="n">
        <x:v>31289000000</x:v>
      </x:c>
      <x:c r="C159" s="1247" t="str">
        <x:v>ORCL FY2026 cash: us-gaap:CashAndCashEquivalentsAtCarryingValue</x:v>
      </x:c>
      <x:c r="D159" s="2094"/>
      <x:c r="E159" s="2094" t="d">
        <x:v>2026-05-31T00:00:00.000Z</x:v>
      </x:c>
      <x:c r="F159" s="1247" t="str">
        <x:v>10-K</x:v>
      </x:c>
      <x:c r="G159" s="2094" t="d">
        <x:v>2026-06-22T00:00:00.000Z</x:v>
      </x:c>
      <x:c r="H159" s="1247" t="str">
        <x:v>0001193125-26-277521</x:v>
      </x:c>
      <x:c r="I159" s="1247" t="str">
        <x:v>us-gaap:CashAndCashEquivalentsAtCarryingValue</x:v>
      </x:c>
      <x:c r="J159" s="1247" t="str">
        <x:v>C_f62bade6-47e1-4441-9bb3-1e534300c2f2</x:v>
      </x:c>
      <x:c r="K159" s="1247" t="n">
        <x:v>6</x:v>
      </x:c>
      <x:c r="L159" s="1247" t="str">
        <x:v>-6</x:v>
      </x:c>
      <x:c r="M159" s="1247" t="str">
        <x:v>https://www.sec.gov/Archives/edgar/data/1341439/000119312526277521/orcl-20260531.htm</x:v>
      </x:c>
      <x:c r="N159" s="1247" t="str">
        <x:v>Printed p. 64; Cash and cash equivalents $ 31,289 $ 10,786</x:v>
      </x:c>
      <x:c r="O159" s="1247" t="str">
        <x:v>Exact prefixed tag; exact period; USD; no dimensions; checked source version.</x:v>
      </x:c>
      <x:c r="P159" s="1247" t="str">
        <x:v>None (consolidated total)</x:v>
      </x:c>
      <x:c r="Q159" s="1247" t="str">
        <x:v>61a353e222f961e516bb3e8eed024a5245cfadbf30e3cc16a4a520129f1bdf63</x:v>
      </x:c>
      <x:c r="R159" s="1058" t="str">
        <x:v>USD</x:v>
      </x:c>
    </x:row>
    <x:row r="160" ht="72" customHeight="1">
      <x:c r="A160" s="1067" t="str">
        <x:v>ORCL FY2026 gross_debt: us-gaap:NotesPayableCurrent</x:v>
      </x:c>
      <x:c r="B160" s="2093" t="n">
        <x:v>7199000000</x:v>
      </x:c>
      <x:c r="C160" s="1247" t="str">
        <x:v>ORCL FY2026 gross_debt: us-gaap:NotesPayableCurrent</x:v>
      </x:c>
      <x:c r="D160" s="2094"/>
      <x:c r="E160" s="2094" t="d">
        <x:v>2026-05-31T00:00:00.000Z</x:v>
      </x:c>
      <x:c r="F160" s="1247" t="str">
        <x:v>10-K</x:v>
      </x:c>
      <x:c r="G160" s="2094" t="d">
        <x:v>2026-06-22T00:00:00.000Z</x:v>
      </x:c>
      <x:c r="H160" s="1247" t="str">
        <x:v>0001193125-26-277521</x:v>
      </x:c>
      <x:c r="I160" s="1247" t="str">
        <x:v>us-gaap:NotesPayableCurrent</x:v>
      </x:c>
      <x:c r="J160" s="1247" t="str">
        <x:v>C_f62bade6-47e1-4441-9bb3-1e534300c2f2</x:v>
      </x:c>
      <x:c r="K160" s="1247" t="n">
        <x:v>6</x:v>
      </x:c>
      <x:c r="L160" s="1247" t="str">
        <x:v>-6</x:v>
      </x:c>
      <x:c r="M160" s="1247" t="str">
        <x:v>https://www.sec.gov/Archives/edgar/data/1341439/000119312526277521/orcl-20260531.htm</x:v>
      </x:c>
      <x:c r="N160" s="1247" t="str">
        <x:v>Printed p. 64; Notes payable and other borrowings, current $ 7,199 $ 7,271</x:v>
      </x:c>
      <x:c r="O160" s="1247" t="str">
        <x:v>Exact prefixed tag; exact period; USD; no dimensions; checked source version.</x:v>
      </x:c>
      <x:c r="P160" s="1247" t="str">
        <x:v>None (consolidated total)</x:v>
      </x:c>
      <x:c r="Q160" s="1247" t="str">
        <x:v>61a353e222f961e516bb3e8eed024a5245cfadbf30e3cc16a4a520129f1bdf63</x:v>
      </x:c>
      <x:c r="R160" s="1058" t="str">
        <x:v>USD</x:v>
      </x:c>
    </x:row>
    <x:row r="161" ht="72" customHeight="1">
      <x:c r="A161" s="1067" t="str">
        <x:v>ORCL FY2026 gross_debt: us-gaap:LongTermNotesAndLoans</x:v>
      </x:c>
      <x:c r="B161" s="2093" t="n">
        <x:v>122342000000</x:v>
      </x:c>
      <x:c r="C161" s="1247" t="str">
        <x:v>ORCL FY2026 gross_debt: us-gaap:LongTermNotesAndLoans</x:v>
      </x:c>
      <x:c r="D161" s="2094"/>
      <x:c r="E161" s="2094" t="d">
        <x:v>2026-05-31T00:00:00.000Z</x:v>
      </x:c>
      <x:c r="F161" s="1247" t="str">
        <x:v>10-K</x:v>
      </x:c>
      <x:c r="G161" s="2094" t="d">
        <x:v>2026-06-22T00:00:00.000Z</x:v>
      </x:c>
      <x:c r="H161" s="1247" t="str">
        <x:v>0001193125-26-277521</x:v>
      </x:c>
      <x:c r="I161" s="1247" t="str">
        <x:v>us-gaap:LongTermNotesAndLoans</x:v>
      </x:c>
      <x:c r="J161" s="1247" t="str">
        <x:v>C_f62bade6-47e1-4441-9bb3-1e534300c2f2</x:v>
      </x:c>
      <x:c r="K161" s="1247" t="n">
        <x:v>6</x:v>
      </x:c>
      <x:c r="L161" s="1247" t="str">
        <x:v>-6</x:v>
      </x:c>
      <x:c r="M161" s="1247" t="str">
        <x:v>https://www.sec.gov/Archives/edgar/data/1341439/000119312526277521/orcl-20260531.htm</x:v>
      </x:c>
      <x:c r="N161" s="1247" t="str">
        <x:v>Printed p. 64; Notes payable and other borrowings, non-current 122,342 85,297</x:v>
      </x:c>
      <x:c r="O161" s="1247" t="str">
        <x:v>Exact prefixed tag; exact period; USD; no dimensions; checked source version.</x:v>
      </x:c>
      <x:c r="P161" s="1247" t="str">
        <x:v>None (consolidated total)</x:v>
      </x:c>
      <x:c r="Q161" s="1247" t="str">
        <x:v>61a353e222f961e516bb3e8eed024a5245cfadbf30e3cc16a4a520129f1bdf63</x:v>
      </x:c>
      <x:c r="R161" s="1058" t="str">
        <x:v>USD</x:v>
      </x:c>
    </x:row>
    <x:row r="162" ht="72" customHeight="1">
      <x:c r="A162" s="1067" t="str">
        <x:v>ORCL FY2026 operating_cash_flow: us-gaap:NetCashProvidedByUsedInOperatingActivities</x:v>
      </x:c>
      <x:c r="B162" s="2093" t="n">
        <x:v>31977000000</x:v>
      </x:c>
      <x:c r="C162" s="1247" t="str">
        <x:v>ORCL FY2026 operating_cash_flow: us-gaap:NetCashProvidedByUsedInOperatingActivities</x:v>
      </x:c>
      <x:c r="D162" s="2094" t="d">
        <x:v>2025-06-01T00:00:00.000Z</x:v>
      </x:c>
      <x:c r="E162" s="2094" t="d">
        <x:v>2026-05-31T00:00:00.000Z</x:v>
      </x:c>
      <x:c r="F162" s="1247" t="str">
        <x:v>10-K</x:v>
      </x:c>
      <x:c r="G162" s="2094" t="d">
        <x:v>2026-06-22T00:00:00.000Z</x:v>
      </x:c>
      <x:c r="H162" s="1247" t="str">
        <x:v>0001193125-26-277521</x:v>
      </x:c>
      <x:c r="I162" s="1247" t="str">
        <x:v>us-gaap:NetCashProvidedByUsedInOperatingActivities</x:v>
      </x:c>
      <x:c r="J162" s="1247" t="str">
        <x:v>C_24317829-d237-4c29-bae3-2e46dd1ae625</x:v>
      </x:c>
      <x:c r="K162" s="1247" t="n">
        <x:v>6</x:v>
      </x:c>
      <x:c r="L162" s="1247" t="str">
        <x:v>-6</x:v>
      </x:c>
      <x:c r="M162" s="1247" t="str">
        <x:v>https://www.sec.gov/Archives/edgar/data/1341439/000119312526277521/orcl-20260531.htm</x:v>
      </x:c>
      <x:c r="N162" s="1247" t="str">
        <x:v>Printed p. 68; Net cash provided by operating activities 31,977 20,821 18,673</x:v>
      </x:c>
      <x:c r="O162" s="1247" t="str">
        <x:v>Exact prefixed tag; exact period; USD; no dimensions; checked source version.</x:v>
      </x:c>
      <x:c r="P162" s="1247" t="str">
        <x:v>None (consolidated total)</x:v>
      </x:c>
      <x:c r="Q162" s="1247" t="str">
        <x:v>61a353e222f961e516bb3e8eed024a5245cfadbf30e3cc16a4a520129f1bdf63</x:v>
      </x:c>
      <x:c r="R162" s="1058" t="str">
        <x:v>USD</x:v>
      </x:c>
    </x:row>
    <x:row r="163" ht="72" customHeight="1">
      <x:c r="A163" s="1068" t="str">
        <x:v>ORCL FY2026 capital_spending: us-gaap:PaymentsToAcquirePropertyPlantAndEquipment</x:v>
      </x:c>
      <x:c r="B163" s="2095" t="n">
        <x:v>55663000000</x:v>
      </x:c>
      <x:c r="C163" s="1248" t="str">
        <x:v>ORCL FY2026 capital_spending: us-gaap:PaymentsToAcquirePropertyPlantAndEquipment</x:v>
      </x:c>
      <x:c r="D163" s="2096" t="d">
        <x:v>2025-06-01T00:00:00.000Z</x:v>
      </x:c>
      <x:c r="E163" s="2096" t="d">
        <x:v>2026-05-31T00:00:00.000Z</x:v>
      </x:c>
      <x:c r="F163" s="1248" t="str">
        <x:v>10-K</x:v>
      </x:c>
      <x:c r="G163" s="2096" t="d">
        <x:v>2026-06-22T00:00:00.000Z</x:v>
      </x:c>
      <x:c r="H163" s="1248" t="str">
        <x:v>0001193125-26-277521</x:v>
      </x:c>
      <x:c r="I163" s="1248" t="str">
        <x:v>us-gaap:PaymentsToAcquirePropertyPlantAndEquipment</x:v>
      </x:c>
      <x:c r="J163" s="1248" t="str">
        <x:v>C_24317829-d237-4c29-bae3-2e46dd1ae625</x:v>
      </x:c>
      <x:c r="K163" s="1248" t="n">
        <x:v>6</x:v>
      </x:c>
      <x:c r="L163" s="1248" t="str">
        <x:v>-6</x:v>
      </x:c>
      <x:c r="M163" s="1248" t="str">
        <x:v>https://www.sec.gov/Archives/edgar/data/1341439/000119312526277521/orcl-20260531.htm</x:v>
      </x:c>
      <x:c r="N163" s="1248" t="str">
        <x:v>Printed p. 68; Capital expenditures ( 55,663 ) ( 21,215 ) ( 6,866 )</x:v>
      </x:c>
      <x:c r="O163" s="1248" t="str">
        <x:v>Exact prefixed tag; exact period; USD; no dimensions; checked source version.</x:v>
      </x:c>
      <x:c r="P163" s="1248" t="str">
        <x:v>None (consolidated total)</x:v>
      </x:c>
      <x:c r="Q163" s="1248" t="str">
        <x:v>61a353e222f961e516bb3e8eed024a5245cfadbf30e3cc16a4a520129f1bdf63</x:v>
      </x:c>
      <x:c r="R163" s="1060" t="str">
        <x:v>USD</x:v>
      </x:c>
    </x:row>
  </x:sheetData>
  <x:hyperlinks>
    <x:hyperlink ref="M2" r:id="rIdSource1"/>
    <x:hyperlink ref="M3" r:id="rIdSource2"/>
    <x:hyperlink ref="M4" r:id="rIdSource3"/>
    <x:hyperlink ref="M5" r:id="rIdSource4"/>
    <x:hyperlink ref="M6" r:id="rIdSource5"/>
    <x:hyperlink ref="M7" r:id="rIdSource6"/>
    <x:hyperlink ref="M8" r:id="rIdSource7"/>
    <x:hyperlink ref="M9" r:id="rIdSource8"/>
    <x:hyperlink ref="M10" r:id="rIdSource9"/>
    <x:hyperlink ref="M11" r:id="rIdSource10"/>
    <x:hyperlink ref="M12" r:id="rIdSource11"/>
    <x:hyperlink ref="M13" r:id="rIdSource12"/>
    <x:hyperlink ref="M14" r:id="rIdSource13"/>
    <x:hyperlink ref="M15" r:id="rIdSource14"/>
    <x:hyperlink ref="M16" r:id="rIdSource15"/>
    <x:hyperlink ref="M17" r:id="rIdSource16"/>
    <x:hyperlink ref="M18" r:id="rIdSource17"/>
    <x:hyperlink ref="M19" r:id="rIdSource18"/>
    <x:hyperlink ref="M20" r:id="rIdSource19"/>
    <x:hyperlink ref="M21" r:id="rIdSource20"/>
    <x:hyperlink ref="M22" r:id="rIdSource21"/>
    <x:hyperlink ref="M23" r:id="rIdSource22"/>
    <x:hyperlink ref="M24" r:id="rIdSource23"/>
    <x:hyperlink ref="M25" r:id="rIdSource24"/>
    <x:hyperlink ref="M26" r:id="rIdSource25"/>
    <x:hyperlink ref="M27" r:id="rIdSource26"/>
    <x:hyperlink ref="M28" r:id="rIdSource27"/>
    <x:hyperlink ref="M29" r:id="rIdSource28"/>
    <x:hyperlink ref="M30" r:id="rIdSource29"/>
    <x:hyperlink ref="M31" r:id="rIdSource30"/>
    <x:hyperlink ref="M32" r:id="rIdSource31"/>
    <x:hyperlink ref="M33" r:id="rIdSource32"/>
    <x:hyperlink ref="M34" r:id="rIdSource33"/>
    <x:hyperlink ref="M35" r:id="rIdSource34"/>
    <x:hyperlink ref="M36" r:id="rIdSource35"/>
    <x:hyperlink ref="M37" r:id="rIdSource36"/>
    <x:hyperlink ref="M38" r:id="rIdSource37"/>
    <x:hyperlink ref="M39" r:id="rIdSource38"/>
    <x:hyperlink ref="M40" r:id="rIdSource39"/>
    <x:hyperlink ref="M41" r:id="rIdSource40"/>
    <x:hyperlink ref="M42" r:id="rIdSource41"/>
    <x:hyperlink ref="M43" r:id="rIdSource42"/>
    <x:hyperlink ref="M44" r:id="rIdSource43"/>
    <x:hyperlink ref="M45" r:id="rIdSource44"/>
    <x:hyperlink ref="M46" r:id="rIdSource45"/>
    <x:hyperlink ref="M47" r:id="rIdSource46"/>
    <x:hyperlink ref="M48" r:id="rIdSource47"/>
    <x:hyperlink ref="M49" r:id="rIdSource48"/>
    <x:hyperlink ref="M50" r:id="rIdSource49"/>
    <x:hyperlink ref="M51" r:id="rIdSource50"/>
    <x:hyperlink ref="M52" r:id="rIdSource51"/>
    <x:hyperlink ref="M53" r:id="rIdSource52"/>
    <x:hyperlink ref="M54" r:id="rIdSource53"/>
    <x:hyperlink ref="M55" r:id="rIdSource54"/>
    <x:hyperlink ref="M56" r:id="rIdSource55"/>
    <x:hyperlink ref="M57" r:id="rIdSource56"/>
    <x:hyperlink ref="M58" r:id="rIdSource57"/>
    <x:hyperlink ref="M59" r:id="rIdSource58"/>
    <x:hyperlink ref="M60" r:id="rIdSource59"/>
    <x:hyperlink ref="M61" r:id="rIdSource60"/>
    <x:hyperlink ref="M62" r:id="rIdSource61"/>
    <x:hyperlink ref="M63" r:id="rIdSource62"/>
    <x:hyperlink ref="M64" r:id="rIdSource63"/>
    <x:hyperlink ref="M65" r:id="rIdSource64"/>
    <x:hyperlink ref="M66" r:id="rIdSource65"/>
    <x:hyperlink ref="M67" r:id="rIdSource66"/>
    <x:hyperlink ref="M68" r:id="rIdSource67"/>
    <x:hyperlink ref="M69" r:id="rIdSource68"/>
    <x:hyperlink ref="M70" r:id="rIdSource69"/>
    <x:hyperlink ref="M71" r:id="rIdSource70"/>
    <x:hyperlink ref="M72" r:id="rIdSource71"/>
    <x:hyperlink ref="M73" r:id="rIdSource72"/>
    <x:hyperlink ref="M74" r:id="rIdSource73"/>
    <x:hyperlink ref="M75" r:id="rIdSource74"/>
    <x:hyperlink ref="M76" r:id="rIdSource75"/>
    <x:hyperlink ref="M77" r:id="rIdSource76"/>
    <x:hyperlink ref="M78" r:id="rIdSource77"/>
    <x:hyperlink ref="M79" r:id="rIdSource78"/>
    <x:hyperlink ref="M80" r:id="rIdSource79"/>
    <x:hyperlink ref="M81" r:id="rIdSource80"/>
    <x:hyperlink ref="M82" r:id="rIdSource81"/>
    <x:hyperlink ref="M83" r:id="rIdSource82"/>
    <x:hyperlink ref="M84" r:id="rIdSource83"/>
    <x:hyperlink ref="M85" r:id="rIdSource84"/>
    <x:hyperlink ref="M86" r:id="rIdSource85"/>
    <x:hyperlink ref="M90" r:id="rIdSource86"/>
    <x:hyperlink ref="M91" r:id="rIdSource87"/>
    <x:hyperlink ref="M92" r:id="rIdSource88"/>
    <x:hyperlink ref="M93" r:id="rIdSource89"/>
    <x:hyperlink ref="M94" r:id="rIdSource90"/>
    <x:hyperlink ref="M95" r:id="rIdSource91"/>
    <x:hyperlink ref="M96" r:id="rIdSource92"/>
    <x:hyperlink ref="M97" r:id="rIdSource93"/>
    <x:hyperlink ref="M98" r:id="rIdSource94"/>
    <x:hyperlink ref="M99" r:id="rIdSource95"/>
    <x:hyperlink ref="M100" r:id="rIdSource96"/>
    <x:hyperlink ref="M103" r:id="rIdSource97"/>
    <x:hyperlink ref="M104" r:id="rIdSource98"/>
    <x:hyperlink ref="M105" r:id="rIdSource99"/>
    <x:hyperlink ref="M106" r:id="rIdSource100"/>
    <x:hyperlink ref="M107" r:id="rIdSource101"/>
    <x:hyperlink ref="M108" r:id="rIdSource102"/>
    <x:hyperlink ref="M109" r:id="rIdSource103"/>
    <x:hyperlink ref="M110" r:id="rIdSource104"/>
    <x:hyperlink ref="M111" r:id="rIdSource105"/>
    <x:hyperlink ref="M115" r:id="rIdSource106"/>
    <x:hyperlink ref="M116" r:id="rIdSource107"/>
    <x:hyperlink ref="M117" r:id="rIdSource108"/>
    <x:hyperlink ref="M118" r:id="rIdSource109"/>
    <x:hyperlink ref="M119" r:id="rIdSource110"/>
    <x:hyperlink ref="M120" r:id="rIdSource111"/>
    <x:hyperlink ref="M121" r:id="rIdSource112"/>
    <x:hyperlink ref="M122" r:id="rIdSource113"/>
    <x:hyperlink ref="M123" r:id="rIdSource114"/>
    <x:hyperlink ref="M124" r:id="rIdSource115"/>
    <x:hyperlink ref="M125" r:id="rIdSource116"/>
    <x:hyperlink ref="M129" r:id="rIdSource117"/>
    <x:hyperlink ref="M130" r:id="rIdSource118"/>
    <x:hyperlink ref="M131" r:id="rIdSource119"/>
    <x:hyperlink ref="M132" r:id="rIdSource120"/>
    <x:hyperlink ref="M133" r:id="rIdSource121"/>
    <x:hyperlink ref="M134" r:id="rIdSource122"/>
    <x:hyperlink ref="M135" r:id="rIdSource123"/>
    <x:hyperlink ref="M139" r:id="rIdAnnualSource124"/>
    <x:hyperlink ref="M140" r:id="rIdAnnualSource125"/>
    <x:hyperlink ref="M141" r:id="rIdAnnualSource126"/>
    <x:hyperlink ref="M142" r:id="rIdAnnualSource127"/>
    <x:hyperlink ref="M143" r:id="rIdAnnualSource128"/>
    <x:hyperlink ref="M144" r:id="rIdAnnualSource129"/>
    <x:hyperlink ref="M145" r:id="rIdAnnualSource130"/>
    <x:hyperlink ref="M146" r:id="rIdAnnualSource131"/>
    <x:hyperlink ref="M147" r:id="rIdAnnualSource132"/>
    <x:hyperlink ref="M148" r:id="rIdAnnualSource133"/>
    <x:hyperlink ref="M149" r:id="rIdAnnualSource134"/>
    <x:hyperlink ref="M150" r:id="rIdAnnualSource135"/>
    <x:hyperlink ref="M151" r:id="rIdAnnualSource136"/>
    <x:hyperlink ref="M152" r:id="rIdAnnualSource137"/>
    <x:hyperlink ref="M153" r:id="rIdAnnualSource138"/>
    <x:hyperlink ref="M154" r:id="rIdAnnualSource139"/>
    <x:hyperlink ref="M155" r:id="rIdAnnualSource140"/>
    <x:hyperlink ref="M156" r:id="rIdAnnualSource141"/>
    <x:hyperlink ref="M157" r:id="rIdAnnualSource142"/>
    <x:hyperlink ref="M158" r:id="rIdAnnualSource143"/>
    <x:hyperlink ref="M159" r:id="rIdAnnualSource144"/>
    <x:hyperlink ref="M160" r:id="rIdAnnualSource145"/>
    <x:hyperlink ref="M161" r:id="rIdAnnualSource146"/>
    <x:hyperlink ref="M162" r:id="rIdAnnualSource147"/>
    <x:hyperlink ref="M163" r:id="rIdAnnualSource148"/>
  </x:hyperlinks>
  <x:pageMargins left="0.7" right="0.7" top="0.75" bottom="0.75" header="0.3" footer="0.3"/>
</x:worksheet>
</file>

<file path=xl/worksheets/sheet10.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380" t="str">
        <x:v>Topic</x:v>
      </x:c>
      <x:c r="B1" s="381" t="str">
        <x:v>Explanation</x:v>
      </x:c>
      <x:c r="C1" s="396" t="str">
        <x:v>Source</x:v>
      </x:c>
    </x:row>
    <x:row r="2" ht="85" customHeight="1">
      <x:c r="A2" s="385" t="str">
        <x:v>Snapshot</x:v>
      </x:c>
      <x:c r="B2" s="387" t="str">
        <x:v>Cash review checked October 15, 2026; interest and index consistency checked October 16; funding interpretation re-checked October 17 against the August 31 principal calendar. Cash flows remain June 1–August 31, 2026. Not live data or investment advice.</x:v>
      </x:c>
      <x:c r="C2" s="481"/>
    </x:row>
    <x:row r="3" ht="60" customHeight="1">
      <x:c r="A3" s="385" t="str">
        <x:v>Workbook</x:v>
      </x:c>
      <x:c r="B3" s="387" t="str">
        <x:v>Repayment review pairs obligations with resource evidence and explicit gaps. Cash analysis calculates historical contributions. Payment dates keeps contracts on their own bases. Data retains reported inputs and sources.</x:v>
      </x:c>
      <x:c r="C3" s="481"/>
    </x:row>
    <x:row r="4" ht="60" customHeight="1">
      <x:c r="A4" s="385" t="str">
        <x:v>Colors and units</x:v>
      </x:c>
      <x:c r="B4" s="38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481"/>
    </x:row>
    <x:row r="5" ht="60" customHeight="1">
      <x:c r="A5" s="385" t="str">
        <x:v>Missing inputs</x:v>
      </x:c>
      <x:c r="B5" s="387" t="str">
        <x:v>A missing numeric input produces #N/A in dependent calculations rather than zero. Data is a frozen source record, not forecast assumptions.</x:v>
      </x:c>
      <x:c r="C5" s="481"/>
    </x:row>
    <x:row r="6" ht="60" customHeight="1">
      <x:c r="A6" s="385" t="str">
        <x:v>Cash basis</x:v>
      </x:c>
      <x:c r="B6" s="387" t="str">
        <x:v>Ending total cash of 38.934B includes restricted cash. Balance-sheet cash is 36.369B; the 2.565B difference is derived from these exact rounded-million totals.</x:v>
      </x:c>
      <x:c r="C6" s="398" t="str">
        <x:v>https://www.sec.gov/Archives/edgar/data/1341439/000119312526389274/orcl-20260831.htm</x:v>
      </x:c>
    </x:row>
    <x:row r="7" ht="60" customHeight="1">
      <x:c r="A7" s="385" t="str">
        <x:v>Customer prepayments</x:v>
      </x:c>
      <x:c r="B7" s="387" t="str">
        <x:v>11.363B is the specified cash-flow contribution within OCF. Subtracting it does not isolate recurring cash flow or remove future service costs.</x:v>
      </x:c>
      <x:c r="C7" s="398" t="str">
        <x:v>https://www.sec.gov/Archives/edgar/data/1341439/000119312526389274/orcl-20260831.htm</x:v>
      </x:c>
    </x:row>
    <x:row r="8" ht="60" customHeight="1">
      <x:c r="A8" s="385" t="str">
        <x:v>Commercial paper</x:v>
      </x:c>
      <x:c r="B8" s="387" t="str">
        <x:v>Cash-flow CP repayments show zero; MD&amp;A describes about 1.1B. Grouped debt repayments of 4.202B are counted once; classification is unresolved.</x:v>
      </x:c>
      <x:c r="C8" s="398" t="str">
        <x:v>https://www.sec.gov/Archives/edgar/data/1341439/000119312526389274/orcl-20260831.htm</x:v>
      </x:c>
    </x:row>
    <x:row r="9" ht="60" customHeight="1">
      <x:c r="A9" s="385" t="str">
        <x:v>Agreement review</x:v>
      </x:c>
      <x:c r="B9" s="38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398" t="str">
        <x:v>https://www.sec.gov/Archives/edgar/data/1341439/000119312526101045/orcl-ex10_17.htm</x:v>
      </x:c>
    </x:row>
    <x:row r="10" ht="60" customHeight="1">
      <x:c r="A10" s="385" t="str">
        <x:v>Agreement definitions</x:v>
      </x:c>
      <x:c r="B10" s="387" t="str">
        <x:v>Contract EBITDA includes specified addbacks and exclusions. Cash interest includes finance-lease interest and specified swap costs, net of cash interest income. Generic ratios do not establish compliance.</x:v>
      </x:c>
      <x:c r="C10" s="398" t="str">
        <x:v>https://www.sec.gov/Archives/edgar/data/1341439/000119312526101045/orcl-ex10_17.htm</x:v>
      </x:c>
    </x:row>
    <x:row r="11" ht="60" customHeight="1">
      <x:c r="A11" s="385" t="str">
        <x:v>8-K event Sep 10, filed Sep 10</x:v>
      </x:c>
      <x:c r="B11" s="387" t="str">
        <x:v>Accession 0001193125-26-387905, main document and Ex.99.1 checked. Reports the same quarter equity program and dividends, not another equity inflow or later borrowing.</x:v>
      </x:c>
      <x:c r="C11" s="398" t="str">
        <x:v>https://www.sec.gov/Archives/edgar/data/1341439/000119312526387905/orcl-ex99_1.htm</x:v>
      </x:c>
    </x:row>
    <x:row r="12" ht="60" customHeight="1">
      <x:c r="A12" s="385" t="str">
        <x:v>8-K event Sep 12, filed Sep 14</x:v>
      </x:c>
      <x:c r="B12" s="387" t="str">
        <x:v>Accession 0001193125-26-389753, main document and Ex.99.1 checked. Insider trading-plan cancellation; no corporate financing event identified.</x:v>
      </x:c>
      <x:c r="C12" s="398" t="str">
        <x:v>https://www.sec.gov/Archives/edgar/data/1341439/000119312526389753/d20034dex991.htm</x:v>
      </x:c>
    </x:row>
    <x:row r="13" ht="115" customHeight="1">
      <x:c r="A13" s="385" t="str">
        <x:v>Later filing scope</x:v>
      </x:c>
      <x:c r="B13" s="387" t="str">
        <x:v>SEC financing-candidate index checked through October 15, 2026; only the two September 8-Ks are listed and their documents/exhibits were reviewed. Later or mismatched filings remain Not checked.</x:v>
      </x:c>
      <x:c r="C13" s="481"/>
    </x:row>
    <x:row r="14" ht="115" customHeight="1">
      <x:c r="A14" s="385" t="str">
        <x:v>Repayment limits</x:v>
      </x:c>
      <x:c r="B14" s="387" t="str">
        <x:v>Remaining August debt principal dates, drawable credit and future operating cash generation are Unavailable. No overall future repayment surplus or shortfall can be established.</x:v>
      </x:c>
      <x:c r="C14" s="481"/>
    </x:row>
    <x:row r="15" ht="115" customHeight="1">
      <x:c r="A15" s="385" t="str">
        <x:v>Revolver audit</x:v>
      </x:c>
      <x:c r="B15" s="38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481"/>
    </x:row>
    <x:row r="16" ht="60" customHeight="1">
      <x:c r="A16" s="385" t="str">
        <x:v>Revolver arithmetic</x:v>
      </x:c>
      <x:c r="B16" s="387" t="str">
        <x:v>May 31 undrawn commitment = reported commitment less outstanding advances. This is not a verified drawable amount. March 6 and August 31 undrawn cells stay blank because advances or the current commitment are not established.</x:v>
      </x:c>
      <x:c r="C16" s="481"/>
    </x:row>
    <x:row r="17" ht="115" customHeight="1">
      <x:c r="A17" s="385" t="str">
        <x:v>Historical interest coverage</x:v>
      </x:c>
      <x:c r="B17" s="387" t="str">
        <x:v>TTM reported operating income / TTM reported Interest expense. FY2026 + Q1 FY2027 - Q1 FY2026. Reported operating income is used without adjusted earnings addbacks. This is a historical accrual measure, not future repayment coverage.</x:v>
      </x:c>
      <x:c r="C17" s="398" t="str">
        <x:v>https://github.com/jackconnolly1000-ux/sec-filing-research-terminal/blob/main/docs/oracle_interest_coverage.md</x:v>
      </x:c>
    </x:row>
    <x:row r="18" ht="115" customHeight="1">
      <x:c r="A18" s="385" t="str">
        <x:v>Interest capitalization basis</x:v>
      </x:c>
      <x:c r="B18" s="387" t="str">
        <x:v>Reported interest expense before any interest-income offset. The saved 10-K and 10-Q do not state its capitalized-interest basis. Capitalized interest and total interest incurred are Unavailable; neither is assumed zero or added to or subtracted from expense.</x:v>
      </x:c>
      <x:c r="C18" s="398" t="str">
        <x:v>https://www.sec.gov/Archives/edgar/data/1341439/000119312526277521/orcl-20260531.htm</x:v>
      </x:c>
    </x:row>
    <x:row r="19" ht="115" customHeight="1">
      <x:c r="A19" s="385" t="str">
        <x:v>Interest composition</x:v>
      </x:c>
      <x:c r="B19" s="38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398" t="str">
        <x:v>https://www.sec.gov/Archives/edgar/data/1341439/000119312526277521/orcl-20260531.htm</x:v>
      </x:c>
    </x:row>
    <x:row r="20" ht="115" customHeight="1">
      <x:c r="A20" s="385" t="str">
        <x:v>Borrowing and covenant limits</x:v>
      </x:c>
      <x:c r="B20" s="38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398" t="str">
        <x:v>https://www.sec.gov/Archives/edgar/data/1341439/000119312526101045/orcl-ex10_17.htm</x:v>
      </x:c>
    </x:row>
    <x:row r="21" ht="115" customHeight="1">
      <x:c r="A21" s="389" t="str">
        <x:v>Lease interest context</x:v>
      </x:c>
      <x:c r="B21" s="391" t="str">
        <x:v>279M annual + 126M current quarter − 48M comparative = 357M TTM. This separately reported expense is not added to or subtracted from the selected interest line because overlap is not established.</x:v>
      </x:c>
      <x:c r="C21" s="400" t="str">
        <x:v>10-K Leases Note 9 p. 88; 10-Q Leases Note 6 p. 12</x:v>
      </x:c>
    </x:row>
    <x:row r="22" ht="78" customHeight="1">
      <x:c r="A22" s="350" t="str">
        <x:v>Borrowing and leases</x:v>
      </x:c>
      <x:c r="B22" s="353" t="str">
        <x:v>The Borrowing and leases sheet reconciles baseline borrowing and shows lease balances on their own dates. Unavailable means the amount was not established in the checked evidence. Leases never enter baseline debt or its ratios.</x:v>
      </x:c>
      <x:c r="C22" s="354" t="str">
        <x:v>https://github.com/jackconnolly1000-ux/sec-filing-research-terminal/blob/main/docs/borrowing_lease_presentation.md</x:v>
      </x:c>
    </x:row>
    <x:row r="23" ht="86" customHeight="1">
      <x:c r="A23" s="350" t="str">
        <x:v>Ratio reconciliation</x:v>
      </x:c>
      <x:c r="B23" s="353" t="str">
        <x:v>Debt and liquidity shows current ratio, same-filing net debt, TTM OCF/debt and FCF/debt, and historical interest coverage. Denominator definitions and capital-spending bases differ by company. Values are historical, not future funding coverage.</x:v>
      </x:c>
      <x:c r="C23" s="354" t="str">
        <x:v>https://github.com/jackconnolly1000-ux/sec-filing-research-terminal/blob/main/docs/ratio_reconciliation.md</x:v>
      </x:c>
    </x:row>
    <x:row r="24" ht="70" customHeight="1">
      <x:c r="A24" s="499" t="str">
        <x:v>History</x:v>
      </x:c>
      <x:c r="B24" s="1002" t="str">
        <x:v>Two dated observations per company. Fiscal-year and TTM flows are overlapping twelve-month windows. Vistra FY2025 borrowing and dependent ratios use the checked annual financing line once.</x:v>
      </x:c>
      <x:c r="C24" s="501" t="str">
        <x:v>https://github.com/jackconnolly1000-ux/sec-filing-research-terminal/blob/main/docs/company_history.md</x:v>
      </x:c>
    </x:row>
    <x:row r="25" ht="70" customHeight="1">
      <x:c r="A25" s="499" t="str">
        <x:v>Core charts</x:v>
      </x:c>
      <x:c r="B25" s="1002" t="str">
        <x:v>Two native charts link to Debt and liquidity and History. Signed capital spending is a use; FCF is the result. Unavailable observations are omitted, never plotted as zero.</x:v>
      </x:c>
      <x:c r="C25" s="501" t="str">
        <x:v>https://github.com/jackconnolly1000-ux/sec-filing-research-terminal/blob/main/docs/core_charts.md</x:v>
      </x:c>
    </x:row>
    <x:row r="26" ht="76" customHeight="1">
      <x:c r="A26" s="499" t="str">
        <x:v>Workbook guide</x:v>
      </x:c>
      <x:c r="B26" s="500" t="str">
        <x:v>The first sheet lists all workbook tabs and their questions. Core metrics, dated history and common charts agree with the app. Source URLs are full text and open as links when selected.</x:v>
      </x:c>
      <x:c r="C26" s="501" t="str">
        <x:v>https://github.com/jackconnolly1000-ux/sec-filing-research-terminal/blob/main/docs/excel_parity.md</x:v>
      </x:c>
    </x:row>
    <x:row r="27" ht="75" customHeight="1">
      <x:c r="A27" s="1288" t="str">
        <x:v>Annual history</x:v>
      </x:c>
      <x:c r="B27" s="1291"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x:v>
      </x:c>
      <x:c r="C27" s="1292" t="str">
        <x:v>https://github.com/jackconnolly1000-ux/sec-filing-research-terminal/blob/main/docs/annual_history_reconciliation.md</x:v>
      </x:c>
    </x:row>
  </x:sheetData>
  <x:hyperlinks>
    <x:hyperlink ref="C6" r:id="rIdSource1"/>
    <x:hyperlink ref="C7" r:id="rIdSource2"/>
    <x:hyperlink ref="C8" r:id="rIdSource3"/>
    <x:hyperlink ref="C9" r:id="rIdSource4"/>
    <x:hyperlink ref="C10" r:id="rIdSource5"/>
    <x:hyperlink ref="C11" r:id="rIdSource6"/>
    <x:hyperlink ref="C12" r:id="rIdSource7"/>
    <x:hyperlink ref="C17" r:id="rIdSource8"/>
    <x:hyperlink ref="C18" r:id="rIdSource9"/>
    <x:hyperlink ref="C19" r:id="rIdSource10"/>
    <x:hyperlink ref="C20" r:id="rIdSource11"/>
    <x:hyperlink ref="C22" r:id="rIdSource12"/>
    <x:hyperlink ref="C23" r:id="rIdSource13"/>
    <x:hyperlink ref="C24" r:id="rIdSource14"/>
    <x:hyperlink ref="C25" r:id="rIdSource15"/>
    <x:hyperlink ref="C26" r:id="rIdSource16"/>
    <x:hyperlink ref="C27" r:id="rIdAnnualSource17"/>
  </x:hyperlinks>
  <x:pageMargins left="0.7" right="0.7" top="0.75" bottom="0.75" header="0.3" footer="0.3"/>
</x:worksheet>
</file>

<file path=xl/worksheets/sheet11.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20" hidden="0" customWidth="1"/>
    <x:col min="3" max="3" width="20" hidden="0" customWidth="1"/>
    <x:col min="4" max="4" width="20" hidden="0" customWidth="1"/>
    <x:col min="5" max="5" width="20" hidden="0" customWidth="1"/>
    <x:col min="6" max="6" width="20" hidden="0" customWidth="1"/>
  </x:cols>
  <x:sheetData>
    <x:row r="1">
      <x:c r="A1" s="1046"/>
      <x:c r="B1" s="1046"/>
      <x:c r="C1" s="1046"/>
      <x:c r="D1" s="1046"/>
      <x:c r="E1" s="1046"/>
      <x:c r="F1" s="1046"/>
    </x:row>
    <x:row r="2">
      <x:c r="A2" s="1049" t="str">
        <x:v>ORCL — five completed fiscal years</x:v>
      </x:c>
      <x:c r="B2" s="1046"/>
      <x:c r="C2" s="1046"/>
      <x:c r="D2" s="1046"/>
      <x:c r="E2" s="1046"/>
      <x:c r="F2" s="1046"/>
    </x:row>
    <x:row r="3">
      <x:c r="A3" s="1050" t="str">
        <x:v>USD millions. Full fiscal years; latest TTM remains separate.</x:v>
      </x:c>
      <x:c r="B3" s="1046"/>
      <x:c r="C3" s="1046"/>
      <x:c r="D3" s="1046"/>
      <x:c r="E3" s="1046"/>
      <x:c r="F3" s="1046"/>
    </x:row>
    <x:row r="4" ht="25" customHeight="1">
      <x:c r="A4" s="1046" t="str">
        <x:v>Fiscal year end</x:v>
      </x:c>
      <x:c r="B4" s="2084" t="d">
        <x:v>2022-05-31T00:00:00.000Z</x:v>
      </x:c>
      <x:c r="C4" s="2084" t="d">
        <x:v>2023-05-31T00:00:00.000Z</x:v>
      </x:c>
      <x:c r="D4" s="2084" t="d">
        <x:v>2024-05-31T00:00:00.000Z</x:v>
      </x:c>
      <x:c r="E4" s="2084" t="d">
        <x:v>2025-05-31T00:00:00.000Z</x:v>
      </x:c>
      <x:c r="F4" s="2084" t="d">
        <x:v>2026-05-31T00:00:00.000Z</x:v>
      </x:c>
    </x:row>
    <x:row r="5" ht="25" customHeight="1">
      <x:c r="A5" s="2090" t="str">
        <x:v>Measure</x:v>
      </x:c>
      <x:c r="B5" s="2091" t="str">
        <x:v>FY2022</x:v>
      </x:c>
      <x:c r="C5" s="2091" t="str">
        <x:v>FY2023</x:v>
      </x:c>
      <x:c r="D5" s="2091" t="str">
        <x:v>FY2024</x:v>
      </x:c>
      <x:c r="E5" s="2091" t="str">
        <x:v>FY2025</x:v>
      </x:c>
      <x:c r="F5" s="2092" t="str">
        <x:v>FY2026</x:v>
      </x:c>
    </x:row>
    <x:row r="6" ht="25" customHeight="1">
      <x:c r="A6" s="1067" t="str">
        <x:v>Cash and equivalents</x:v>
      </x:c>
      <x:c r="B6" s="2085" t="n">
        <x:f>IF(ISNUMBER('Data'!B139),'Data'!B139,NA())</x:f>
        <x:v>21383000000</x:v>
      </x:c>
      <x:c r="C6" s="2085" t="n">
        <x:f>IF(ISNUMBER('Data'!B144),'Data'!B144,NA())</x:f>
        <x:v>9765000000</x:v>
      </x:c>
      <x:c r="D6" s="2085" t="n">
        <x:f>IF(ISNUMBER('Data'!B149),'Data'!B149,NA())</x:f>
        <x:v>10454000000</x:v>
      </x:c>
      <x:c r="E6" s="2085" t="n">
        <x:f>IF(ISNUMBER('Data'!B154),'Data'!B154,NA())</x:f>
        <x:v>10786000000</x:v>
      </x:c>
      <x:c r="F6" s="2086" t="n">
        <x:f>IF(ISNUMBER('Data'!B159),'Data'!B159,NA())</x:f>
        <x:v>31289000000</x:v>
      </x:c>
    </x:row>
    <x:row r="7" ht="25" customHeight="1">
      <x:c r="A7" s="1067" t="str">
        <x:v>Baseline borrowing</x:v>
      </x:c>
      <x:c r="B7" s="2085" t="n">
        <x:f>IF(ISNUMBER('Data'!B140),'Data'!B140,NA())+IF(ISNUMBER('Data'!B141),'Data'!B141,NA())</x:f>
        <x:v>75859000000</x:v>
      </x:c>
      <x:c r="C7" s="2085" t="n">
        <x:f>IF(ISNUMBER('Data'!B145),'Data'!B145,NA())+IF(ISNUMBER('Data'!B146),'Data'!B146,NA())</x:f>
        <x:v>90481000000</x:v>
      </x:c>
      <x:c r="D7" s="2085" t="n">
        <x:f>IF(ISNUMBER('Data'!B150),'Data'!B150,NA())+IF(ISNUMBER('Data'!B151),'Data'!B151,NA())</x:f>
        <x:v>86869000000</x:v>
      </x:c>
      <x:c r="E7" s="2085" t="n">
        <x:f>IF(ISNUMBER('Data'!B155),'Data'!B155,NA())+IF(ISNUMBER('Data'!B156),'Data'!B156,NA())</x:f>
        <x:v>92568000000</x:v>
      </x:c>
      <x:c r="F7" s="2086" t="n">
        <x:f>IF(ISNUMBER('Data'!B160),'Data'!B160,NA())+IF(ISNUMBER('Data'!B161),'Data'!B161,NA())</x:f>
        <x:v>129541000000</x:v>
      </x:c>
    </x:row>
    <x:row r="8" ht="25" customHeight="1">
      <x:c r="A8" s="1067" t="str">
        <x:v>Operating cash flow</x:v>
      </x:c>
      <x:c r="B8" s="2085" t="n">
        <x:f>IF(ISNUMBER('Data'!B142),'Data'!B142,NA())</x:f>
        <x:v>9539000000</x:v>
      </x:c>
      <x:c r="C8" s="2085" t="n">
        <x:f>IF(ISNUMBER('Data'!B147),'Data'!B147,NA())</x:f>
        <x:v>17165000000</x:v>
      </x:c>
      <x:c r="D8" s="2085" t="n">
        <x:f>IF(ISNUMBER('Data'!B152),'Data'!B152,NA())</x:f>
        <x:v>18673000000</x:v>
      </x:c>
      <x:c r="E8" s="2085" t="n">
        <x:f>IF(ISNUMBER('Data'!B157),'Data'!B157,NA())</x:f>
        <x:v>20821000000</x:v>
      </x:c>
      <x:c r="F8" s="2086" t="n">
        <x:f>IF(ISNUMBER('Data'!B162),'Data'!B162,NA())</x:f>
        <x:v>31977000000</x:v>
      </x:c>
    </x:row>
    <x:row r="9" ht="25" customHeight="1">
      <x:c r="A9" s="1067" t="str">
        <x:v>Capital spending</x:v>
      </x:c>
      <x:c r="B9" s="2085" t="n">
        <x:f>IF(ISNUMBER('Data'!B143),'Data'!B143,NA())</x:f>
        <x:v>4511000000</x:v>
      </x:c>
      <x:c r="C9" s="2085" t="n">
        <x:f>IF(ISNUMBER('Data'!B148),'Data'!B148,NA())</x:f>
        <x:v>8695000000</x:v>
      </x:c>
      <x:c r="D9" s="2085" t="n">
        <x:f>IF(ISNUMBER('Data'!B153),'Data'!B153,NA())</x:f>
        <x:v>6866000000</x:v>
      </x:c>
      <x:c r="E9" s="2085" t="n">
        <x:f>IF(ISNUMBER('Data'!B158),'Data'!B158,NA())</x:f>
        <x:v>21215000000</x:v>
      </x:c>
      <x:c r="F9" s="2086" t="n">
        <x:f>IF(ISNUMBER('Data'!B163),'Data'!B163,NA())</x:f>
        <x:v>55663000000</x:v>
      </x:c>
    </x:row>
    <x:row r="10" ht="25" customHeight="1">
      <x:c r="A10" s="1288" t="str">
        <x:v>Free cash flow</x:v>
      </x:c>
      <x:c r="B10" s="2087" t="n">
        <x:f>B8-B9</x:f>
        <x:v>5028000000</x:v>
      </x:c>
      <x:c r="C10" s="2087" t="n">
        <x:f>C8-C9</x:f>
        <x:v>8470000000</x:v>
      </x:c>
      <x:c r="D10" s="2087" t="n">
        <x:f>D8-D9</x:f>
        <x:v>11807000000</x:v>
      </x:c>
      <x:c r="E10" s="2087" t="n">
        <x:f>E8-E9</x:f>
        <x:v>-394000000</x:v>
      </x:c>
      <x:c r="F10" s="2088" t="n">
        <x:f>F8-F9</x:f>
        <x:v>-23686000000</x:v>
      </x:c>
    </x:row>
    <x:row r="11">
      <x:c r="A11" s="1046"/>
      <x:c r="B11" s="1046"/>
      <x:c r="C11" s="1046"/>
      <x:c r="D11" s="1046"/>
      <x:c r="E11" s="1046"/>
      <x:c r="F11" s="1046"/>
    </x:row>
    <x:row r="12" ht="21" customHeight="1">
      <x:c r="A12" s="1046" t="str">
        <x:v>Annual basis</x:v>
      </x:c>
      <x:c r="B12" s="1050" t="str">
        <x:v>Annual cash and borrowing are fiscal-year-end balances. OCF and capital spending cover each full fiscal</x:v>
      </x:c>
      <x:c r="C12" s="1046"/>
      <x:c r="D12" s="1046"/>
      <x:c r="E12" s="1046"/>
      <x:c r="F12" s="1046"/>
    </x:row>
    <x:row r="13" ht="21" customHeight="1">
      <x:c r="A13" s="1046"/>
      <x:c r="B13" s="1050" t="str">
        <x:v>year. FCF = OCF − capital spending; it excludes acquisitions and other investing and financing uses.</x:v>
      </x:c>
      <x:c r="C13" s="1046"/>
      <x:c r="D13" s="1046"/>
      <x:c r="E13" s="1046"/>
      <x:c r="F13" s="1046"/>
    </x:row>
    <x:row r="14" ht="21" customHeight="1">
      <x:c r="A14" s="1046"/>
      <x:c r="B14" s="1050" t="str">
        <x:v>Historical amounts do not establish future repayment coverage. Fiscal calendars, business perimeters and</x:v>
      </x:c>
      <x:c r="C14" s="1046"/>
      <x:c r="D14" s="1046"/>
      <x:c r="E14" s="1046"/>
      <x:c r="F14" s="1046"/>
    </x:row>
    <x:row r="15" ht="21" customHeight="1">
      <x:c r="A15" s="1046"/>
      <x:c r="B15" s="1050" t="str">
        <x:v>capital-spending definitions differ.</x:v>
      </x:c>
      <x:c r="C15" s="1046"/>
      <x:c r="D15" s="1046"/>
      <x:c r="E15" s="1046"/>
      <x:c r="F15" s="1046"/>
    </x:row>
    <x:row r="16" ht="21" customHeight="1">
      <x:c r="A16" s="1046"/>
      <x:c r="B16" s="1046"/>
      <x:c r="C16" s="1046"/>
      <x:c r="D16" s="1046"/>
      <x:c r="E16" s="1046"/>
      <x:c r="F16" s="1046"/>
    </x:row>
    <x:row r="17" ht="21" customHeight="1">
      <x:c r="A17" s="1046"/>
      <x:c r="B17" s="1046"/>
      <x:c r="C17" s="1046"/>
      <x:c r="D17" s="1046"/>
      <x:c r="E17" s="1046"/>
      <x:c r="F17" s="1046"/>
    </x:row>
    <x:row r="18" ht="21" customHeight="1">
      <x:c r="A18" s="1046"/>
      <x:c r="B18" s="1046"/>
      <x:c r="C18" s="1046"/>
      <x:c r="D18" s="1046"/>
      <x:c r="E18" s="1046"/>
      <x:c r="F18" s="1046"/>
    </x:row>
    <x:row r="19" ht="21" customHeight="1">
      <x:c r="A19" s="1046"/>
      <x:c r="B19" s="1046"/>
      <x:c r="C19" s="1046"/>
      <x:c r="D19" s="1046"/>
      <x:c r="E19" s="1046"/>
      <x:c r="F19" s="1046"/>
    </x:row>
    <x:row r="20" ht="21" customHeight="1">
      <x:c r="A20" s="1046"/>
      <x:c r="B20" s="1046"/>
      <x:c r="C20" s="1046"/>
      <x:c r="D20" s="1046"/>
      <x:c r="E20" s="1046"/>
      <x:c r="F20" s="1046"/>
    </x:row>
    <x:row r="21" ht="21" customHeight="1">
      <x:c r="A21" s="1046"/>
      <x:c r="B21" s="1046"/>
      <x:c r="C21" s="1046"/>
      <x:c r="D21" s="1046"/>
      <x:c r="E21" s="1046"/>
      <x:c r="F21" s="1046"/>
    </x:row>
    <x:row r="22" ht="21" customHeight="1">
      <x:c r="A22" s="1046"/>
      <x:c r="B22" s="1046"/>
      <x:c r="C22" s="1046"/>
      <x:c r="D22" s="1046"/>
      <x:c r="E22" s="1046"/>
      <x:c r="F22" s="1046"/>
    </x:row>
    <x:row r="23" ht="21" customHeight="1"/>
  </x:sheetData>
  <x:pageMargins left="0.7" right="0.7" top="0.75" bottom="0.75" header="0.3" footer="0.3"/>
</x:worksheet>
</file>