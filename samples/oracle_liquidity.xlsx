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6.xml" ContentType="application/vnd.openxmlformats-officedocument.spreadsheetml.worksheet+xml"/>
  <Override PartName="/xl/drawings/drawing3.xml" ContentType="application/vnd.openxmlformats-officedocument.drawing+xml"/>
  <Override PartName="/xl/drawings/charts/chart5.xml" ContentType="application/vnd.openxmlformats-officedocument.drawingml.chart+xml"/>
  <Override PartName="/xl/drawings/charts/chart6.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drawings/charts/chart7.xml" ContentType="application/vnd.openxmlformats-officedocument.drawingml.chart+xml"/>
  <Override PartName="/xl/worksheets/sheet9.xml" ContentType="application/vnd.openxmlformats-officedocument.spreadsheetml.worksheet+xml"/>
  <Override PartName="/xl/drawings/drawing5.xml" ContentType="application/vnd.openxmlformats-officedocument.drawing+xml"/>
  <Override PartName="/xl/drawings/charts/chart8.xml" ContentType="application/vnd.openxmlformats-officedocument.drawingml.chart+xml"/>
  <Override PartName="/xl/worksheets/sheet10.xml" ContentType="application/vnd.openxmlformats-officedocument.spreadsheetml.worksheet+xml"/>
  <Override PartName="/xl/drawings/drawing6.xml" ContentType="application/vnd.openxmlformats-officedocument.drawing+xml"/>
  <Override PartName="/xl/drawings/charts/chart9.xml" ContentType="application/vnd.openxmlformats-officedocument.drawingml.chart+xml"/>
  <Override PartName="/xl/drawings/charts/chart10.xml" ContentType="application/vnd.openxmlformats-officedocument.drawingml.char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92ca773f85c45ca" /></Relationships>
</file>

<file path=xl/workbook.xml><?xml version="1.0" encoding="utf-8"?>
<x:workbook xmlns:x="http://schemas.openxmlformats.org/spreadsheetml/2006/main">
  <x:sheets>
    <x:sheet xmlns:r="http://schemas.openxmlformats.org/officeDocument/2006/relationships" name="Funding conclusion" sheetId="1" r:id="R9f49ee51f17740a2"/>
    <x:sheet xmlns:r="http://schemas.openxmlformats.org/officeDocument/2006/relationships" name="Borrowing and leases" sheetId="2" r:id="R43845d44fceb422a"/>
    <x:sheet xmlns:r="http://schemas.openxmlformats.org/officeDocument/2006/relationships" name="Debt and liquidity" sheetId="3" r:id="R5e245623809d4b58"/>
    <x:sheet xmlns:r="http://schemas.openxmlformats.org/officeDocument/2006/relationships" name="History" sheetId="4" r:id="Re2d9d96bba96452c"/>
    <x:sheet xmlns:r="http://schemas.openxmlformats.org/officeDocument/2006/relationships" name="Annual history" sheetId="5" r:id="R0fda67e3726f45ca"/>
    <x:sheet xmlns:r="http://schemas.openxmlformats.org/officeDocument/2006/relationships" name="Core charts" sheetId="6" r:id="Rc8730b50ff7d454a"/>
    <x:sheet xmlns:r="http://schemas.openxmlformats.org/officeDocument/2006/relationships" name="Repayment review" sheetId="7" r:id="Rfbfd75d04c1243ef"/>
    <x:sheet xmlns:r="http://schemas.openxmlformats.org/officeDocument/2006/relationships" name="Cash analysis" sheetId="8" r:id="R6ba61335e82043db"/>
    <x:sheet xmlns:r="http://schemas.openxmlformats.org/officeDocument/2006/relationships" name="Payment dates" sheetId="9" r:id="R9bcd8651eb9e4202"/>
    <x:sheet xmlns:r="http://schemas.openxmlformats.org/officeDocument/2006/relationships" name="Debt detail" sheetId="10" r:id="R76e2a8f037344e8e"/>
    <x:sheet xmlns:r="http://schemas.openxmlformats.org/officeDocument/2006/relationships" name="Data" sheetId="11" r:id="Rdfc832586ee54692"/>
    <x:sheet xmlns:r="http://schemas.openxmlformats.org/officeDocument/2006/relationships" name="About" sheetId="12" r:id="R8747f6ca4cd04d11"/>
  </x:sheets>
</x:workbook>
</file>

<file path=xl/sharedStrings.xml><?xml version="1.0" encoding="utf-8"?>
<x:sst xmlns:x="http://schemas.openxmlformats.org/spreadsheetml/2006/main"/>
</file>

<file path=xl/styles.xml><?xml version="1.0" encoding="utf-8"?>
<x:styleSheet xmlns:x="http://schemas.openxmlformats.org/spreadsheetml/2006/main">
  <x:numFmts count="13">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 numFmtId="207" formatCode="#,##0.0,,;(#,##0.0,,);&quot;-&quot;"/>
    <x:numFmt numFmtId="208" formatCode="0.0%;(0.0%);&quot;0.0%&quot;"/>
    <x:numFmt numFmtId="209" formatCode="#,##0.0,,;(#,##0.0,,);&quot;0&quot;"/>
    <x:numFmt numFmtId="210" formatCode="0.00%"/>
    <x:numFmt numFmtId="211" formatCode="#,##0.0,,,;(#,##0.0,,,);&quot;0.0&quot;"/>
    <x:numFmt numFmtId="212" formatCode="0%"/>
  </x:numFmts>
  <x:fonts count="30">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
      <x:sz val="11"/>
      <x:color rgb="FF222222"/>
      <x:name val="Carlito"/>
    </x:font>
    <x:font>
      <x:sz val="11"/>
      <x:color rgb="FF222222"/>
      <x:name val="Arial"/>
    </x:font>
    <x:font>
      <x:sz val="10"/>
      <x:color rgb="FF222222"/>
      <x:name val="Arial"/>
    </x:font>
    <x:font>
      <x:b/>
      <x:sz val="10"/>
      <x:color rgb="FF222222"/>
      <x:name val="Arial"/>
    </x:font>
    <x:font>
      <x:b/>
      <x:sz val="14"/>
      <x:color rgb="FF222222"/>
      <x:name val="Arial"/>
    </x:font>
    <x:font>
      <x:sz val="10"/>
      <x:color rgb="FF111111"/>
      <x:name val="Arial"/>
    </x:font>
    <x:font>
      <x:sz val="10"/>
      <x:color rgb="FFFFFFFF"/>
      <x:name val="Arial"/>
    </x:font>
    <x:font>
      <x:b/>
      <x:sz val="11"/>
      <x:name val="Arial"/>
    </x:font>
  </x:fonts>
  <x:fills count="7">
    <x:fill>
      <x:patternFill patternType="none"/>
    </x:fill>
    <x:fill>
      <x:patternFill patternType="gray125"/>
    </x:fill>
    <x:fill>
      <x:patternFill patternType="solid">
        <x:fgColor rgb="FFF0F2F5"/>
      </x:patternFill>
    </x:fill>
    <x:fill>
      <x:patternFill patternType="solid">
        <x:fgColor rgb="FFBDD5EE"/>
      </x:patternFill>
    </x:fill>
    <x:fill>
      <x:patternFill patternType="solid">
        <x:fgColor rgb="FF5B91C8"/>
      </x:patternFill>
    </x:fill>
    <x:fill>
      <x:patternFill patternType="solid">
        <x:fgColor rgb="FF235589"/>
      </x:patternFill>
    </x:fill>
    <x:fill>
      <x:patternFill patternType="solid">
        <x:fgColor rgb="FFF2F4F7"/>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55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0"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0"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207" fontId="2" fillId="0" borderId="0" xfId="0" applyNumberFormat="1" applyFont="1" applyFill="1" applyBorder="1" applyAlignment="1">
      <x:alignment vertical="top" wrapText="1"/>
    </x:xf>
    <x:xf numFmtId="207" fontId="12" fillId="0" borderId="0" xfId="0" applyNumberFormat="1" applyFont="1" applyFill="1" applyBorder="1" applyAlignment="1">
      <x:alignment vertical="top" wrapText="1"/>
    </x:xf>
    <x:xf numFmtId="207" fontId="12" fillId="0" borderId="14" xfId="0" applyNumberFormat="1" applyFont="1" applyFill="1" applyBorder="1" applyAlignment="1">
      <x:alignment vertical="top" wrapText="1"/>
    </x:xf>
    <x:xf numFmtId="207" fontId="12" fillId="0" borderId="15" xfId="0" applyNumberFormat="1" applyFont="1" applyFill="1" applyBorder="1" applyAlignment="1">
      <x:alignment vertical="top" wrapText="1"/>
    </x:xf>
    <x:xf numFmtId="203" fontId="2" fillId="0" borderId="0" xfId="0" applyNumberFormat="1" applyFont="1" applyFill="1" applyBorder="1" applyAlignment="1">
      <x:alignment vertical="top"/>
    </x:xf>
    <x:xf numFmtId="207" fontId="2" fillId="0" borderId="0" xfId="0" applyNumberFormat="1" applyFont="1" applyFill="1" applyBorder="1" applyAlignment="1">
      <x:alignment vertical="top"/>
    </x:xf>
    <x:xf numFmtId="207" fontId="10" fillId="0" borderId="0" xfId="0" applyNumberFormat="1" applyFont="1" applyFill="1" applyBorder="1" applyAlignment="1">
      <x:alignment vertical="top"/>
    </x:xf>
    <x:xf numFmtId="207" fontId="14"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4" fillId="0" borderId="0" xfId="0" applyNumberFormat="1" applyFont="1" applyFill="1" applyBorder="1" applyAlignment="1">
      <x:alignment vertical="top"/>
    </x:xf>
    <x:xf numFmtId="0" fontId="2" fillId="0" borderId="11" xfId="0" applyNumberFormat="1" applyFont="1" applyFill="1" applyBorder="1" applyAlignment="1">
      <x:alignment vertical="top"/>
    </x:xf>
    <x:xf numFmtId="0" fontId="2" fillId="0" borderId="17" xfId="0" applyNumberFormat="1" applyFont="1" applyFill="1" applyBorder="1" applyAlignment="1">
      <x:alignment vertical="top"/>
    </x:xf>
    <x:xf numFmtId="0" fontId="2" fillId="0" borderId="12" xfId="0" applyNumberFormat="1" applyFont="1" applyFill="1" applyBorder="1" applyAlignment="1">
      <x:alignment vertical="top"/>
    </x:xf>
    <x:xf numFmtId="0" fontId="2" fillId="0" borderId="4" xfId="0" applyNumberFormat="1" applyFont="1" applyFill="1" applyBorder="1" applyAlignment="1">
      <x:alignment vertical="top"/>
    </x:xf>
    <x:xf numFmtId="207" fontId="10" fillId="0" borderId="14" xfId="0" applyNumberFormat="1" applyFont="1" applyFill="1" applyBorder="1" applyAlignment="1">
      <x:alignment vertical="top"/>
    </x:xf>
    <x:xf numFmtId="207" fontId="10" fillId="0" borderId="5" xfId="0" applyNumberFormat="1" applyFont="1" applyFill="1" applyBorder="1" applyAlignment="1">
      <x:alignment vertical="top"/>
    </x:xf>
    <x:xf numFmtId="0" fontId="2" fillId="0" borderId="6" xfId="0" applyNumberFormat="1" applyFont="1" applyFill="1" applyBorder="1" applyAlignment="1">
      <x:alignment vertical="top"/>
    </x:xf>
    <x:xf numFmtId="207" fontId="14" fillId="0" borderId="15" xfId="0" applyNumberFormat="1" applyFont="1" applyFill="1" applyBorder="1" applyAlignment="1">
      <x:alignment vertical="top"/>
    </x:xf>
    <x:xf numFmtId="207" fontId="14" fillId="0" borderId="7" xfId="0" applyNumberFormat="1" applyFont="1" applyFill="1" applyBorder="1" applyAlignment="1">
      <x:alignment vertical="top"/>
    </x:xf>
    <x:xf numFmtId="0" fontId="2" fillId="2" borderId="11" xfId="0" applyNumberFormat="1" applyFont="1" applyFill="1" applyBorder="1" applyAlignment="1">
      <x:alignment vertical="top"/>
    </x:xf>
    <x:xf numFmtId="0" fontId="2" fillId="2" borderId="17" xfId="0" applyNumberFormat="1" applyFont="1" applyFill="1" applyBorder="1" applyAlignment="1">
      <x:alignment vertical="top"/>
    </x:xf>
    <x:xf numFmtId="0" fontId="2" fillId="2" borderId="12" xfId="0" applyNumberFormat="1" applyFont="1" applyFill="1" applyBorder="1" applyAlignment="1">
      <x:alignment vertical="top"/>
    </x:xf>
    <x:xf numFmtId="0" fontId="3" fillId="2" borderId="11" xfId="0" applyNumberFormat="1" applyFont="1" applyFill="1" applyBorder="1" applyAlignment="1">
      <x:alignment vertical="top"/>
    </x:xf>
    <x:xf numFmtId="0" fontId="3" fillId="2" borderId="17" xfId="0" applyNumberFormat="1" applyFont="1" applyFill="1" applyBorder="1" applyAlignment="1">
      <x:alignment vertical="top"/>
    </x:xf>
    <x:xf numFmtId="0" fontId="3" fillId="2" borderId="12" xfId="0" applyNumberFormat="1" applyFont="1" applyFill="1" applyBorder="1" applyAlignment="1">
      <x:alignment vertical="top"/>
    </x:xf>
    <x:xf numFmtId="0" fontId="3" fillId="2" borderId="11" xfId="0" applyNumberFormat="1" applyFont="1" applyFill="1" applyBorder="1" applyAlignment="1">
      <x:alignment horizontal="center" vertical="top"/>
    </x:xf>
    <x:xf numFmtId="0" fontId="3" fillId="2" borderId="17" xfId="0" applyNumberFormat="1" applyFont="1" applyFill="1" applyBorder="1" applyAlignment="1">
      <x:alignment horizontal="center" vertical="top"/>
    </x:xf>
    <x:xf numFmtId="0" fontId="3" fillId="2" borderId="12" xfId="0" applyNumberFormat="1" applyFont="1" applyFill="1" applyBorder="1" applyAlignment="1">
      <x:alignment horizontal="center" vertical="top"/>
    </x:xf>
    <x:xf numFmtId="0" fontId="3" fillId="2" borderId="2" xfId="0" applyNumberFormat="1" applyFont="1" applyFill="1" applyBorder="1" applyAlignment="1">
      <x:alignment horizontal="center" vertical="top"/>
    </x:xf>
    <x:xf numFmtId="0" fontId="3" fillId="2" borderId="16" xfId="0" applyNumberFormat="1" applyFont="1" applyFill="1" applyBorder="1" applyAlignment="1">
      <x:alignment horizontal="center" vertical="top"/>
    </x:xf>
    <x:xf numFmtId="0" fontId="3" fillId="2" borderId="3" xfId="0" applyNumberFormat="1" applyFont="1" applyFill="1" applyBorder="1" applyAlignment="1">
      <x:alignment horizontal="center" vertical="top"/>
    </x:xf>
    <x:xf numFmtId="0" fontId="0" fillId="0" borderId="0" xfId="0" applyNumberFormat="1" applyFont="1" applyFill="1" applyBorder="1" applyAlignment="1">
      <x:alignment wrapText="1"/>
    </x:xf>
    <x:xf numFmtId="208" fontId="2" fillId="0" borderId="0" xfId="0" applyNumberFormat="1" applyFont="1" applyFill="1" applyBorder="1" applyAlignment="1">
      <x:alignment vertical="top"/>
    </x:xf>
    <x:xf numFmtId="0" fontId="2" fillId="0" borderId="2" xfId="0" applyNumberFormat="1" applyFont="1" applyFill="1" applyBorder="1" applyAlignment="1">
      <x:alignment vertical="top"/>
    </x:xf>
    <x:xf numFmtId="208" fontId="2" fillId="0" borderId="16" xfId="0" applyNumberFormat="1" applyFont="1" applyFill="1" applyBorder="1" applyAlignment="1">
      <x:alignment vertical="top"/>
    </x:xf>
    <x:xf numFmtId="208" fontId="2" fillId="0" borderId="3" xfId="0" applyNumberFormat="1" applyFont="1" applyFill="1" applyBorder="1" applyAlignment="1">
      <x:alignment vertical="top"/>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0" fontId="22" fillId="0" borderId="0" xfId="0" applyNumberFormat="1" applyFont="1" applyFill="1" applyBorder="1"/>
    <x:xf numFmtId="203" fontId="22" fillId="0" borderId="0" xfId="0" applyNumberFormat="1" applyFont="1" applyFill="1" applyBorder="1"/>
    <x:xf numFmtId="209" fontId="0" fillId="0" borderId="0" xfId="0" applyNumberFormat="1" applyFont="1" applyFill="1" applyBorder="1"/>
    <x:xf numFmtId="209" fontId="19" fillId="0" borderId="0" xfId="0" applyNumberFormat="1" applyFont="1" applyFill="1" applyBorder="1"/>
    <x:xf numFmtId="209" fontId="7" fillId="0" borderId="0" xfId="0" applyNumberFormat="1" applyFont="1" applyFill="1" applyBorder="1"/>
    <x:xf numFmtId="0" fontId="23" fillId="0" borderId="0" xfId="0" applyNumberFormat="1" applyFont="1" applyFill="1" applyBorder="1"/>
    <x:xf numFmtId="203" fontId="23" fillId="0" borderId="0" xfId="0" applyNumberFormat="1" applyFont="1" applyFill="1" applyBorder="1"/>
    <x:xf numFmtId="209" fontId="20" fillId="0" borderId="0" xfId="0" applyNumberFormat="1" applyFont="1" applyFill="1" applyBorder="1"/>
    <x:xf numFmtId="209" fontId="11" fillId="0" borderId="0" xfId="0" applyNumberFormat="1" applyFont="1" applyFill="1" applyBorder="1"/>
    <x:xf numFmtId="0" fontId="24" fillId="0" borderId="0" xfId="0" applyNumberFormat="1" applyFont="1" applyFill="1" applyBorder="1"/>
    <x:xf numFmtId="203" fontId="24" fillId="0" borderId="0" xfId="0" applyNumberFormat="1" applyFont="1" applyFill="1" applyBorder="1"/>
    <x:xf numFmtId="209" fontId="14" fillId="0" borderId="0" xfId="0" applyNumberFormat="1" applyFont="1" applyFill="1" applyBorder="1"/>
    <x:xf numFmtId="209" fontId="12" fillId="0" borderId="0" xfId="0" applyNumberFormat="1" applyFont="1" applyFill="1" applyBorder="1"/>
    <x:xf numFmtId="0" fontId="24" fillId="0" borderId="0" xfId="0" applyNumberFormat="1" applyFont="1" applyFill="1" applyBorder="1" applyAlignment="1">
      <x:alignment wrapText="1"/>
    </x:xf>
    <x:xf numFmtId="203" fontId="24" fillId="0" borderId="0" xfId="0" applyNumberFormat="1" applyFont="1" applyFill="1" applyBorder="1" applyAlignment="1">
      <x:alignment wrapText="1"/>
    </x:xf>
    <x:xf numFmtId="209" fontId="14" fillId="0" borderId="0" xfId="0" applyNumberFormat="1" applyFont="1" applyFill="1" applyBorder="1" applyAlignment="1">
      <x:alignment wrapText="1"/>
    </x:xf>
    <x:xf numFmtId="209" fontId="12" fillId="0" borderId="0" xfId="0" applyNumberFormat="1" applyFont="1" applyFill="1" applyBorder="1" applyAlignment="1">
      <x:alignment wrapText="1"/>
    </x:xf>
    <x:xf numFmtId="0" fontId="24" fillId="0" borderId="0" xfId="0" applyNumberFormat="1" applyFont="1" applyFill="1" applyBorder="1" applyAlignment="1">
      <x:alignment vertical="top" wrapText="1"/>
    </x:xf>
    <x:xf numFmtId="203" fontId="24" fillId="0" borderId="0" xfId="0" applyNumberFormat="1" applyFont="1" applyFill="1" applyBorder="1" applyAlignment="1">
      <x:alignment vertical="top" wrapText="1"/>
    </x:xf>
    <x:xf numFmtId="209" fontId="14" fillId="0" borderId="0" xfId="0" applyNumberFormat="1" applyFont="1" applyFill="1" applyBorder="1" applyAlignment="1">
      <x:alignment vertical="top" wrapText="1"/>
    </x:xf>
    <x:xf numFmtId="209" fontId="12" fillId="0" borderId="0" xfId="0" applyNumberFormat="1" applyFont="1" applyFill="1" applyBorder="1" applyAlignment="1">
      <x:alignment vertical="top" wrapText="1"/>
    </x:xf>
    <x:xf numFmtId="0" fontId="24" fillId="2" borderId="0" xfId="0" applyNumberFormat="1" applyFont="1" applyFill="1" applyBorder="1" applyAlignment="1">
      <x:alignment vertical="top" wrapText="1"/>
    </x:xf>
    <x:xf numFmtId="0" fontId="25" fillId="2" borderId="0" xfId="0" applyNumberFormat="1" applyFont="1" applyFill="1" applyBorder="1" applyAlignment="1">
      <x:alignment vertical="top" wrapText="1"/>
    </x:xf>
    <x:xf numFmtId="0" fontId="25" fillId="2" borderId="0" xfId="0" applyNumberFormat="1" applyFont="1" applyFill="1" applyBorder="1" applyAlignment="1">
      <x:alignment horizontal="center" vertical="top" wrapText="1"/>
    </x:xf>
    <x:xf numFmtId="0" fontId="25" fillId="2" borderId="1" xfId="0" applyNumberFormat="1" applyFont="1" applyFill="1" applyBorder="1" applyAlignment="1">
      <x:alignment horizontal="center" vertical="top" wrapText="1"/>
    </x:xf>
    <x:xf numFmtId="0" fontId="25" fillId="0" borderId="0" xfId="0" applyNumberFormat="1" applyFont="1" applyFill="1" applyBorder="1" applyAlignment="1">
      <x:alignment vertical="top" wrapText="1"/>
    </x:xf>
    <x:xf numFmtId="0" fontId="26" fillId="0" borderId="0" xfId="0" applyNumberFormat="1" applyFont="1" applyFill="1" applyBorder="1" applyAlignment="1">
      <x:alignment vertical="top" wrapText="1"/>
    </x:xf>
    <x:xf numFmtId="210" fontId="2" fillId="0" borderId="0" xfId="0" applyNumberFormat="1" applyFont="1" applyFill="1" applyBorder="1" applyAlignment="1">
      <x:alignment vertical="top" wrapText="1"/>
    </x:xf>
    <x:xf numFmtId="210" fontId="12"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209" fontId="2" fillId="0" borderId="0" xfId="0" applyNumberFormat="1" applyFont="1" applyFill="1" applyBorder="1" applyAlignment="1">
      <x:alignment vertical="top" wrapText="1"/>
    </x:xf>
    <x:xf numFmtId="210" fontId="12" fillId="0" borderId="5"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209" fontId="2" fillId="0" borderId="7" xfId="0" applyNumberFormat="1" applyFont="1" applyFill="1" applyBorder="1" applyAlignment="1">
      <x:alignment vertical="top" wrapText="1"/>
    </x:xf>
    <x:xf numFmtId="0" fontId="25" fillId="2" borderId="2" xfId="0" applyNumberFormat="1" applyFont="1" applyFill="1" applyBorder="1" applyAlignment="1">
      <x:alignment horizontal="center" vertical="top" wrapText="1"/>
    </x:xf>
    <x:xf numFmtId="0" fontId="25" fillId="2" borderId="16" xfId="0" applyNumberFormat="1" applyFont="1" applyFill="1" applyBorder="1" applyAlignment="1">
      <x:alignment horizontal="center" vertical="top" wrapText="1"/>
    </x:xf>
    <x:xf numFmtId="0" fontId="25" fillId="2" borderId="3" xfId="0" applyNumberFormat="1" applyFont="1" applyFill="1" applyBorder="1" applyAlignment="1">
      <x:alignment horizontal="center" vertical="top" wrapText="1"/>
    </x:xf>
    <x:xf numFmtId="0" fontId="24" fillId="0" borderId="4" xfId="0" applyNumberFormat="1" applyFont="1" applyFill="1" applyBorder="1" applyAlignment="1">
      <x:alignment vertical="top" wrapText="1"/>
    </x:xf>
    <x:xf numFmtId="203" fontId="24" fillId="0" borderId="14" xfId="0" applyNumberFormat="1" applyFont="1" applyFill="1" applyBorder="1" applyAlignment="1">
      <x:alignment vertical="top" wrapText="1"/>
    </x:xf>
    <x:xf numFmtId="209" fontId="14" fillId="0" borderId="14" xfId="0" applyNumberFormat="1" applyFont="1" applyFill="1" applyBorder="1" applyAlignment="1">
      <x:alignment vertical="top" wrapText="1"/>
    </x:xf>
    <x:xf numFmtId="0" fontId="24" fillId="0" borderId="5" xfId="0" applyNumberFormat="1" applyFont="1" applyFill="1" applyBorder="1" applyAlignment="1">
      <x:alignment vertical="top" wrapText="1"/>
    </x:xf>
    <x:xf numFmtId="0" fontId="24" fillId="0" borderId="6" xfId="0" applyNumberFormat="1" applyFont="1" applyFill="1" applyBorder="1" applyAlignment="1">
      <x:alignment vertical="top" wrapText="1"/>
    </x:xf>
    <x:xf numFmtId="209" fontId="14" fillId="0" borderId="15" xfId="0" applyNumberFormat="1" applyFont="1" applyFill="1" applyBorder="1" applyAlignment="1">
      <x:alignment vertical="top" wrapText="1"/>
    </x:xf>
    <x:xf numFmtId="203" fontId="24" fillId="0" borderId="5" xfId="0" applyNumberFormat="1" applyFont="1" applyFill="1" applyBorder="1" applyAlignment="1">
      <x:alignment vertical="top" wrapText="1"/>
    </x:xf>
    <x:xf numFmtId="209" fontId="12" fillId="0" borderId="14" xfId="0" applyNumberFormat="1" applyFont="1" applyFill="1" applyBorder="1" applyAlignment="1">
      <x:alignment vertical="top" wrapText="1"/>
    </x:xf>
    <x:xf numFmtId="0" fontId="24" fillId="0" borderId="7" xfId="0" applyNumberFormat="1" applyFont="1" applyFill="1" applyBorder="1" applyAlignment="1">
      <x:alignment vertical="top" wrapText="1"/>
    </x:xf>
    <x:xf numFmtId="0" fontId="24" fillId="0" borderId="14" xfId="0" applyNumberFormat="1" applyFont="1" applyFill="1" applyBorder="1" applyAlignment="1">
      <x:alignment vertical="top" wrapText="1"/>
    </x:xf>
    <x:xf numFmtId="209" fontId="12" fillId="0" borderId="15" xfId="0" applyNumberFormat="1" applyFont="1" applyFill="1" applyBorder="1" applyAlignment="1">
      <x:alignment vertical="top" wrapText="1"/>
    </x:xf>
    <x:xf numFmtId="0" fontId="24" fillId="0" borderId="15" xfId="0" applyNumberFormat="1" applyFont="1" applyFill="1" applyBorder="1" applyAlignment="1">
      <x:alignment vertical="top" wrapText="1"/>
    </x:xf>
    <x:xf numFmtId="0" fontId="0" fillId="2" borderId="0" xfId="0" applyNumberFormat="1" applyFont="1" applyFill="1" applyBorder="1"/>
    <x:xf numFmtId="0" fontId="17" fillId="2" borderId="0" xfId="0" applyNumberFormat="1" applyFont="1" applyFill="1" applyBorder="1"/>
    <x:xf numFmtId="0" fontId="17" fillId="2" borderId="0" xfId="0" applyNumberFormat="1" applyFont="1" applyFill="1" applyBorder="1" applyAlignment="1">
      <x:alignment horizontal="center"/>
    </x:xf>
    <x:xf numFmtId="0" fontId="17" fillId="2" borderId="1" xfId="0" applyNumberFormat="1" applyFont="1" applyFill="1" applyBorder="1" applyAlignment="1">
      <x:alignment horizontal="center"/>
    </x:xf>
    <x:xf numFmtId="0" fontId="17" fillId="2" borderId="2" xfId="0" applyNumberFormat="1" applyFont="1" applyFill="1" applyBorder="1" applyAlignment="1">
      <x:alignment horizontal="center"/>
    </x:xf>
    <x:xf numFmtId="0" fontId="17" fillId="2" borderId="3" xfId="0" applyNumberFormat="1" applyFont="1" applyFill="1" applyBorder="1" applyAlignment="1">
      <x:alignment horizontal="center"/>
    </x:xf>
    <x:xf numFmtId="0" fontId="0" fillId="0" borderId="4" xfId="0" applyNumberFormat="1" applyFont="1" applyFill="1" applyBorder="1"/>
    <x:xf numFmtId="209" fontId="0" fillId="0" borderId="5" xfId="0" applyNumberFormat="1" applyFont="1" applyFill="1" applyBorder="1"/>
    <x:xf numFmtId="0" fontId="0" fillId="0" borderId="6" xfId="0" applyNumberFormat="1" applyFont="1" applyFill="1" applyBorder="1"/>
    <x:xf numFmtId="209" fontId="0" fillId="0" borderId="7" xfId="0" applyNumberFormat="1" applyFont="1" applyFill="1" applyBorder="1"/>
    <x:xf numFmtId="0" fontId="3" fillId="0" borderId="0" xfId="0" applyNumberFormat="1" applyFont="1" applyFill="1" applyBorder="1"/>
    <x:xf numFmtId="0" fontId="4" fillId="0" borderId="0" xfId="0" applyNumberFormat="1" applyFont="1" applyFill="1" applyBorder="1"/>
    <x:xf numFmtId="211" fontId="2" fillId="0" borderId="0" xfId="0" applyNumberFormat="1" applyFont="1" applyFill="1" applyBorder="1"/>
    <x:xf numFmtId="211" fontId="2" fillId="3" borderId="0" xfId="0" applyNumberFormat="1" applyFont="1" applyFill="1" applyBorder="1"/>
    <x:xf numFmtId="211" fontId="27" fillId="3" borderId="0" xfId="0" applyNumberFormat="1" applyFont="1" applyFill="1" applyBorder="1"/>
    <x:xf numFmtId="211" fontId="2" fillId="4" borderId="0" xfId="0" applyNumberFormat="1" applyFont="1" applyFill="1" applyBorder="1"/>
    <x:xf numFmtId="211" fontId="27" fillId="4" borderId="0" xfId="0" applyNumberFormat="1" applyFont="1" applyFill="1" applyBorder="1"/>
    <x:xf numFmtId="211" fontId="2" fillId="5" borderId="0" xfId="0" applyNumberFormat="1" applyFont="1" applyFill="1" applyBorder="1"/>
    <x:xf numFmtId="211" fontId="28" fillId="5" borderId="0" xfId="0" applyNumberFormat="1" applyFont="1" applyFill="1" applyBorder="1"/>
    <x:xf numFmtId="211" fontId="2" fillId="6" borderId="0" xfId="0" applyNumberFormat="1" applyFont="1" applyFill="1" applyBorder="1"/>
    <x:xf numFmtId="211" fontId="27" fillId="6"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1" xfId="0" applyNumberFormat="1" applyFont="1" applyFill="1" applyBorder="1" applyAlignment="1">
      <x:alignment horizontal="center"/>
    </x:xf>
    <x:xf numFmtId="0" fontId="3" fillId="2" borderId="2" xfId="0" applyNumberFormat="1" applyFont="1" applyFill="1" applyBorder="1" applyAlignment="1">
      <x:alignment horizontal="center"/>
    </x:xf>
    <x:xf numFmtId="0" fontId="3" fillId="2" borderId="16" xfId="0" applyNumberFormat="1" applyFont="1" applyFill="1" applyBorder="1" applyAlignment="1">
      <x:alignment horizontal="center"/>
    </x:xf>
    <x:xf numFmtId="0" fontId="3" fillId="2" borderId="3" xfId="0" applyNumberFormat="1" applyFont="1" applyFill="1" applyBorder="1" applyAlignment="1">
      <x:alignment horizontal="center"/>
    </x:xf>
    <x:xf numFmtId="0" fontId="2" fillId="0" borderId="4" xfId="0" applyNumberFormat="1" applyFont="1" applyFill="1" applyBorder="1"/>
    <x:xf numFmtId="211" fontId="27" fillId="3" borderId="14" xfId="0" applyNumberFormat="1" applyFont="1" applyFill="1" applyBorder="1"/>
    <x:xf numFmtId="211" fontId="27" fillId="4" borderId="14" xfId="0" applyNumberFormat="1" applyFont="1" applyFill="1" applyBorder="1"/>
    <x:xf numFmtId="211" fontId="28" fillId="5" borderId="14" xfId="0" applyNumberFormat="1" applyFont="1" applyFill="1" applyBorder="1"/>
    <x:xf numFmtId="211" fontId="27" fillId="6" borderId="14" xfId="0" applyNumberFormat="1" applyFont="1" applyFill="1" applyBorder="1"/>
    <x:xf numFmtId="211" fontId="27" fillId="4" borderId="5" xfId="0" applyNumberFormat="1" applyFont="1" applyFill="1" applyBorder="1"/>
    <x:xf numFmtId="211" fontId="27" fillId="6" borderId="5" xfId="0" applyNumberFormat="1" applyFont="1" applyFill="1" applyBorder="1"/>
    <x:xf numFmtId="0" fontId="2" fillId="0" borderId="6" xfId="0" applyNumberFormat="1" applyFont="1" applyFill="1" applyBorder="1"/>
    <x:xf numFmtId="211" fontId="27" fillId="3" borderId="15" xfId="0" applyNumberFormat="1" applyFont="1" applyFill="1" applyBorder="1"/>
    <x:xf numFmtId="211" fontId="27" fillId="4" borderId="15" xfId="0" applyNumberFormat="1" applyFont="1" applyFill="1" applyBorder="1"/>
    <x:xf numFmtId="211" fontId="27" fillId="6" borderId="15" xfId="0" applyNumberFormat="1" applyFont="1" applyFill="1" applyBorder="1"/>
    <x:xf numFmtId="211" fontId="27" fillId="6" borderId="7" xfId="0" applyNumberFormat="1" applyFont="1" applyFill="1" applyBorder="1"/>
    <x:xf numFmtId="211" fontId="2" fillId="0" borderId="0" xfId="0" applyNumberFormat="1" applyFont="1" applyFill="1" applyBorder="1" applyAlignment="1">
      <x:alignment wrapText="1"/>
    </x:xf>
    <x:xf numFmtId="210" fontId="2" fillId="0" borderId="0" xfId="0" applyNumberFormat="1" applyFont="1" applyFill="1" applyBorder="1" applyAlignment="1">
      <x:alignment wrapText="1"/>
    </x:xf>
    <x:xf numFmtId="212" fontId="2" fillId="0" borderId="0" xfId="0" applyNumberFormat="1" applyFont="1" applyFill="1" applyBorder="1" applyAlignment="1">
      <x:alignment wrapText="1"/>
    </x:xf>
    <x:xf numFmtId="0" fontId="2" fillId="0" borderId="11" xfId="0" applyNumberFormat="1" applyFont="1" applyFill="1" applyBorder="1" applyAlignment="1">
      <x:alignment wrapText="1"/>
    </x:xf>
    <x:xf numFmtId="0" fontId="2" fillId="0" borderId="17" xfId="0" applyNumberFormat="1" applyFont="1" applyFill="1" applyBorder="1" applyAlignment="1">
      <x:alignment wrapText="1"/>
    </x:xf>
    <x:xf numFmtId="0" fontId="2" fillId="0" borderId="12" xfId="0" applyNumberFormat="1" applyFont="1" applyFill="1" applyBorder="1" applyAlignment="1">
      <x:alignment wrapText="1"/>
    </x:xf>
    <x:xf numFmtId="0" fontId="2" fillId="0" borderId="4" xfId="0" applyNumberFormat="1" applyFont="1" applyFill="1" applyBorder="1" applyAlignment="1">
      <x:alignment wrapText="1"/>
    </x:xf>
    <x:xf numFmtId="211" fontId="2" fillId="0" borderId="14" xfId="0" applyNumberFormat="1" applyFont="1" applyFill="1" applyBorder="1" applyAlignment="1">
      <x:alignment wrapText="1"/>
    </x:xf>
    <x:xf numFmtId="0" fontId="2" fillId="0" borderId="14" xfId="0" applyNumberFormat="1" applyFont="1" applyFill="1" applyBorder="1" applyAlignment="1">
      <x:alignment wrapText="1"/>
    </x:xf>
    <x:xf numFmtId="210" fontId="2" fillId="0" borderId="14" xfId="0" applyNumberFormat="1" applyFont="1" applyFill="1" applyBorder="1" applyAlignment="1">
      <x:alignment wrapText="1"/>
    </x:xf>
    <x:xf numFmtId="212" fontId="2" fillId="0" borderId="5" xfId="0" applyNumberFormat="1" applyFont="1" applyFill="1" applyBorder="1" applyAlignment="1">
      <x:alignment wrapText="1"/>
    </x:xf>
    <x:xf numFmtId="0" fontId="2" fillId="0" borderId="6" xfId="0" applyNumberFormat="1" applyFont="1" applyFill="1" applyBorder="1" applyAlignment="1">
      <x:alignment wrapText="1"/>
    </x:xf>
    <x:xf numFmtId="211" fontId="2" fillId="0" borderId="15" xfId="0" applyNumberFormat="1" applyFont="1" applyFill="1" applyBorder="1" applyAlignment="1">
      <x:alignment wrapText="1"/>
    </x:xf>
    <x:xf numFmtId="0" fontId="2" fillId="0" borderId="15" xfId="0" applyNumberFormat="1" applyFont="1" applyFill="1" applyBorder="1" applyAlignment="1">
      <x:alignment wrapText="1"/>
    </x:xf>
    <x:xf numFmtId="210" fontId="2" fillId="0" borderId="15" xfId="0" applyNumberFormat="1" applyFont="1" applyFill="1" applyBorder="1" applyAlignment="1">
      <x:alignment wrapText="1"/>
    </x:xf>
    <x:xf numFmtId="212" fontId="2" fillId="0" borderId="7" xfId="0" applyNumberFormat="1" applyFont="1" applyFill="1" applyBorder="1" applyAlignment="1">
      <x:alignment wrapText="1"/>
    </x:xf>
    <x:xf numFmtId="0" fontId="2" fillId="2" borderId="11" xfId="0" applyNumberFormat="1" applyFont="1" applyFill="1" applyBorder="1" applyAlignment="1">
      <x:alignment wrapText="1"/>
    </x:xf>
    <x:xf numFmtId="0" fontId="2" fillId="2" borderId="17" xfId="0" applyNumberFormat="1" applyFont="1" applyFill="1" applyBorder="1" applyAlignment="1">
      <x:alignment wrapText="1"/>
    </x:xf>
    <x:xf numFmtId="0" fontId="2" fillId="2" borderId="12" xfId="0" applyNumberFormat="1" applyFont="1" applyFill="1" applyBorder="1" applyAlignment="1">
      <x:alignment wrapText="1"/>
    </x:xf>
    <x:xf numFmtId="0" fontId="3" fillId="2" borderId="11" xfId="0" applyNumberFormat="1" applyFont="1" applyFill="1" applyBorder="1" applyAlignment="1">
      <x:alignment wrapText="1"/>
    </x:xf>
    <x:xf numFmtId="0" fontId="3" fillId="2" borderId="17" xfId="0" applyNumberFormat="1" applyFont="1" applyFill="1" applyBorder="1" applyAlignment="1">
      <x:alignment wrapText="1"/>
    </x:xf>
    <x:xf numFmtId="0" fontId="3" fillId="2" borderId="12" xfId="0" applyNumberFormat="1" applyFont="1" applyFill="1" applyBorder="1" applyAlignment="1">
      <x:alignment wrapText="1"/>
    </x:xf>
    <x:xf numFmtId="0" fontId="3" fillId="2" borderId="11" xfId="0" applyNumberFormat="1" applyFont="1" applyFill="1" applyBorder="1" applyAlignment="1">
      <x:alignment horizontal="center" wrapText="1"/>
    </x:xf>
    <x:xf numFmtId="0" fontId="3" fillId="2" borderId="17" xfId="0" applyNumberFormat="1" applyFont="1" applyFill="1" applyBorder="1" applyAlignment="1">
      <x:alignment horizontal="center" wrapText="1"/>
    </x:xf>
    <x:xf numFmtId="0" fontId="3" fillId="2" borderId="12"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16"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2" fillId="0" borderId="11" xfId="0" applyNumberFormat="1" applyFont="1" applyFill="1" applyBorder="1"/>
    <x:xf numFmtId="0" fontId="2" fillId="0" borderId="12" xfId="0" applyNumberFormat="1" applyFont="1" applyFill="1" applyBorder="1"/>
    <x:xf numFmtId="211" fontId="2" fillId="0" borderId="5" xfId="0" applyNumberFormat="1" applyFont="1" applyFill="1" applyBorder="1"/>
    <x:xf numFmtId="211" fontId="2" fillId="0" borderId="7" xfId="0" applyNumberFormat="1" applyFont="1" applyFill="1" applyBorder="1"/>
    <x:xf numFmtId="0" fontId="2" fillId="2" borderId="11" xfId="0" applyNumberFormat="1" applyFont="1" applyFill="1" applyBorder="1"/>
    <x:xf numFmtId="0" fontId="2" fillId="2" borderId="12" xfId="0" applyNumberFormat="1" applyFont="1" applyFill="1" applyBorder="1"/>
    <x:xf numFmtId="0" fontId="3" fillId="2" borderId="11" xfId="0" applyNumberFormat="1" applyFont="1" applyFill="1" applyBorder="1"/>
    <x:xf numFmtId="0" fontId="3" fillId="2" borderId="12" xfId="0" applyNumberFormat="1" applyFont="1" applyFill="1" applyBorder="1"/>
    <x:xf numFmtId="0" fontId="3" fillId="2" borderId="11" xfId="0" applyNumberFormat="1" applyFont="1" applyFill="1" applyBorder="1" applyAlignment="1">
      <x:alignment horizontal="center"/>
    </x:xf>
    <x:xf numFmtId="0" fontId="3" fillId="2" borderId="12" xfId="0" applyNumberFormat="1" applyFont="1" applyFill="1" applyBorder="1" applyAlignment="1">
      <x:alignment horizontal="center"/>
    </x:xf>
    <x:xf numFmtId="210" fontId="2" fillId="0" borderId="0" xfId="0" applyNumberFormat="1" applyFont="1" applyFill="1" applyBorder="1"/>
    <x:xf numFmtId="210" fontId="10" fillId="0" borderId="0" xfId="0" applyNumberFormat="1" applyFont="1" applyFill="1" applyBorder="1"/>
    <x:xf numFmtId="211" fontId="10" fillId="0" borderId="0" xfId="0" applyNumberFormat="1" applyFont="1" applyFill="1" applyBorder="1"/>
    <x:xf numFmtId="0" fontId="2" fillId="0" borderId="17" xfId="0" applyNumberFormat="1" applyFont="1" applyFill="1" applyBorder="1"/>
    <x:xf numFmtId="203" fontId="2" fillId="0" borderId="14" xfId="0" applyNumberFormat="1" applyFont="1" applyFill="1" applyBorder="1"/>
    <x:xf numFmtId="210" fontId="10" fillId="0" borderId="14" xfId="0" applyNumberFormat="1" applyFont="1" applyFill="1" applyBorder="1"/>
    <x:xf numFmtId="211" fontId="10" fillId="0" borderId="14" xfId="0" applyNumberFormat="1" applyFont="1" applyFill="1" applyBorder="1"/>
    <x:xf numFmtId="0" fontId="2" fillId="0" borderId="14" xfId="0" applyNumberFormat="1" applyFont="1" applyFill="1" applyBorder="1"/>
    <x:xf numFmtId="0" fontId="2" fillId="0" borderId="5" xfId="0" applyNumberFormat="1" applyFont="1" applyFill="1" applyBorder="1"/>
    <x:xf numFmtId="203" fontId="2" fillId="0" borderId="15" xfId="0" applyNumberFormat="1" applyFont="1" applyFill="1" applyBorder="1"/>
    <x:xf numFmtId="210" fontId="10" fillId="0" borderId="15" xfId="0" applyNumberFormat="1" applyFont="1" applyFill="1" applyBorder="1"/>
    <x:xf numFmtId="211" fontId="10" fillId="0" borderId="15" xfId="0" applyNumberFormat="1" applyFont="1" applyFill="1" applyBorder="1"/>
    <x:xf numFmtId="0" fontId="2" fillId="0" borderId="15" xfId="0" applyNumberFormat="1" applyFont="1" applyFill="1" applyBorder="1"/>
    <x:xf numFmtId="0" fontId="2" fillId="0" borderId="7" xfId="0" applyNumberFormat="1" applyFont="1" applyFill="1" applyBorder="1"/>
    <x:xf numFmtId="0" fontId="2" fillId="2" borderId="17" xfId="0" applyNumberFormat="1" applyFont="1" applyFill="1" applyBorder="1"/>
    <x:xf numFmtId="0" fontId="3" fillId="2" borderId="17" xfId="0" applyNumberFormat="1" applyFont="1" applyFill="1" applyBorder="1"/>
    <x:xf numFmtId="0" fontId="3" fillId="2" borderId="17" xfId="0" applyNumberFormat="1" applyFont="1" applyFill="1" applyBorder="1" applyAlignment="1">
      <x:alignment horizontal="center"/>
    </x:xf>
    <x:xf numFmtId="203" fontId="2" fillId="0" borderId="4" xfId="0" applyNumberFormat="1" applyFont="1" applyFill="1" applyBorder="1"/>
    <x:xf numFmtId="203" fontId="2" fillId="0" borderId="6" xfId="0" applyNumberFormat="1" applyFont="1" applyFill="1" applyBorder="1"/>
    <x:xf numFmtId="203" fontId="2" fillId="0" borderId="14" xfId="0" applyNumberFormat="1" applyFont="1" applyFill="1" applyBorder="1" applyAlignment="1">
      <x:alignment wrapText="1"/>
    </x:xf>
    <x:xf numFmtId="210" fontId="10" fillId="0" borderId="14" xfId="0" applyNumberFormat="1" applyFont="1" applyFill="1" applyBorder="1" applyAlignment="1">
      <x:alignment wrapText="1"/>
    </x:xf>
    <x:xf numFmtId="211" fontId="10" fillId="0" borderId="14" xfId="0" applyNumberFormat="1" applyFont="1" applyFill="1" applyBorder="1" applyAlignment="1">
      <x:alignment wrapText="1"/>
    </x:xf>
    <x:xf numFmtId="0" fontId="2" fillId="0" borderId="5" xfId="0" applyNumberFormat="1" applyFont="1" applyFill="1" applyBorder="1" applyAlignment="1">
      <x:alignment wrapText="1"/>
    </x:xf>
    <x:xf numFmtId="203" fontId="2" fillId="0" borderId="15" xfId="0" applyNumberFormat="1" applyFont="1" applyFill="1" applyBorder="1" applyAlignment="1">
      <x:alignment wrapText="1"/>
    </x:xf>
    <x:xf numFmtId="210" fontId="10" fillId="0" borderId="15" xfId="0" applyNumberFormat="1" applyFont="1" applyFill="1" applyBorder="1" applyAlignment="1">
      <x:alignment wrapText="1"/>
    </x:xf>
    <x:xf numFmtId="211" fontId="10" fillId="0" borderId="15" xfId="0" applyNumberFormat="1" applyFont="1" applyFill="1" applyBorder="1" applyAlignment="1">
      <x:alignment wrapText="1"/>
    </x:xf>
    <x:xf numFmtId="0" fontId="2" fillId="0" borderId="7" xfId="0" applyNumberFormat="1" applyFont="1" applyFill="1" applyBorder="1" applyAlignment="1">
      <x:alignment wrapText="1"/>
    </x:xf>
    <x:xf numFmtId="203" fontId="2" fillId="0" borderId="4" xfId="0" applyNumberFormat="1" applyFont="1" applyFill="1" applyBorder="1" applyAlignment="1">
      <x:alignment wrapText="1"/>
    </x:xf>
    <x:xf numFmtId="203" fontId="2" fillId="0" borderId="6" xfId="0" applyNumberFormat="1" applyFont="1" applyFill="1" applyBorder="1" applyAlignment="1">
      <x:alignment wrapText="1"/>
    </x:xf>
    <x:xf numFmtId="210" fontId="0" fillId="0" borderId="0" xfId="0" applyNumberFormat="1" applyFont="1" applyFill="1" applyBorder="1"/>
    <x:xf numFmtId="210" fontId="7" fillId="0" borderId="0" xfId="0" applyNumberFormat="1" applyFont="1" applyFill="1" applyBorder="1"/>
    <x:xf numFmtId="210" fontId="7" fillId="0" borderId="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4" xfId="0" applyNumberFormat="1" applyFont="1" applyFill="1" applyBorder="1" applyAlignment="1">
      <x:alignment wrapText="1"/>
    </x:xf>
    <x:xf numFmtId="210" fontId="7" fillId="0" borderId="14"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210" fontId="7" fillId="0"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7" xfId="0" applyNumberFormat="1" applyFont="1" applyFill="1" applyBorder="1" applyAlignment="1">
      <x:alignment wrapText="1"/>
    </x:xf>
    <x:xf numFmtId="0" fontId="0" fillId="2" borderId="11" xfId="0" applyNumberFormat="1" applyFont="1" applyFill="1" applyBorder="1" applyAlignment="1">
      <x:alignment wrapText="1"/>
    </x:xf>
    <x:xf numFmtId="0" fontId="0" fillId="2" borderId="17" xfId="0" applyNumberFormat="1" applyFont="1" applyFill="1" applyBorder="1" applyAlignment="1">
      <x:alignment wrapText="1"/>
    </x:xf>
    <x:xf numFmtId="0" fontId="0" fillId="2" borderId="12" xfId="0" applyNumberFormat="1" applyFont="1" applyFill="1" applyBorder="1" applyAlignment="1">
      <x:alignment wrapText="1"/>
    </x:xf>
    <x:xf numFmtId="0" fontId="17" fillId="2" borderId="11" xfId="0" applyNumberFormat="1" applyFont="1" applyFill="1" applyBorder="1" applyAlignment="1">
      <x:alignment wrapText="1"/>
    </x:xf>
    <x:xf numFmtId="0" fontId="17" fillId="2" borderId="17" xfId="0" applyNumberFormat="1" applyFont="1" applyFill="1" applyBorder="1" applyAlignment="1">
      <x:alignment wrapText="1"/>
    </x:xf>
    <x:xf numFmtId="0" fontId="17" fillId="2" borderId="12" xfId="0" applyNumberFormat="1" applyFont="1" applyFill="1" applyBorder="1" applyAlignment="1">
      <x:alignment wrapText="1"/>
    </x:xf>
    <x:xf numFmtId="0" fontId="17" fillId="2" borderId="11" xfId="0" applyNumberFormat="1" applyFont="1" applyFill="1" applyBorder="1" applyAlignment="1">
      <x:alignment horizontal="center" wrapText="1"/>
    </x:xf>
    <x:xf numFmtId="0" fontId="17" fillId="2" borderId="17" xfId="0" applyNumberFormat="1" applyFont="1" applyFill="1" applyBorder="1" applyAlignment="1">
      <x:alignment horizontal="center" wrapText="1"/>
    </x:xf>
    <x:xf numFmtId="0" fontId="17" fillId="2" borderId="12" xfId="0" applyNumberFormat="1" applyFont="1" applyFill="1" applyBorder="1" applyAlignment="1">
      <x:alignment horizontal="center" wrapText="1"/>
    </x:xf>
    <x:xf numFmtId="0" fontId="17" fillId="2" borderId="2" xfId="0" applyNumberFormat="1" applyFont="1" applyFill="1" applyBorder="1" applyAlignment="1">
      <x:alignment horizontal="center" wrapText="1"/>
    </x:xf>
    <x:xf numFmtId="0" fontId="17" fillId="2" borderId="16" xfId="0" applyNumberFormat="1" applyFont="1" applyFill="1" applyBorder="1" applyAlignment="1">
      <x:alignment horizontal="center" wrapText="1"/>
    </x:xf>
    <x:xf numFmtId="0" fontId="17" fillId="2" borderId="3" xfId="0" applyNumberFormat="1" applyFont="1" applyFill="1" applyBorder="1" applyAlignment="1">
      <x:alignment horizontal="center" wrapText="1"/>
    </x:xf>
    <x:xf numFmtId="0" fontId="4" fillId="0" borderId="0" xfId="0" applyNumberFormat="1" applyFont="1" applyFill="1" applyBorder="1" applyAlignment="1">
      <x:alignment wrapText="0"/>
    </x:xf>
    <x:xf numFmtId="0" fontId="1" fillId="0" borderId="0" xfId="0" applyNumberFormat="1" applyFont="1" applyFill="1" applyBorder="1" applyAlignment="1">
      <x:alignment wrapText="0"/>
    </x:xf>
    <x:xf numFmtId="0" fontId="29" fillId="2" borderId="2" xfId="0" applyNumberFormat="1" applyFont="1" applyFill="1" applyBorder="1" applyAlignment="1">
      <x:alignment horizontal="center"/>
    </x:xf>
    <x:xf numFmtId="0" fontId="29" fillId="2" borderId="3" xfId="0" applyNumberFormat="1" applyFont="1" applyFill="1" applyBorder="1" applyAlignment="1">
      <x:alignment horizontal="center"/>
    </x:xf>
    <x:xf numFmtId="0" fontId="1" fillId="0" borderId="4" xfId="0" applyNumberFormat="1" applyFont="1" applyFill="1" applyBorder="1"/>
    <x:xf numFmtId="209" fontId="1" fillId="0" borderId="5" xfId="0" applyNumberFormat="1" applyFont="1" applyFill="1" applyBorder="1"/>
    <x:xf numFmtId="0" fontId="1" fillId="0" borderId="6" xfId="0" applyNumberFormat="1" applyFont="1" applyFill="1" applyBorder="1"/>
    <x:xf numFmtId="209" fontId="1" fillId="0" borderId="7" xfId="0" applyNumberFormat="1" applyFont="1" applyFill="1" applyBorder="1"/>
    <x:xf numFmtId="0" fontId="29" fillId="2" borderId="2" xfId="0" applyNumberFormat="1" applyFont="1" applyFill="1" applyBorder="1" applyAlignment="1">
      <x:alignment horizontal="center" wrapText="1"/>
    </x:xf>
    <x:xf numFmtId="0" fontId="29" fillId="2" borderId="16" xfId="0" applyNumberFormat="1" applyFont="1" applyFill="1" applyBorder="1" applyAlignment="1">
      <x:alignment horizontal="center" wrapText="1"/>
    </x:xf>
    <x:xf numFmtId="0" fontId="29" fillId="2" borderId="3" xfId="0" applyNumberFormat="1" applyFont="1" applyFill="1" applyBorder="1" applyAlignment="1">
      <x:alignment horizontal="center" wrapText="1"/>
    </x:xf>
    <x:xf numFmtId="0" fontId="1" fillId="0" borderId="4" xfId="0" applyNumberFormat="1" applyFont="1" applyFill="1" applyBorder="1" applyAlignment="1">
      <x:alignment wrapText="1"/>
    </x:xf>
    <x:xf numFmtId="210" fontId="11" fillId="0" borderId="14" xfId="0" applyNumberFormat="1" applyFont="1" applyFill="1" applyBorder="1" applyAlignment="1">
      <x:alignment wrapText="1"/>
    </x:xf>
    <x:xf numFmtId="0" fontId="1" fillId="0" borderId="1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210" fontId="11" fillId="0" borderId="15" xfId="0" applyNumberFormat="1" applyFont="1" applyFill="1" applyBorder="1" applyAlignment="1">
      <x:alignment wrapText="1"/>
    </x:xf>
    <x:xf numFmtId="0" fontId="1" fillId="0" borderId="15" xfId="0" applyNumberFormat="1" applyFont="1" applyFill="1" applyBorder="1" applyAlignment="1">
      <x:alignment wrapText="1"/>
    </x:xf>
    <x:xf numFmtId="0" fontId="1" fillId="0" borderId="7" xfId="0" applyNumberFormat="1" applyFont="1" applyFill="1" applyBorder="1" applyAlignment="1">
      <x:alignment wrapText="1"/>
    </x:xf>
    <x:xf numFmtId="0" fontId="1" fillId="0" borderId="0" xfId="0" applyNumberFormat="1" applyFont="1" applyFill="1" applyBorder="1" applyAlignment="1">
      <x:alignment wrapText="1"/>
    </x:xf>
    <x:xf numFmtId="207" fontId="14" fillId="0" borderId="14"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bfc8ac1bb004c40" /><Relationship Type="http://schemas.openxmlformats.org/officeDocument/2006/relationships/theme" Target="/xl/theme/theme1.xml" Id="R2c9536683c084d84" /><Relationship Type="http://schemas.openxmlformats.org/officeDocument/2006/relationships/sharedStrings" Target="/xl/sharedStrings.xml" Id="R1b7898c2200c4049" /><Relationship Type="http://schemas.openxmlformats.org/officeDocument/2006/relationships/worksheet" Target="/xl/worksheets/sheet1.xml" Id="R9f49ee51f17740a2" /><Relationship Type="http://schemas.openxmlformats.org/officeDocument/2006/relationships/worksheet" Target="/xl/worksheets/sheet2.xml" Id="R43845d44fceb422a" /><Relationship Type="http://schemas.openxmlformats.org/officeDocument/2006/relationships/worksheet" Target="/xl/worksheets/sheet3.xml" Id="R5e245623809d4b58" /><Relationship Type="http://schemas.openxmlformats.org/officeDocument/2006/relationships/worksheet" Target="/xl/worksheets/sheet4.xml" Id="Re2d9d96bba96452c" /><Relationship Type="http://schemas.openxmlformats.org/officeDocument/2006/relationships/worksheet" Target="/xl/worksheets/sheet5.xml" Id="R0fda67e3726f45ca" /><Relationship Type="http://schemas.openxmlformats.org/officeDocument/2006/relationships/worksheet" Target="/xl/worksheets/sheet6.xml" Id="Rc8730b50ff7d454a" /><Relationship Type="http://schemas.openxmlformats.org/officeDocument/2006/relationships/worksheet" Target="/xl/worksheets/sheet7.xml" Id="Rfbfd75d04c1243ef" /><Relationship Type="http://schemas.openxmlformats.org/officeDocument/2006/relationships/worksheet" Target="/xl/worksheets/sheet8.xml" Id="R6ba61335e82043db" /><Relationship Type="http://schemas.openxmlformats.org/officeDocument/2006/relationships/worksheet" Target="/xl/worksheets/sheet9.xml" Id="R9bcd8651eb9e4202" /><Relationship Type="http://schemas.openxmlformats.org/officeDocument/2006/relationships/worksheet" Target="/xl/worksheets/sheet10.xml" Id="R76e2a8f037344e8e" /><Relationship Type="http://schemas.openxmlformats.org/officeDocument/2006/relationships/worksheet" Target="/xl/worksheets/sheet11.xml" Id="Rdfc832586ee54692" /><Relationship Type="http://schemas.openxmlformats.org/officeDocument/2006/relationships/worksheet" Target="/xl/worksheets/sheet12.xml" Id="R8747f6ca4cd04d11" /></Relationships>
</file>

<file path=xl/drawings/_rels/drawing1.xml.rels>&#65279;<?xml version="1.0" encoding="utf-8"?><Relationships xmlns="http://schemas.openxmlformats.org/package/2006/relationships"><Relationship Type="http://schemas.openxmlformats.org/officeDocument/2006/relationships/chart" Target="/xl/drawings/charts/chart1.xml" Id="R5edb7c686cf445fb" /></Relationships>
</file>

<file path=xl/drawings/_rels/drawing2.xml.rels>&#65279;<?xml version="1.0" encoding="utf-8"?><Relationships xmlns="http://schemas.openxmlformats.org/package/2006/relationships"><Relationship Type="http://schemas.openxmlformats.org/officeDocument/2006/relationships/chart" Target="/xl/drawings/charts/chart2.xml" Id="Rbe27b9aabf4d4770" /><Relationship Type="http://schemas.openxmlformats.org/officeDocument/2006/relationships/chart" Target="/xl/drawings/charts/chart3.xml" Id="Ra388448584444d60" /><Relationship Type="http://schemas.openxmlformats.org/officeDocument/2006/relationships/chart" Target="/xl/drawings/charts/chart4.xml" Id="Rb8db4d0db0c5423a" /></Relationships>
</file>

<file path=xl/drawings/_rels/drawing3.xml.rels>&#65279;<?xml version="1.0" encoding="utf-8"?><Relationships xmlns="http://schemas.openxmlformats.org/package/2006/relationships"><Relationship Type="http://schemas.openxmlformats.org/officeDocument/2006/relationships/chart" Target="/xl/drawings/charts/chart5.xml" Id="R9764e2b6f9a54849" /><Relationship Type="http://schemas.openxmlformats.org/officeDocument/2006/relationships/chart" Target="/xl/drawings/charts/chart6.xml" Id="R3758f564e4a04c18" /></Relationships>
</file>

<file path=xl/drawings/_rels/drawing4.xml.rels>&#65279;<?xml version="1.0" encoding="utf-8"?><Relationships xmlns="http://schemas.openxmlformats.org/package/2006/relationships"><Relationship Type="http://schemas.openxmlformats.org/officeDocument/2006/relationships/chart" Target="/xl/drawings/charts/chart7.xml" Id="Rf6b0ead606cd4280" /></Relationships>
</file>

<file path=xl/drawings/_rels/drawing5.xml.rels>&#65279;<?xml version="1.0" encoding="utf-8"?><Relationships xmlns="http://schemas.openxmlformats.org/package/2006/relationships"><Relationship Type="http://schemas.openxmlformats.org/officeDocument/2006/relationships/chart" Target="/xl/drawings/charts/chart8.xml" Id="Rabc253db5dc648b5" /></Relationships>
</file>

<file path=xl/drawings/_rels/drawing6.xml.rels>&#65279;<?xml version="1.0" encoding="utf-8"?><Relationships xmlns="http://schemas.openxmlformats.org/package/2006/relationships"><Relationship Type="http://schemas.openxmlformats.org/officeDocument/2006/relationships/chart" Target="/xl/drawings/charts/chart9.xml" Id="R6211b2d501784807" /><Relationship Type="http://schemas.openxmlformats.org/officeDocument/2006/relationships/chart" Target="/xl/drawings/charts/chart10.xml" Id="Ra685cf3e9d7b45ab" /></Relationships>
</file>

<file path=xl/drawings/charts/chart1.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Total liabilities (USD billions)</a:t>
            </a:r>
          </a:p>
        </c:rich>
      </c:tx>
      <c:overlay val="0"/>
      <c:txPr>
        <a:bodyPr anchorCtr="1"/>
        <a:lstStyle/>
        <a:p>
          <a:pPr>
            <a:defRPr sz="900">
              <a:latin typeface="Arial"/>
              <a:ea typeface="Arial"/>
              <a:cs typeface="Arial"/>
            </a:defRPr>
          </a:pPr>
        </a:p>
      </c:txPr>
    </c:title>
    <c:plotArea>
      <c:barChart>
        <c:barDir val="col"/>
        <c:grouping val="stacked"/>
        <c:varyColors val="0"/>
        <c:ser>
          <c:idx val="0"/>
          <c:order val="0"/>
          <c:tx>
            <c:v>Current liabilities</c:v>
          </c:tx>
          <c:spPr>
            <a:solidFill>
              <a:srgbClr val="D95926"/>
            </a:solidFill>
          </c:spPr>
          <c:invertIfNegative val="0"/>
          <c:cat>
            <c:strRef>
              <c:f>'Borrowing and leases'!$G$45</c:f>
              <c:strCache>
                <c:ptCount val="1"/>
                <c:pt idx="0">
                  <c:v>2026-08-31</c:v>
                </c:pt>
              </c:strCache>
            </c:strRef>
          </c:cat>
          <c:val>
            <c:numRef>
              <c:f>'Borrowing and leases'!$H$45</c:f>
              <c:numCache>
                <c:formatCode>General</c:formatCode>
                <c:ptCount val="1"/>
                <c:pt idx="0">
                  <c:v>47514000000</c:v>
                </c:pt>
              </c:numCache>
            </c:numRef>
          </c:val>
        </c:ser>
        <c:ser>
          <c:idx val="1"/>
          <c:order val="1"/>
          <c:tx>
            <c:v>Noncurrent liabilities</c:v>
          </c:tx>
          <c:spPr>
            <a:solidFill>
              <a:srgbClr val="3987E5"/>
            </a:solidFill>
          </c:spPr>
          <c:invertIfNegative val="0"/>
          <c:cat>
            <c:strRef>
              <c:f>'Borrowing and leases'!$G$45</c:f>
              <c:strCache>
                <c:ptCount val="1"/>
                <c:pt idx="0">
                  <c:v>2026-08-31</c:v>
                </c:pt>
              </c:strCache>
            </c:strRef>
          </c:cat>
          <c:val>
            <c:numRef>
              <c:f>'Borrowing and leases'!$I$45</c:f>
              <c:numCache>
                <c:formatCode>General</c:formatCode>
                <c:ptCount val="1"/>
                <c:pt idx="0">
                  <c:v>188549000000</c:v>
                </c:pt>
              </c:numCache>
            </c:numRef>
          </c:val>
        </c:ser>
        <c:overlap val="10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crossAx val="48650112"/>
        <c:crossBetween val="between"/>
      </c:valAx>
    </c:plotArea>
    <c:legend>
      <c:legendPos val="b"/>
      <c:overlay val="0"/>
    </c:legend>
    <c:plotVisOnly val="1"/>
    <c:dispBlanksAs val="gap"/>
  </c:chart>
  <c:spPr>
    <a:ln w="9525">
      <a:solidFill>
        <a:srgbClr val="D9D9D9"/>
      </a:solidFill>
      <a:prstDash val="solid"/>
    </a:ln>
  </c:spPr>
</c:chartSpace>
</file>

<file path=xl/drawings/charts/chart2.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Fiscal-year-end cash and baseline borrowing (USD millions)</a:t>
            </a:r>
          </a:p>
        </c:rich>
      </c:tx>
      <c:overlay val="0"/>
      <c:txPr>
        <a:bodyPr anchorCtr="1"/>
        <a:lstStyle/>
        <a:p>
          <a:pPr>
            <a:defRPr sz="900">
              <a:latin typeface="Arial"/>
              <a:ea typeface="Arial"/>
              <a:cs typeface="Arial"/>
            </a:defRPr>
          </a:pPr>
        </a:p>
      </c:txPr>
    </c:title>
    <c:plotArea>
      <c:barChart>
        <c:barDir val="col"/>
        <c:grouping val="clustered"/>
        <c:varyColors val="0"/>
        <c:ser>
          <c:idx val="0"/>
          <c:order val="0"/>
          <c:tx>
            <c:v>Cash and equivalents</c:v>
          </c:tx>
          <c:spPr>
            <a:solidFill>
              <a:srgbClr val="3987E5"/>
            </a:solidFill>
          </c:spPr>
          <c:invertIfNegative val="0"/>
          <c:cat>
            <c:strRef>
              <c:f>'Annual history'!$A$65:$A$69</c:f>
              <c:strCache>
                <c:ptCount val="5"/>
                <c:pt idx="0">
                  <c:v>FY2022</c:v>
                </c:pt>
                <c:pt idx="1">
                  <c:v>FY2023</c:v>
                </c:pt>
                <c:pt idx="2">
                  <c:v>FY2024</c:v>
                </c:pt>
                <c:pt idx="3">
                  <c:v>FY2025</c:v>
                </c:pt>
                <c:pt idx="4">
                  <c:v>FY2026</c:v>
                </c:pt>
              </c:strCache>
            </c:strRef>
          </c:cat>
          <c:val>
            <c:numRef>
              <c:f>'Annual history'!$B$65:$B$69</c:f>
              <c:numCache>
                <c:formatCode>General</c:formatCode>
                <c:ptCount val="5"/>
                <c:pt idx="0">
                  <c:v>21383000000</c:v>
                </c:pt>
                <c:pt idx="1">
                  <c:v>9765000000</c:v>
                </c:pt>
                <c:pt idx="2">
                  <c:v>10454000000</c:v>
                </c:pt>
                <c:pt idx="3">
                  <c:v>10786000000</c:v>
                </c:pt>
                <c:pt idx="4">
                  <c:v>31289000000</c:v>
                </c:pt>
              </c:numCache>
            </c:numRef>
          </c:val>
        </c:ser>
        <c:ser>
          <c:idx val="1"/>
          <c:order val="1"/>
          <c:tx>
            <c:v>Baseline borrowing</c:v>
          </c:tx>
          <c:spPr>
            <a:solidFill>
              <a:srgbClr val="D95926"/>
            </a:solidFill>
          </c:spPr>
          <c:invertIfNegative val="0"/>
          <c:cat>
            <c:strRef>
              <c:f>'Annual history'!$A$65:$A$69</c:f>
              <c:strCache>
                <c:ptCount val="5"/>
                <c:pt idx="0">
                  <c:v>FY2022</c:v>
                </c:pt>
                <c:pt idx="1">
                  <c:v>FY2023</c:v>
                </c:pt>
                <c:pt idx="2">
                  <c:v>FY2024</c:v>
                </c:pt>
                <c:pt idx="3">
                  <c:v>FY2025</c:v>
                </c:pt>
                <c:pt idx="4">
                  <c:v>FY2026</c:v>
                </c:pt>
              </c:strCache>
            </c:strRef>
          </c:cat>
          <c:val>
            <c:numRef>
              <c:f>'Annual history'!$C$65:$C$69</c:f>
              <c:numCache>
                <c:formatCode>General</c:formatCode>
                <c:ptCount val="5"/>
                <c:pt idx="0">
                  <c:v>75859000000</c:v>
                </c:pt>
                <c:pt idx="1">
                  <c:v>90481000000</c:v>
                </c:pt>
                <c:pt idx="2">
                  <c:v>86869000000</c:v>
                </c:pt>
                <c:pt idx="3">
                  <c:v>92568000000</c:v>
                </c:pt>
                <c:pt idx="4">
                  <c:v>129541000000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3.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Annual OCF, capital spending and FCF (USD millions)</a:t>
            </a:r>
          </a:p>
        </c:rich>
      </c:tx>
      <c:overlay val="0"/>
      <c:txPr>
        <a:bodyPr anchorCtr="1"/>
        <a:lstStyle/>
        <a:p>
          <a:pPr>
            <a:defRPr sz="900">
              <a:latin typeface="Arial"/>
              <a:ea typeface="Arial"/>
              <a:cs typeface="Arial"/>
            </a:defRPr>
          </a:pPr>
        </a:p>
      </c:txPr>
    </c:title>
    <c:plotArea>
      <c:barChart>
        <c:barDir val="col"/>
        <c:grouping val="clustered"/>
        <c:varyColors val="0"/>
        <c:ser>
          <c:idx val="0"/>
          <c:order val="0"/>
          <c:tx>
            <c:v>Operating cash flow</c:v>
          </c:tx>
          <c:spPr>
            <a:solidFill>
              <a:srgbClr val="3987E5"/>
            </a:solidFill>
          </c:spPr>
          <c:invertIfNegative val="0"/>
          <c:cat>
            <c:strRef>
              <c:f>'Annual history'!$A$74:$A$78</c:f>
              <c:strCache>
                <c:ptCount val="5"/>
                <c:pt idx="0">
                  <c:v>FY2022</c:v>
                </c:pt>
                <c:pt idx="1">
                  <c:v>FY2023</c:v>
                </c:pt>
                <c:pt idx="2">
                  <c:v>FY2024</c:v>
                </c:pt>
                <c:pt idx="3">
                  <c:v>FY2025</c:v>
                </c:pt>
                <c:pt idx="4">
                  <c:v>FY2026</c:v>
                </c:pt>
              </c:strCache>
            </c:strRef>
          </c:cat>
          <c:val>
            <c:numRef>
              <c:f>'Annual history'!$B$74:$B$78</c:f>
              <c:numCache>
                <c:formatCode>General</c:formatCode>
                <c:ptCount val="5"/>
                <c:pt idx="0">
                  <c:v>9539000000</c:v>
                </c:pt>
                <c:pt idx="1">
                  <c:v>17165000000</c:v>
                </c:pt>
                <c:pt idx="2">
                  <c:v>18673000000</c:v>
                </c:pt>
                <c:pt idx="3">
                  <c:v>20821000000</c:v>
                </c:pt>
                <c:pt idx="4">
                  <c:v>31977000000</c:v>
                </c:pt>
              </c:numCache>
            </c:numRef>
          </c:val>
        </c:ser>
        <c:ser>
          <c:idx val="1"/>
          <c:order val="1"/>
          <c:tx>
            <c:v>Capital spending (use of cash)</c:v>
          </c:tx>
          <c:spPr>
            <a:solidFill>
              <a:srgbClr val="9598A1"/>
            </a:solidFill>
          </c:spPr>
          <c:invertIfNegative val="0"/>
          <c:cat>
            <c:strRef>
              <c:f>'Annual history'!$A$74:$A$78</c:f>
              <c:strCache>
                <c:ptCount val="5"/>
                <c:pt idx="0">
                  <c:v>FY2022</c:v>
                </c:pt>
                <c:pt idx="1">
                  <c:v>FY2023</c:v>
                </c:pt>
                <c:pt idx="2">
                  <c:v>FY2024</c:v>
                </c:pt>
                <c:pt idx="3">
                  <c:v>FY2025</c:v>
                </c:pt>
                <c:pt idx="4">
                  <c:v>FY2026</c:v>
                </c:pt>
              </c:strCache>
            </c:strRef>
          </c:cat>
          <c:val>
            <c:numRef>
              <c:f>'Annual history'!$C$74:$C$78</c:f>
              <c:numCache>
                <c:formatCode>General</c:formatCode>
                <c:ptCount val="5"/>
                <c:pt idx="0">
                  <c:v>-4511000000</c:v>
                </c:pt>
                <c:pt idx="1">
                  <c:v>-8695000000</c:v>
                </c:pt>
                <c:pt idx="2">
                  <c:v>-6866000000</c:v>
                </c:pt>
                <c:pt idx="3">
                  <c:v>-21215000000</c:v>
                </c:pt>
                <c:pt idx="4">
                  <c:v>-55663000000</c:v>
                </c:pt>
              </c:numCache>
            </c:numRef>
          </c:val>
        </c:ser>
        <c:ser>
          <c:idx val="2"/>
          <c:order val="2"/>
          <c:tx>
            <c:v>Free cash flow</c:v>
          </c:tx>
          <c:spPr>
            <a:solidFill>
              <a:srgbClr val="D4A72C"/>
            </a:solidFill>
          </c:spPr>
          <c:invertIfNegative val="0"/>
          <c:cat>
            <c:strRef>
              <c:f>'Annual history'!$A$74:$A$78</c:f>
              <c:strCache>
                <c:ptCount val="5"/>
                <c:pt idx="0">
                  <c:v>FY2022</c:v>
                </c:pt>
                <c:pt idx="1">
                  <c:v>FY2023</c:v>
                </c:pt>
                <c:pt idx="2">
                  <c:v>FY2024</c:v>
                </c:pt>
                <c:pt idx="3">
                  <c:v>FY2025</c:v>
                </c:pt>
                <c:pt idx="4">
                  <c:v>FY2026</c:v>
                </c:pt>
              </c:strCache>
            </c:strRef>
          </c:cat>
          <c:val>
            <c:numRef>
              <c:f>'Annual history'!$D$74:$D$78</c:f>
              <c:numCache>
                <c:formatCode>General</c:formatCode>
                <c:ptCount val="5"/>
                <c:pt idx="0">
                  <c:v>5028000000</c:v>
                </c:pt>
                <c:pt idx="1">
                  <c:v>8470000000</c:v>
                </c:pt>
                <c:pt idx="2">
                  <c:v>11807000000</c:v>
                </c:pt>
                <c:pt idx="3">
                  <c:v>-394000000</c:v>
                </c:pt>
                <c:pt idx="4">
                  <c:v>-23686000000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4.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Annual OCF / year-end borrowing (%)</a:t>
            </a:r>
          </a:p>
        </c:rich>
      </c:tx>
      <c:overlay val="0"/>
      <c:txPr>
        <a:bodyPr anchorCtr="1"/>
        <a:lstStyle/>
        <a:p>
          <a:pPr>
            <a:defRPr sz="900">
              <a:latin typeface="Arial"/>
              <a:ea typeface="Arial"/>
              <a:cs typeface="Arial"/>
            </a:defRPr>
          </a:pPr>
        </a:p>
      </c:txPr>
    </c:title>
    <c:plotArea>
      <c:lineChart>
        <c:grouping val="standard"/>
        <c:varyColors val="0"/>
        <c:ser>
          <c:idx val="0"/>
          <c:order val="0"/>
          <c:tx>
            <c:v>Historical OCF / year-end borrowing</c:v>
          </c:tx>
          <c:spPr>
            <a:solidFill>
              <a:srgbClr val="3987E5"/>
            </a:solidFill>
          </c:spPr>
          <c:marker>
            <c:symbol val="none"/>
          </c:marker>
          <c:cat>
            <c:strRef>
              <c:f>'Annual history'!$A$91:$A$95</c:f>
              <c:strCache>
                <c:ptCount val="5"/>
                <c:pt idx="0">
                  <c:v>FY2022</c:v>
                </c:pt>
                <c:pt idx="1">
                  <c:v>FY2023</c:v>
                </c:pt>
                <c:pt idx="2">
                  <c:v>FY2024</c:v>
                </c:pt>
                <c:pt idx="3">
                  <c:v>FY2025</c:v>
                </c:pt>
                <c:pt idx="4">
                  <c:v>FY2026</c:v>
                </c:pt>
              </c:strCache>
            </c:strRef>
          </c:cat>
          <c:val>
            <c:numRef>
              <c:f>'Annual history'!$B$91:$B$95</c:f>
              <c:numCache>
                <c:formatCode>General</c:formatCode>
                <c:ptCount val="5"/>
                <c:pt idx="0">
                  <c:v>0.1257464506518673</c:v>
                </c:pt>
                <c:pt idx="1">
                  <c:v>0.18970833655684619</c:v>
                </c:pt>
                <c:pt idx="2">
                  <c:v>0.21495585306611104</c:v>
                </c:pt>
                <c:pt idx="3">
                  <c:v>0.22492654048915392</c:v>
                </c:pt>
                <c:pt idx="4">
                  <c:v>0.24684848812345125</c:v>
                </c:pt>
              </c:numCache>
            </c:numRef>
          </c:val>
          <c:smooth val="0"/>
        </c:ser>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crossAx val="48650112"/>
        <c:crossBetween val="between"/>
      </c:valAx>
    </c:plotArea>
    <c:plotVisOnly val="1"/>
    <c:dispBlanksAs val="gap"/>
  </c:chart>
  <c:spPr>
    <a:ln w="9525">
      <a:solidFill>
        <a:srgbClr val="D9D9D9"/>
      </a:solidFill>
      <a:prstDash val="solid"/>
    </a:ln>
  </c:spPr>
</c:chartSpace>
</file>

<file path=xl/drawings/charts/chart5.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What remained after capital spending?</a:t>
            </a:r>
          </a:p>
        </c:rich>
      </c:tx>
      <c:overlay val="0"/>
      <c:txPr>
        <a:bodyPr anchorCtr="1"/>
        <a:lstStyle/>
        <a:p>
          <a:pPr>
            <a:defRPr sz="900">
              <a:latin typeface="Arial"/>
              <a:ea typeface="Arial"/>
              <a:cs typeface="Arial"/>
            </a:defRPr>
          </a:pPr>
        </a:p>
      </c:txPr>
    </c:title>
    <c:plotArea>
      <c:barChart>
        <c:barDir val="col"/>
        <c:varyColors val="0"/>
        <c:ser>
          <c:idx val="0"/>
          <c:order val="0"/>
          <c:tx>
            <c:v>USD millions</c:v>
          </c:tx>
          <c:spPr>
            <a:solidFill>
              <a:srgbClr val="9598A1"/>
            </a:solidFill>
          </c:spPr>
          <c:invertIfNegative val="0"/>
          <c:cat>
            <c:strRef>
              <c:f>'Core charts'!$A$6:$A$8</c:f>
              <c:strCache>
                <c:ptCount val="3"/>
                <c:pt idx="0">
                  <c:v>Operating cash flow</c:v>
                </c:pt>
                <c:pt idx="1">
                  <c:v>Capital spending</c:v>
                </c:pt>
                <c:pt idx="2">
                  <c:v>Free cash flow</c:v>
                </c:pt>
              </c:strCache>
            </c:strRef>
          </c:cat>
          <c:val>
            <c:numRef>
              <c:f>'Core charts'!$B$6:$B$8</c:f>
              <c:numCache>
                <c:formatCode>General</c:formatCode>
                <c:ptCount val="3"/>
                <c:pt idx="0">
                  <c:v>46940000000</c:v>
                </c:pt>
                <c:pt idx="1">
                  <c:v>-75660000000</c:v>
                </c:pt>
                <c:pt idx="2">
                  <c:v>-28720000000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6.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How did borrowing and cash change?</a:t>
            </a:r>
          </a:p>
        </c:rich>
      </c:tx>
      <c:overlay val="0"/>
      <c:txPr>
        <a:bodyPr anchorCtr="1"/>
        <a:lstStyle/>
        <a:p>
          <a:pPr>
            <a:defRPr sz="900">
              <a:latin typeface="Arial"/>
              <a:ea typeface="Arial"/>
              <a:cs typeface="Arial"/>
            </a:defRPr>
          </a:pPr>
        </a:p>
      </c:txPr>
    </c:title>
    <c:plotArea>
      <c:barChart>
        <c:barDir val="col"/>
        <c:varyColors val="0"/>
        <c:ser>
          <c:idx val="0"/>
          <c:order val="0"/>
          <c:tx>
            <c:v>Cash and equivalents</c:v>
          </c:tx>
          <c:spPr>
            <a:solidFill>
              <a:srgbClr val="3987E5"/>
            </a:solidFill>
          </c:spPr>
          <c:invertIfNegative val="0"/>
          <c:cat>
            <c:strRef>
              <c:f>'Core charts'!$A$25:$A$26</c:f>
              <c:strCache>
                <c:ptCount val="2"/>
                <c:pt idx="0">
                  <c:v>2026-05-31</c:v>
                </c:pt>
                <c:pt idx="1">
                  <c:v>2026-08-31</c:v>
                </c:pt>
              </c:strCache>
            </c:strRef>
          </c:cat>
          <c:val>
            <c:numRef>
              <c:f>'Core charts'!$B$25:$B$26</c:f>
              <c:numCache>
                <c:formatCode>General</c:formatCode>
                <c:ptCount val="2"/>
                <c:pt idx="0">
                  <c:v>31289000000</c:v>
                </c:pt>
                <c:pt idx="1">
                  <c:v>36369000000</c:v>
                </c:pt>
              </c:numCache>
            </c:numRef>
          </c:val>
        </c:ser>
        <c:ser>
          <c:idx val="1"/>
          <c:order val="1"/>
          <c:tx>
            <c:v>Baseline borrowing</c:v>
          </c:tx>
          <c:spPr>
            <a:solidFill>
              <a:srgbClr val="D95926"/>
            </a:solidFill>
          </c:spPr>
          <c:invertIfNegative val="0"/>
          <c:cat>
            <c:strRef>
              <c:f>'Core charts'!$A$25:$A$26</c:f>
              <c:strCache>
                <c:ptCount val="2"/>
                <c:pt idx="0">
                  <c:v>2026-05-31</c:v>
                </c:pt>
                <c:pt idx="1">
                  <c:v>2026-08-31</c:v>
                </c:pt>
              </c:strCache>
            </c:strRef>
          </c:cat>
          <c:val>
            <c:numRef>
              <c:f>'Core charts'!$C$25:$C$26</c:f>
              <c:numCache>
                <c:formatCode>General</c:formatCode>
                <c:ptCount val="2"/>
                <c:pt idx="0">
                  <c:v>129541000000</c:v>
                </c:pt>
                <c:pt idx="1">
                  <c:v>125337000000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txPr>
          <a:bodyPr anchorCtr="1"/>
          <a:lstStyle/>
          <a:p>
            <a:pPr>
              <a:defRPr sz="750">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0,,)" sourceLinked="0"/>
        <c:majorTickMark val="none"/>
        <c:minorTickMark val="none"/>
        <c:txPr>
          <a:bodyPr anchorCtr="1"/>
          <a:lstStyle/>
          <a:p>
            <a:pPr>
              <a:defRPr sz="750">
                <a:latin typeface="Arial"/>
                <a:ea typeface="Arial"/>
                <a:cs typeface="Arial"/>
              </a:defRPr>
            </a:pPr>
          </a:p>
        </c:txPr>
        <c:crossAx val="48650112"/>
        <c:crossBetween val="between"/>
      </c:valAx>
    </c:plotArea>
    <c:legend>
      <c:legendPos val="b"/>
      <c:overlay val="0"/>
      <c:txPr>
        <a:bodyPr anchorCtr="1"/>
        <a:lstStyle/>
        <a:p>
          <a:pPr>
            <a:defRPr>
              <a:latin typeface="Arial"/>
              <a:ea typeface="Arial"/>
              <a:cs typeface="Arial"/>
            </a:defRPr>
          </a:pPr>
        </a:p>
      </c:txPr>
    </c:legend>
    <c:plotVisOnly val="1"/>
    <c:dispBlanksAs val="gap"/>
  </c:chart>
  <c:spPr>
    <a:ln w="9525">
      <a:solidFill>
        <a:srgbClr val="D9D9D9"/>
      </a:solidFill>
      <a:prstDash val="solid"/>
    </a:ln>
  </c:spPr>
</c:chartSpace>
</file>

<file path=xl/drawings/charts/chart7.xml><?xml version="1.0" encoding="utf-8"?>
<c:chartSpace xmlns:a="http://schemas.openxmlformats.org/drawingml/2006/main" xmlns:c="http://schemas.openxmlformats.org/drawingml/2006/chart">
  <c:lang val="en-US"/>
  <c:roundedCorners val="0"/>
  <c:chart>
    <c:title>
      <c:tx>
        <c:rich>
          <a:bodyPr/>
          <a:lstStyle/>
          <a:p>
            <a:r>
              <a:rPr sz="975">
                <a:latin typeface="Arial"/>
                <a:ea typeface="Arial"/>
                <a:cs typeface="Arial"/>
              </a:rPr>
              <a:t>Cash capex exceeded operating cash flow</a:t>
            </a:r>
          </a:p>
        </c:rich>
      </c:tx>
      <c:overlay val="0"/>
      <c:txPr>
        <a:bodyPr anchorCtr="1"/>
        <a:lstStyle/>
        <a:p>
          <a:pPr>
            <a:defRPr sz="975">
              <a:latin typeface="Arial"/>
              <a:ea typeface="Arial"/>
              <a:cs typeface="Arial"/>
            </a:defRPr>
          </a:pPr>
        </a:p>
      </c:txPr>
    </c:title>
    <c:plotArea>
      <c:barChart>
        <c:barDir val="col"/>
        <c:varyColors val="0"/>
        <c:ser>
          <c:idx val="0"/>
          <c:order val="0"/>
          <c:tx>
            <c:v>USD</c:v>
          </c:tx>
          <c:spPr>
            <a:solidFill>
              <a:srgbClr val="737985"/>
            </a:solidFill>
          </c:spPr>
          <c:invertIfNegative val="0"/>
          <c:cat>
            <c:strRef>
              <c:f>'Cash analysis'!$H$36:$H$38</c:f>
              <c:strCache>
                <c:ptCount val="3"/>
                <c:pt idx="0">
                  <c:v>Reported
OCF</c:v>
                </c:pt>
                <c:pt idx="1">
                  <c:v>OCF excluding specified
prepayments</c:v>
                </c:pt>
                <c:pt idx="2">
                  <c:v>Cash
capex</c:v>
                </c:pt>
              </c:strCache>
            </c:strRef>
          </c:cat>
          <c:val>
            <c:numRef>
              <c:f>'Cash analysis'!$I$36:$I$38</c:f>
              <c:numCache>
                <c:formatCode>General</c:formatCode>
                <c:ptCount val="3"/>
                <c:pt idx="0">
                  <c:v>23103000000</c:v>
                </c:pt>
                <c:pt idx="1">
                  <c:v>11740000000</c:v>
                </c:pt>
                <c:pt idx="2">
                  <c:v>28499000000</c:v>
                </c:pt>
              </c:numCache>
            </c:numRef>
          </c:val>
        </c:ser>
        <c:axId val="48650112"/>
        <c:axId val="48672768"/>
      </c:barChart>
      <c:catAx>
        <c:axId val="48650112"/>
        <c:scaling>
          <c:orientation val="minMax"/>
        </c:scaling>
        <c:delete val="0"/>
        <c:axPos val="b"/>
        <c:numFmt formatCode="General"/>
        <c:majorTickMark val="none"/>
        <c:minorTickMark val="none"/>
        <c:tickLblPos val="low"/>
        <c:txPr>
          <a:bodyPr anchorCtr="1"/>
          <a:lstStyle/>
          <a:p>
            <a:pPr>
              <a:defRPr sz="825">
                <a:latin typeface="Arial"/>
                <a:ea typeface="Arial"/>
                <a:cs typeface="Arial"/>
              </a:defRPr>
            </a:pPr>
          </a:p>
        </c:txPr>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millions</a:t>
                </a:r>
              </a:p>
            </c:rich>
          </c:tx>
          <c:overlay val="0"/>
        </c:title>
        <c:numFmt formatCode="#,##0,," sourceLinked="0"/>
        <c:majorTickMark val="none"/>
        <c:minorTickMark val="none"/>
        <c:txPr>
          <a:bodyPr anchorCtr="1"/>
          <a:lstStyle/>
          <a:p>
            <a:pPr>
              <a:defRPr sz="825">
                <a:latin typeface="Arial"/>
                <a:ea typeface="Arial"/>
                <a:cs typeface="Arial"/>
              </a:defRPr>
            </a:pPr>
          </a:p>
        </c:txPr>
        <c:crossAx val="48650112"/>
        <c:crossBetween val="between"/>
      </c:valAx>
    </c:plotArea>
    <c:plotVisOnly val="1"/>
    <c:dispBlanksAs val="gap"/>
  </c:chart>
  <c:spPr>
    <a:ln w="9525">
      <a:solidFill>
        <a:srgbClr val="D9D9D9"/>
      </a:solidFill>
      <a:prstDash val="solid"/>
    </a:ln>
  </c:spPr>
</c:chartSpace>
</file>

<file path=xl/drawings/charts/chart8.xml><?xml version="1.0" encoding="utf-8"?>
<c:chartSpace xmlns:a="http://schemas.openxmlformats.org/drawingml/2006/main" xmlns:c="http://schemas.openxmlformats.org/drawingml/2006/chart">
  <c:lang val="en-US"/>
  <c:roundedCorners val="0"/>
  <c:chart>
    <c:title>
      <c:tx>
        <c:rich>
          <a:bodyPr/>
          <a:lstStyle/>
          <a:p>
            <a:r>
              <a:rPr sz="900">
                <a:latin typeface="Arial"/>
                <a:ea typeface="Arial"/>
                <a:cs typeface="Arial"/>
              </a:rPr>
              <a:t>Principal by fiscal year (USD billions)</a:t>
            </a:r>
          </a:p>
        </c:rich>
      </c:tx>
      <c:overlay val="0"/>
      <c:txPr>
        <a:bodyPr anchorCtr="1"/>
        <a:lstStyle/>
        <a:p>
          <a:pPr>
            <a:defRPr sz="900">
              <a:latin typeface="Arial"/>
              <a:ea typeface="Arial"/>
              <a:cs typeface="Arial"/>
            </a:defRPr>
          </a:pPr>
        </a:p>
      </c:txPr>
    </c:title>
    <c:plotArea>
      <c:barChart>
        <c:barDir val="col"/>
        <c:grouping val="clustered"/>
        <c:varyColors val="0"/>
        <c:ser>
          <c:idx val="0"/>
          <c:order val="0"/>
          <c:tx>
            <c:v>Principal due (USD millions)</c:v>
          </c:tx>
          <c:spPr>
            <a:solidFill>
              <a:srgbClr val="D95926"/>
            </a:solidFill>
          </c:spPr>
          <c:invertIfNegative val="0"/>
          <c:cat>
            <c:strRef>
              <c:f>'Payment dates'!$H$62:$H$101</c:f>
              <c:strCache>
                <c:ptCount val="40"/>
                <c:pt idx="0">
                  <c:v>Rem. FY2027</c:v>
                </c:pt>
                <c:pt idx="1">
                  <c:v>FY2028</c:v>
                </c:pt>
                <c:pt idx="2">
                  <c:v>FY2029</c:v>
                </c:pt>
                <c:pt idx="3">
                  <c:v>FY2030</c:v>
                </c:pt>
                <c:pt idx="4">
                  <c:v>FY2031</c:v>
                </c:pt>
                <c:pt idx="5">
                  <c:v>FY2032</c:v>
                </c:pt>
                <c:pt idx="6">
                  <c:v>FY2033</c:v>
                </c:pt>
                <c:pt idx="7">
                  <c:v>FY2034</c:v>
                </c:pt>
                <c:pt idx="8">
                  <c:v>FY2035</c:v>
                </c:pt>
                <c:pt idx="9">
                  <c:v>FY2036</c:v>
                </c:pt>
                <c:pt idx="10">
                  <c:v>FY2037</c:v>
                </c:pt>
                <c:pt idx="11">
                  <c:v>FY2038</c:v>
                </c:pt>
                <c:pt idx="12">
                  <c:v>FY2039</c:v>
                </c:pt>
                <c:pt idx="13">
                  <c:v>FY2040</c:v>
                </c:pt>
                <c:pt idx="14">
                  <c:v>FY2041</c:v>
                </c:pt>
                <c:pt idx="15">
                  <c:v>FY2042</c:v>
                </c:pt>
                <c:pt idx="16">
                  <c:v>FY2043</c:v>
                </c:pt>
                <c:pt idx="17">
                  <c:v>FY2044</c:v>
                </c:pt>
                <c:pt idx="18">
                  <c:v>FY2045</c:v>
                </c:pt>
                <c:pt idx="19">
                  <c:v>FY2046</c:v>
                </c:pt>
                <c:pt idx="20">
                  <c:v>FY2047</c:v>
                </c:pt>
                <c:pt idx="21">
                  <c:v>FY2048</c:v>
                </c:pt>
                <c:pt idx="22">
                  <c:v>FY2049</c:v>
                </c:pt>
                <c:pt idx="23">
                  <c:v>FY2050</c:v>
                </c:pt>
                <c:pt idx="24">
                  <c:v>FY2051</c:v>
                </c:pt>
                <c:pt idx="25">
                  <c:v>FY2052</c:v>
                </c:pt>
                <c:pt idx="26">
                  <c:v>FY2053</c:v>
                </c:pt>
                <c:pt idx="27">
                  <c:v>FY2054</c:v>
                </c:pt>
                <c:pt idx="28">
                  <c:v>FY2055</c:v>
                </c:pt>
                <c:pt idx="29">
                  <c:v>FY2056</c:v>
                </c:pt>
                <c:pt idx="30">
                  <c:v>FY2057</c:v>
                </c:pt>
                <c:pt idx="31">
                  <c:v>FY2058</c:v>
                </c:pt>
                <c:pt idx="32">
                  <c:v>FY2059</c:v>
                </c:pt>
                <c:pt idx="33">
                  <c:v>FY2060</c:v>
                </c:pt>
                <c:pt idx="34">
                  <c:v>FY2061</c:v>
                </c:pt>
                <c:pt idx="35">
                  <c:v>FY2062</c:v>
                </c:pt>
                <c:pt idx="36">
                  <c:v>FY2063</c:v>
                </c:pt>
                <c:pt idx="37">
                  <c:v>FY2064</c:v>
                </c:pt>
                <c:pt idx="38">
                  <c:v>FY2065</c:v>
                </c:pt>
                <c:pt idx="39">
                  <c:v>FY2066</c:v>
                </c:pt>
              </c:strCache>
            </c:strRef>
          </c:cat>
          <c:val>
            <c:numRef>
              <c:f>'Payment dates'!$I$62:$I$101</c:f>
              <c:numCache>
                <c:formatCode>General</c:formatCode>
                <c:ptCount val="40"/>
                <c:pt idx="0">
                  <c:v>2672250000</c:v>
                </c:pt>
                <c:pt idx="1">
                  <c:v>10144750000</c:v>
                </c:pt>
                <c:pt idx="2">
                  <c:v>5500000000</c:v>
                </c:pt>
                <c:pt idx="3">
                  <c:v>7250000000</c:v>
                </c:pt>
                <c:pt idx="4">
                  <c:v>9750000000</c:v>
                </c:pt>
                <c:pt idx="5">
                  <c:v>1250000000</c:v>
                </c:pt>
                <c:pt idx="6">
                  <c:v>9750000000</c:v>
                </c:pt>
                <c:pt idx="7">
                  <c:v>0</c:v>
                </c:pt>
                <c:pt idx="8">
                  <c:v>4750000000</c:v>
                </c:pt>
                <c:pt idx="9">
                  <c:v>10750000000</c:v>
                </c:pt>
                <c:pt idx="10">
                  <c:v>1250000000</c:v>
                </c:pt>
                <c:pt idx="11">
                  <c:v>3000000000</c:v>
                </c:pt>
                <c:pt idx="12">
                  <c:v>0</c:v>
                </c:pt>
                <c:pt idx="13">
                  <c:v>4250000000</c:v>
                </c:pt>
                <c:pt idx="14">
                  <c:v>4500000000</c:v>
                </c:pt>
                <c:pt idx="15">
                  <c:v>0</c:v>
                </c:pt>
                <c:pt idx="16">
                  <c:v>0</c:v>
                </c:pt>
                <c:pt idx="17">
                  <c:v>0</c:v>
                </c:pt>
                <c:pt idx="18">
                  <c:v>3000000000</c:v>
                </c:pt>
                <c:pt idx="19">
                  <c:v>4750000000</c:v>
                </c:pt>
                <c:pt idx="20">
                  <c:v>3000000000</c:v>
                </c:pt>
                <c:pt idx="21">
                  <c:v>2250000000</c:v>
                </c:pt>
                <c:pt idx="22">
                  <c:v>0</c:v>
                </c:pt>
                <c:pt idx="23">
                  <c:v>4500000000</c:v>
                </c:pt>
                <c:pt idx="24">
                  <c:v>3250000000</c:v>
                </c:pt>
                <c:pt idx="25">
                  <c:v>0</c:v>
                </c:pt>
                <c:pt idx="26">
                  <c:v>4750000000</c:v>
                </c:pt>
                <c:pt idx="27">
                  <c:v>0</c:v>
                </c:pt>
                <c:pt idx="28">
                  <c:v>3000000000</c:v>
                </c:pt>
                <c:pt idx="29">
                  <c:v>10250000000</c:v>
                </c:pt>
                <c:pt idx="30">
                  <c:v>0</c:v>
                </c:pt>
                <c:pt idx="31">
                  <c:v>0</c:v>
                </c:pt>
                <c:pt idx="32">
                  <c:v>0</c:v>
                </c:pt>
                <c:pt idx="33">
                  <c:v>3500000000</c:v>
                </c:pt>
                <c:pt idx="34">
                  <c:v>1500000000</c:v>
                </c:pt>
                <c:pt idx="35">
                  <c:v>0</c:v>
                </c:pt>
                <c:pt idx="36">
                  <c:v>0</c:v>
                </c:pt>
                <c:pt idx="37">
                  <c:v>0</c:v>
                </c:pt>
                <c:pt idx="38">
                  <c:v>1250000000</c:v>
                </c:pt>
                <c:pt idx="39">
                  <c:v>5750000000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billions</a:t>
                </a:r>
              </a:p>
            </c:rich>
          </c:tx>
          <c:overlay val="0"/>
        </c:title>
        <c:numFmt formatCode="0.0,,," sourceLinked="0"/>
        <c:majorTickMark val="none"/>
        <c:minorTickMark val="none"/>
        <c:crossAx val="48650112"/>
        <c:crossBetween val="between"/>
      </c:valAx>
    </c:plotArea>
    <c:plotVisOnly val="1"/>
    <c:dispBlanksAs val="gap"/>
  </c:chart>
  <c:spPr>
    <a:ln w="9525">
      <a:solidFill>
        <a:srgbClr val="D9D9D9"/>
      </a:solidFill>
      <a:prstDash val="solid"/>
    </a:ln>
  </c:spPr>
</c:chartSpace>
</file>

<file path=xl/drawings/charts/chart9.xml><?xml version="1.0" encoding="utf-8"?>
<c:chartSpace xmlns:a="http://schemas.openxmlformats.org/drawingml/2006/main" xmlns:c="http://schemas.openxmlformats.org/drawingml/2006/chart">
  <c:lang val="en-US"/>
  <c:roundedCorners val="0"/>
  <c:chart>
    <c:title>
      <c:tx>
        <c:rich>
          <a:bodyPr/>
          <a:lstStyle/>
          <a:p>
            <a:r>
              <a:rPr sz="900"/>
              <a:t>Fixed-rate principal by coupon bucket</a:t>
            </a:r>
          </a:p>
        </c:rich>
      </c:tx>
      <c:overlay val="0"/>
      <c:txPr>
        <a:bodyPr anchorCtr="1"/>
        <a:lstStyle/>
        <a:p>
          <a:pPr>
            <a:defRPr sz="900"/>
          </a:pPr>
        </a:p>
      </c:txPr>
    </c:title>
    <c:plotArea>
      <c:barChart>
        <c:barDir val="col"/>
        <c:grouping val="clustered"/>
        <c:varyColors val="0"/>
        <c:ser>
          <c:idx val="0"/>
          <c:order val="0"/>
          <c:tx>
            <c:v>Principal (USD B)</c:v>
          </c:tx>
          <c:spPr>
            <a:solidFill>
              <a:srgbClr val="3987E5"/>
            </a:solidFill>
          </c:spPr>
          <c:invertIfNegative val="0"/>
          <c:cat>
            <c:strRef>
              <c:f>'Debt detail'!$A$15:$A$25</c:f>
              <c:strCache>
                <c:ptCount val="11"/>
                <c:pt idx="0">
                  <c:v>0–&lt;1%</c:v>
                </c:pt>
                <c:pt idx="1">
                  <c:v>1–&lt;2%</c:v>
                </c:pt>
                <c:pt idx="2">
                  <c:v>2–&lt;3%</c:v>
                </c:pt>
                <c:pt idx="3">
                  <c:v>3–&lt;4%</c:v>
                </c:pt>
                <c:pt idx="4">
                  <c:v>4–&lt;5%</c:v>
                </c:pt>
                <c:pt idx="5">
                  <c:v>5–&lt;6%</c:v>
                </c:pt>
                <c:pt idx="6">
                  <c:v>6–&lt;7%</c:v>
                </c:pt>
                <c:pt idx="7">
                  <c:v>7–&lt;8%</c:v>
                </c:pt>
                <c:pt idx="8">
                  <c:v>8–&lt;9%</c:v>
                </c:pt>
                <c:pt idx="9">
                  <c:v>9–&lt;10%</c:v>
                </c:pt>
                <c:pt idx="10">
                  <c:v>10–&lt;11%</c:v>
                </c:pt>
              </c:strCache>
            </c:strRef>
          </c:cat>
          <c:val>
            <c:numRef>
              <c:f>'Debt detail'!$B$15:$B$25</c:f>
              <c:numCache>
                <c:formatCode>General</c:formatCode>
                <c:ptCount val="11"/>
                <c:pt idx="0">
                  <c:v>0</c:v>
                </c:pt>
                <c:pt idx="1">
                  <c:v>0</c:v>
                </c:pt>
                <c:pt idx="2">
                  <c:v>10750000000</c:v>
                </c:pt>
                <c:pt idx="3">
                  <c:v>24000000000</c:v>
                </c:pt>
                <c:pt idx="4">
                  <c:v>33000000000</c:v>
                </c:pt>
                <c:pt idx="5">
                  <c:v>28500000000</c:v>
                </c:pt>
                <c:pt idx="6">
                  <c:v>23250000000</c:v>
                </c:pt>
                <c:pt idx="7">
                  <c:v>0</c:v>
                </c:pt>
                <c:pt idx="8">
                  <c:v>0</c:v>
                </c:pt>
                <c:pt idx="9">
                  <c:v>0</c:v>
                </c:pt>
                <c:pt idx="10">
                  <c:v>0</c:v>
                </c:pt>
              </c:numCache>
            </c:numRef>
          </c:val>
        </c:ser>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w="9525">
              <a:solidFill>
                <a:srgbClr val="CCCCCC"/>
              </a:solidFill>
              <a:prstDash val="dash"/>
            </a:ln>
          </c:spPr>
        </c:majorGridlines>
        <c:title>
          <c:tx>
            <c:rich>
              <a:bodyPr/>
              <a:lstStyle/>
              <a:p>
                <a:r>
                  <a:t>USD billions</a:t>
                </a:r>
              </a:p>
            </c:rich>
          </c:tx>
          <c:overlay val="0"/>
        </c:title>
        <c:numFmt formatCode="0.0,,," sourceLinked="0"/>
        <c:majorTickMark val="none"/>
        <c:minorTickMark val="none"/>
        <c:crossAx val="48650112"/>
        <c:crossBetween val="between"/>
      </c:valAx>
    </c:plotArea>
    <c:plotVisOnly val="1"/>
    <c:dispBlanksAs val="gap"/>
  </c:chart>
  <c:spPr>
    <a:ln w="9525">
      <a:solidFill>
        <a:srgbClr val="D9D9D9"/>
      </a:solidFill>
      <a:prstDash val="solid"/>
    </a:ln>
  </c:spPr>
</c:chartSpace>
</file>

<file path=xl/drawings/charts/chart10.xml><?xml version="1.0" encoding="utf-8"?>
<c:chartSpace xmlns:a="http://schemas.openxmlformats.org/drawingml/2006/main" xmlns:c="http://schemas.openxmlformats.org/drawingml/2006/chart">
  <c:lang val="en-US"/>
  <c:roundedCorners val="0"/>
  <c:chart>
    <c:title>
      <c:tx>
        <c:rich>
          <a:bodyPr/>
          <a:lstStyle/>
          <a:p>
            <a:r>
              <a:rPr sz="900"/>
              <a:t>Known principal by instrument</a:t>
            </a:r>
          </a:p>
        </c:rich>
      </c:tx>
      <c:overlay val="0"/>
      <c:txPr>
        <a:bodyPr anchorCtr="1"/>
        <a:lstStyle/>
        <a:p>
          <a:pPr>
            <a:defRPr sz="900"/>
          </a:pPr>
        </a:p>
      </c:txPr>
    </c:title>
    <c:plotArea>
      <c:doughnutChart>
        <c:ser>
          <c:idx val="0"/>
          <c:order val="0"/>
          <c:tx>
            <c:v>Principal (USD B)</c:v>
          </c:tx>
          <c:cat>
            <c:strRef>
              <c:f>'Debt detail'!$A$32:$A$34</c:f>
              <c:strCache>
                <c:ptCount val="3"/>
                <c:pt idx="0">
                  <c:v>Fixed-rate notes</c:v>
                </c:pt>
                <c:pt idx="1">
                  <c:v>Floating-rate notes</c:v>
                </c:pt>
                <c:pt idx="2">
                  <c:v>Term loan</c:v>
                </c:pt>
              </c:strCache>
            </c:strRef>
          </c:cat>
          <c:val>
            <c:numRef>
              <c:f>'Debt detail'!$B$32:$B$34</c:f>
              <c:numCache>
                <c:formatCode>General</c:formatCode>
                <c:ptCount val="3"/>
                <c:pt idx="0">
                  <c:v>119500000000</c:v>
                </c:pt>
                <c:pt idx="1">
                  <c:v>1000000000</c:v>
                </c:pt>
                <c:pt idx="2">
                  <c:v>5067000000</c:v>
                </c:pt>
              </c:numCache>
            </c:numRef>
          </c:val>
        </c:ser>
      </c:doughnutChart>
    </c:plotArea>
    <c:legend>
      <c:legendPos val="b"/>
      <c:overlay val="0"/>
    </c:legend>
    <c:plotVisOnly val="1"/>
    <c:dispBlanksAs val="gap"/>
  </c:chart>
  <c:spPr>
    <a:l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16</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edb7c686cf445fb"/>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23</xdr:row>
      <xdr:rowOff>0</xdr:rowOff>
    </xdr:from>
    <xdr:to>
      <xdr:col>7</xdr:col>
      <xdr:colOff>0</xdr:colOff>
      <xdr:row>40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e27b9aabf4d4770"/>
        </a:graphicData>
      </a:graphic>
    </xdr:graphicFrame>
    <xdr:clientData/>
  </xdr:twoCellAnchor>
  <xdr:twoCellAnchor>
    <xdr:from>
      <xdr:col>0</xdr:col>
      <xdr:colOff>0</xdr:colOff>
      <xdr:row>41</xdr:row>
      <xdr:rowOff>0</xdr:rowOff>
    </xdr:from>
    <xdr:to>
      <xdr:col>7</xdr:col>
      <xdr:colOff>0</xdr:colOff>
      <xdr:row>58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388448584444d60"/>
        </a:graphicData>
      </a:graphic>
    </xdr:graphicFrame>
    <xdr:clientData/>
  </xdr:twoCellAnchor>
  <xdr:twoCellAnchor>
    <xdr:from>
      <xdr:col>0</xdr:col>
      <xdr:colOff>0</xdr:colOff>
      <xdr:row>101</xdr:row>
      <xdr:rowOff>0</xdr:rowOff>
    </xdr:from>
    <xdr:to>
      <xdr:col>7</xdr:col>
      <xdr:colOff>0</xdr:colOff>
      <xdr:row>118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db4d0db0c5423a"/>
        </a:graphicData>
      </a:graphic>
    </xdr:graphicFrame>
    <xdr:clientData/>
  </xdr:twoCellAnchor>
</xdr:wsDr>
</file>

<file path=xl/drawings/drawing3.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764e2b6f9a54849"/>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758f564e4a04c18"/>
        </a:graphicData>
      </a:graphic>
    </xdr:graphicFrame>
    <xdr:clientData/>
  </xdr:twoCellAnchor>
</xdr:wsDr>
</file>

<file path=xl/drawings/drawing4.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b0ead606cd4280"/>
        </a:graphicData>
      </a:graphic>
    </xdr:graphicFrame>
    <xdr:clientData/>
  </xdr:twoCellAnchor>
</xdr:wsDr>
</file>

<file path=xl/drawings/drawing5.xml><?xml version="1.0" encoding="utf-8"?>
<xdr:wsDr xmlns:xdr="http://schemas.openxmlformats.org/drawingml/2006/spreadsheetDrawing">
  <xdr:twoCellAnchor>
    <xdr:from>
      <xdr:col>7</xdr:col>
      <xdr:colOff>0</xdr:colOff>
      <xdr:row>34</xdr:row>
      <xdr:rowOff>0</xdr:rowOff>
    </xdr:from>
    <xdr:to>
      <xdr:col>21</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bc253db5dc648b5"/>
        </a:graphicData>
      </a:graphic>
    </xdr:graphicFrame>
    <xdr:clientData/>
  </xdr:twoCellAnchor>
</xdr:wsDr>
</file>

<file path=xl/drawings/drawing6.xml><?xml version="1.0" encoding="utf-8"?>
<xdr:wsDr xmlns:xdr="http://schemas.openxmlformats.org/drawingml/2006/spreadsheetDrawing">
  <xdr:twoCellAnchor>
    <xdr:from>
      <xdr:col>6</xdr:col>
      <xdr:colOff>0</xdr:colOff>
      <xdr:row>13</xdr:row>
      <xdr:rowOff>0</xdr:rowOff>
    </xdr:from>
    <xdr:to>
      <xdr:col>18</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211b2d501784807"/>
        </a:graphicData>
      </a:graphic>
    </xdr:graphicFrame>
    <xdr:clientData/>
  </xdr:twoCellAnchor>
  <xdr:twoCellAnchor>
    <xdr:from>
      <xdr:col>6</xdr:col>
      <xdr:colOff>0</xdr:colOff>
      <xdr:row>29</xdr:row>
      <xdr:rowOff>0</xdr:rowOff>
    </xdr:from>
    <xdr:to>
      <xdr:col>18</xdr:col>
      <xdr:colOff>0</xdr:colOff>
      <xdr:row>47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685cf3e9d7b45a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a2172dbcfd3744bf" /></Relationships>
</file>

<file path=xl/worksheets/_rels/sheet5.xml.rels>&#65279;<?xml version="1.0" encoding="utf-8"?><Relationships xmlns="http://schemas.openxmlformats.org/package/2006/relationships"><Relationship Type="http://schemas.openxmlformats.org/officeDocument/2006/relationships/drawing" Target="/xl/drawings/drawing2.xml" Id="Re5668307b6d74c70" /></Relationships>
</file>

<file path=xl/worksheets/_rels/sheet6.xml.rels>&#65279;<?xml version="1.0" encoding="utf-8"?><Relationships xmlns="http://schemas.openxmlformats.org/package/2006/relationships"><Relationship Type="http://schemas.openxmlformats.org/officeDocument/2006/relationships/drawing" Target="/xl/drawings/drawing3.xml" Id="R879521c793d74ba5" /></Relationships>
</file>

<file path=xl/worksheets/_rels/sheet8.xml.rels>&#65279;<?xml version="1.0" encoding="utf-8"?><Relationships xmlns="http://schemas.openxmlformats.org/package/2006/relationships"><Relationship Type="http://schemas.openxmlformats.org/officeDocument/2006/relationships/drawing" Target="/xl/drawings/drawing4.xml" Id="Rd00adca463144ef0" /></Relationships>
</file>

<file path=xl/worksheets/_rels/sheet9.xml.rels><?xml version="1.0" encoding="utf-8"?><Relationships xmlns="http://schemas.openxmlformats.org/package/2006/relationships"><Relationship Type="http://schemas.openxmlformats.org/officeDocument/2006/relationships/drawing" Target="/xl/drawings/drawing5.xml" Id="R10c3e758673d40f6" /><Relationship Id="rIdSource1" Type="http://schemas.openxmlformats.org/officeDocument/2006/relationships/hyperlink" Target="https://www.sec.gov/Archives/edgar/data/1341439/000119312526277521/orcl-20260531.htm" TargetMode="External"/><Relationship Id="rIdSource2" Type="http://schemas.openxmlformats.org/officeDocument/2006/relationships/hyperlink" Target="https://www.sec.gov/Archives/edgar/data/1341439/000119312526277521/orcl-20260531.htm" TargetMode="External"/></Relationships>
</file>

<file path=xl/worksheets/_rels/sheet10.xml.rels><?xml version="1.0" encoding="utf-8"?><Relationships xmlns="http://schemas.openxmlformats.org/package/2006/relationships"><Relationship Type="http://schemas.openxmlformats.org/officeDocument/2006/relationships/drawing" Target="/xl/drawings/drawing6.xml" Id="R9dfea4c0dfab4afd" /><Relationship Id="rIdSource1" Type="http://schemas.openxmlformats.org/officeDocument/2006/relationships/hyperlink" Target="https://www.sec.gov/Archives/edgar/data/1341439/000119312526277521/orcl-20260531.htm" TargetMode="External"/></Relationships>
</file>

<file path=xl/worksheets/_rels/sheet11.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389274/orcl-20260831.htm" TargetMode="External"/><Relationship Id="rIdSource5" Type="http://schemas.openxmlformats.org/officeDocument/2006/relationships/hyperlink" Target="https://www.sec.gov/Archives/edgar/data/1341439/000119312526389274/orcl-20260831.htm" TargetMode="External"/><Relationship Id="rIdSource6" Type="http://schemas.openxmlformats.org/officeDocument/2006/relationships/hyperlink" Target="https://www.sec.gov/Archives/edgar/data/1341439/000119312526389274/orcl-20260831.htm" TargetMode="External"/><Relationship Id="rIdSource7" Type="http://schemas.openxmlformats.org/officeDocument/2006/relationships/hyperlink" Target="https://www.sec.gov/Archives/edgar/data/1341439/000119312526389274/orcl-20260831.htm" TargetMode="External"/><Relationship Id="rIdSource8" Type="http://schemas.openxmlformats.org/officeDocument/2006/relationships/hyperlink" Target="https://www.sec.gov/Archives/edgar/data/1341439/000119312526389274/orcl-20260831.htm" TargetMode="External"/><Relationship Id="rIdSource9" Type="http://schemas.openxmlformats.org/officeDocument/2006/relationships/hyperlink" Target="https://www.sec.gov/Archives/edgar/data/1341439/000119312526389274/orcl-20260831.htm" TargetMode="External"/><Relationship Id="rIdSource10" Type="http://schemas.openxmlformats.org/officeDocument/2006/relationships/hyperlink" Target="https://www.sec.gov/Archives/edgar/data/1341439/000119312526389274/orcl-20260831.htm" TargetMode="External"/><Relationship Id="rIdSource11" Type="http://schemas.openxmlformats.org/officeDocument/2006/relationships/hyperlink" Target="https://www.sec.gov/Archives/edgar/data/1341439/000119312526389274/orcl-20260831.htm" TargetMode="External"/><Relationship Id="rIdSource12" Type="http://schemas.openxmlformats.org/officeDocument/2006/relationships/hyperlink" Target="https://www.sec.gov/Archives/edgar/data/1341439/000119312526389274/orcl-20260831.htm" TargetMode="External"/><Relationship Id="rIdSource13" Type="http://schemas.openxmlformats.org/officeDocument/2006/relationships/hyperlink" Target="https://www.sec.gov/Archives/edgar/data/1341439/000119312526389274/orcl-20260831.htm" TargetMode="External"/><Relationship Id="rIdSource14" Type="http://schemas.openxmlformats.org/officeDocument/2006/relationships/hyperlink" Target="https://www.sec.gov/Archives/edgar/data/1341439/000119312526389274/orcl-20260831.htm" TargetMode="External"/><Relationship Id="rIdSource15" Type="http://schemas.openxmlformats.org/officeDocument/2006/relationships/hyperlink" Target="https://www.sec.gov/Archives/edgar/data/1341439/000119312526389274/orcl-20260831.htm" TargetMode="External"/><Relationship Id="rIdSource16" Type="http://schemas.openxmlformats.org/officeDocument/2006/relationships/hyperlink" Target="https://www.sec.gov/Archives/edgar/data/1341439/000119312526389274/orcl-20260831.htm" TargetMode="External"/><Relationship Id="rIdSource17" Type="http://schemas.openxmlformats.org/officeDocument/2006/relationships/hyperlink" Target="https://www.sec.gov/Archives/edgar/data/1341439/000119312526389274/orcl-20260831.htm" TargetMode="External"/><Relationship Id="rIdSource18" Type="http://schemas.openxmlformats.org/officeDocument/2006/relationships/hyperlink" Target="https://www.sec.gov/Archives/edgar/data/1341439/000119312526389274/orcl-20260831.htm" TargetMode="External"/><Relationship Id="rIdSource19" Type="http://schemas.openxmlformats.org/officeDocument/2006/relationships/hyperlink" Target="https://www.sec.gov/Archives/edgar/data/1341439/000119312526389274/orcl-20260831.htm" TargetMode="External"/><Relationship Id="rIdSource20" Type="http://schemas.openxmlformats.org/officeDocument/2006/relationships/hyperlink" Target="https://www.sec.gov/Archives/edgar/data/1341439/000119312526389274/orcl-20260831.htm" TargetMode="External"/><Relationship Id="rIdSource21" Type="http://schemas.openxmlformats.org/officeDocument/2006/relationships/hyperlink" Target="https://www.sec.gov/Archives/edgar/data/1341439/000119312526389274/orcl-20260831.htm" TargetMode="External"/><Relationship Id="rIdSource22" Type="http://schemas.openxmlformats.org/officeDocument/2006/relationships/hyperlink" Target="https://www.sec.gov/Archives/edgar/data/1341439/000119312526389274/orcl-20260831.htm" TargetMode="External"/><Relationship Id="rIdSource23" Type="http://schemas.openxmlformats.org/officeDocument/2006/relationships/hyperlink" Target="https://www.sec.gov/Archives/edgar/data/1341439/000119312526389274/orcl-20260831.htm" TargetMode="External"/><Relationship Id="rIdSource24" Type="http://schemas.openxmlformats.org/officeDocument/2006/relationships/hyperlink" Target="https://www.sec.gov/Archives/edgar/data/1341439/000119312526389274/orcl-20260831.htm" TargetMode="External"/><Relationship Id="rIdSource25" Type="http://schemas.openxmlformats.org/officeDocument/2006/relationships/hyperlink" Target="https://www.sec.gov/Archives/edgar/data/1341439/000119312526389274/orcl-20260831.htm" TargetMode="External"/><Relationship Id="rIdSource26" Type="http://schemas.openxmlformats.org/officeDocument/2006/relationships/hyperlink" Target="https://www.sec.gov/Archives/edgar/data/1341439/000119312526389274/orcl-20260831.htm" TargetMode="External"/><Relationship Id="rIdSource27" Type="http://schemas.openxmlformats.org/officeDocument/2006/relationships/hyperlink" Target="https://www.sec.gov/Archives/edgar/data/1341439/000119312526389274/orcl-20260831.htm" TargetMode="External"/><Relationship Id="rIdSource28" Type="http://schemas.openxmlformats.org/officeDocument/2006/relationships/hyperlink" Target="https://www.sec.gov/Archives/edgar/data/1341439/000119312526389274/orcl-20260831.htm" TargetMode="External"/><Relationship Id="rIdSource29" Type="http://schemas.openxmlformats.org/officeDocument/2006/relationships/hyperlink" Target="https://www.sec.gov/Archives/edgar/data/1341439/000119312526389274/orcl-20260831.htm" TargetMode="External"/><Relationship Id="rIdSource30" Type="http://schemas.openxmlformats.org/officeDocument/2006/relationships/hyperlink" Target="https://www.sec.gov/Archives/edgar/data/1341439/000119312526389274/orcl-20260831.htm" TargetMode="External"/><Relationship Id="rIdSource31" Type="http://schemas.openxmlformats.org/officeDocument/2006/relationships/hyperlink" Target="https://www.sec.gov/Archives/edgar/data/1341439/000119312526389274/orcl-20260831.htm" TargetMode="External"/><Relationship Id="rIdSource32" Type="http://schemas.openxmlformats.org/officeDocument/2006/relationships/hyperlink" Target="https://www.sec.gov/Archives/edgar/data/1341439/000119312526389274/orcl-20260831.htm" TargetMode="External"/><Relationship Id="rIdSource33" Type="http://schemas.openxmlformats.org/officeDocument/2006/relationships/hyperlink" Target="https://www.sec.gov/Archives/edgar/data/1341439/000119312526389274/orcl-20260831.htm" TargetMode="External"/><Relationship Id="rIdSource34" Type="http://schemas.openxmlformats.org/officeDocument/2006/relationships/hyperlink" Target="https://www.sec.gov/Archives/edgar/data/1341439/000119312526389274/orcl-20260831.htm" TargetMode="External"/><Relationship Id="rIdSource35" Type="http://schemas.openxmlformats.org/officeDocument/2006/relationships/hyperlink" Target="https://www.sec.gov/Archives/edgar/data/1341439/000119312526389274/orcl-20260831.htm" TargetMode="External"/><Relationship Id="rIdSource36" Type="http://schemas.openxmlformats.org/officeDocument/2006/relationships/hyperlink" Target="https://www.sec.gov/Archives/edgar/data/1341439/000119312526389274/orcl-20260831.htm" TargetMode="External"/><Relationship Id="rIdSource37" Type="http://schemas.openxmlformats.org/officeDocument/2006/relationships/hyperlink" Target="https://www.sec.gov/Archives/edgar/data/1341439/000119312526389274/orcl-20260831.htm" TargetMode="External"/><Relationship Id="rIdSource38" Type="http://schemas.openxmlformats.org/officeDocument/2006/relationships/hyperlink" Target="https://www.sec.gov/Archives/edgar/data/1341439/000119312526389274/orcl-20260831.htm" TargetMode="External"/><Relationship Id="rIdSource39" Type="http://schemas.openxmlformats.org/officeDocument/2006/relationships/hyperlink" Target="https://www.sec.gov/Archives/edgar/data/1341439/000119312526389274/orcl-20260831.htm" TargetMode="External"/><Relationship Id="rIdSource40" Type="http://schemas.openxmlformats.org/officeDocument/2006/relationships/hyperlink" Target="https://www.sec.gov/Archives/edgar/data/1341439/000119312526389274/orcl-20260831.htm" TargetMode="External"/><Relationship Id="rIdSource41" Type="http://schemas.openxmlformats.org/officeDocument/2006/relationships/hyperlink" Target="https://www.sec.gov/Archives/edgar/data/1341439/000119312526389274/orcl-20260831.htm" TargetMode="External"/><Relationship Id="rIdSource42" Type="http://schemas.openxmlformats.org/officeDocument/2006/relationships/hyperlink" Target="https://www.sec.gov/Archives/edgar/data/1341439/000119312526389274/orcl-20260831.htm" TargetMode="External"/><Relationship Id="rIdSource43" Type="http://schemas.openxmlformats.org/officeDocument/2006/relationships/hyperlink" Target="https://www.sec.gov/Archives/edgar/data/1341439/000119312526389274/orcl-20260831.htm" TargetMode="External"/><Relationship Id="rIdSource44" Type="http://schemas.openxmlformats.org/officeDocument/2006/relationships/hyperlink" Target="https://www.sec.gov/Archives/edgar/data/1341439/000119312526389274/orcl-20260831.htm" TargetMode="External"/><Relationship Id="rIdSource45" Type="http://schemas.openxmlformats.org/officeDocument/2006/relationships/hyperlink" Target="https://www.sec.gov/Archives/edgar/data/1341439/000119312526389274/orcl-20260831.htm" TargetMode="External"/><Relationship Id="rIdSource46" Type="http://schemas.openxmlformats.org/officeDocument/2006/relationships/hyperlink" Target="https://www.sec.gov/Archives/edgar/data/1341439/000119312526389274/orcl-20260831.htm" TargetMode="External"/><Relationship Id="rIdSource47" Type="http://schemas.openxmlformats.org/officeDocument/2006/relationships/hyperlink" Target="https://www.sec.gov/Archives/edgar/data/1341439/000119312526389274/orcl-20260831.htm" TargetMode="External"/><Relationship Id="rIdSource48" Type="http://schemas.openxmlformats.org/officeDocument/2006/relationships/hyperlink" Target="https://www.sec.gov/Archives/edgar/data/1341439/000119312526389274/orcl-20260831.htm" TargetMode="External"/><Relationship Id="rIdSource49" Type="http://schemas.openxmlformats.org/officeDocument/2006/relationships/hyperlink" Target="https://www.sec.gov/Archives/edgar/data/1341439/000119312526389274/orcl-20260831.htm" TargetMode="External"/><Relationship Id="rIdSource50" Type="http://schemas.openxmlformats.org/officeDocument/2006/relationships/hyperlink" Target="https://www.sec.gov/Archives/edgar/data/1341439/000119312526277521/orcl-20260531.htm" TargetMode="External"/><Relationship Id="rIdSource51" Type="http://schemas.openxmlformats.org/officeDocument/2006/relationships/hyperlink" Target="https://www.sec.gov/Archives/edgar/data/1341439/000119312526277521/orcl-20260531.htm" TargetMode="External"/><Relationship Id="rIdSource52" Type="http://schemas.openxmlformats.org/officeDocument/2006/relationships/hyperlink" Target="https://www.sec.gov/Archives/edgar/data/1341439/000119312526277521/orcl-20260531.htm" TargetMode="External"/><Relationship Id="rIdSource53" Type="http://schemas.openxmlformats.org/officeDocument/2006/relationships/hyperlink" Target="https://www.sec.gov/Archives/edgar/data/1341439/000119312526277521/orcl-20260531.htm" TargetMode="External"/><Relationship Id="rIdSource54" Type="http://schemas.openxmlformats.org/officeDocument/2006/relationships/hyperlink" Target="https://www.sec.gov/Archives/edgar/data/1341439/000119312526277521/orcl-20260531.htm" TargetMode="External"/><Relationship Id="rIdSource55" Type="http://schemas.openxmlformats.org/officeDocument/2006/relationships/hyperlink" Target="https://www.sec.gov/Archives/edgar/data/1341439/000119312526277521/orcl-20260531.htm" TargetMode="External"/><Relationship Id="rIdSource56" Type="http://schemas.openxmlformats.org/officeDocument/2006/relationships/hyperlink" Target="https://www.sec.gov/Archives/edgar/data/1341439/000119312526101045/orcl-ex10_17.htm" TargetMode="External"/><Relationship Id="rIdSource57" Type="http://schemas.openxmlformats.org/officeDocument/2006/relationships/hyperlink" Target="https://www.sec.gov/Archives/edgar/data/1341439/000119312526277521/orcl-20260531.htm" TargetMode="External"/><Relationship Id="rIdSource58" Type="http://schemas.openxmlformats.org/officeDocument/2006/relationships/hyperlink" Target="https://www.sec.gov/Archives/edgar/data/1341439/000119312526101045/orcl-ex10_17.htm" TargetMode="External"/><Relationship Id="rIdSource59" Type="http://schemas.openxmlformats.org/officeDocument/2006/relationships/hyperlink" Target="https://www.sec.gov/Archives/edgar/data/1341439/000119312526277521/orcl-20260531.htm" TargetMode="External"/><Relationship Id="rIdSource60" Type="http://schemas.openxmlformats.org/officeDocument/2006/relationships/hyperlink" Target="https://www.sec.gov/Archives/edgar/data/1341439/000119312526101045/orcl-ex10_17.htm" TargetMode="External"/><Relationship Id="rIdSource61" Type="http://schemas.openxmlformats.org/officeDocument/2006/relationships/hyperlink" Target="https://www.sec.gov/Archives/edgar/data/1341439/000119312526277521/orcl-20260531.htm" TargetMode="External"/><Relationship Id="rIdSource62" Type="http://schemas.openxmlformats.org/officeDocument/2006/relationships/hyperlink" Target="https://www.sec.gov/Archives/edgar/data/1341439/000119312526101045/orcl-ex10_17.htm" TargetMode="External"/><Relationship Id="rIdSource63" Type="http://schemas.openxmlformats.org/officeDocument/2006/relationships/hyperlink" Target="https://www.sec.gov/Archives/edgar/data/1341439/000119312526101045/orcl-ex10_17.htm" TargetMode="External"/><Relationship Id="rIdSource64" Type="http://schemas.openxmlformats.org/officeDocument/2006/relationships/hyperlink" Target="https://www.sec.gov/Archives/edgar/data/1341439/000119312526101045/orcl-ex10_17.htm" TargetMode="External"/><Relationship Id="rIdSource65" Type="http://schemas.openxmlformats.org/officeDocument/2006/relationships/hyperlink" Target="https://www.sec.gov/Archives/edgar/data/1341439/000119312526101045/orcl-ex10_17.htm" TargetMode="External"/><Relationship Id="rIdSource66" Type="http://schemas.openxmlformats.org/officeDocument/2006/relationships/hyperlink" Target="https://www.sec.gov/Archives/edgar/data/1341439/000119312526101045/orcl-ex10_17.htm" TargetMode="External"/><Relationship Id="rIdSource67" Type="http://schemas.openxmlformats.org/officeDocument/2006/relationships/hyperlink" Target="https://www.sec.gov/Archives/edgar/data/1341439/000119312526101045/orcl-ex10_17.htm" TargetMode="External"/><Relationship Id="rIdSource68" Type="http://schemas.openxmlformats.org/officeDocument/2006/relationships/hyperlink" Target="https://www.sec.gov/Archives/edgar/data/1341439/000119312526101045/orcl-ex10_17.htm" TargetMode="External"/><Relationship Id="rIdSource69" Type="http://schemas.openxmlformats.org/officeDocument/2006/relationships/hyperlink" Target="https://www.sec.gov/Archives/edgar/data/1341439/000119312526277521/orcl-20260531.htm" TargetMode="External"/><Relationship Id="rIdSource70" Type="http://schemas.openxmlformats.org/officeDocument/2006/relationships/hyperlink" Target="https://www.sec.gov/Archives/edgar/data/1341439/000119312526389274/orcl-20260831.htm" TargetMode="External"/><Relationship Id="rIdSource71" Type="http://schemas.openxmlformats.org/officeDocument/2006/relationships/hyperlink" Target="https://www.sec.gov/Archives/edgar/data/1341439/000119312526101045/orcl-ex10_17.htm" TargetMode="External"/><Relationship Id="rIdSource72" Type="http://schemas.openxmlformats.org/officeDocument/2006/relationships/hyperlink" Target="https://www.sec.gov/Archives/edgar/data/1341439/000119312526387905/orcl-20260910.htm" TargetMode="External"/><Relationship Id="rIdSource73" Type="http://schemas.openxmlformats.org/officeDocument/2006/relationships/hyperlink" Target="https://www.sec.gov/Archives/edgar/data/1341439/000119312526387905/orcl-ex99_1.htm" TargetMode="External"/><Relationship Id="rIdSource74" Type="http://schemas.openxmlformats.org/officeDocument/2006/relationships/hyperlink" Target="https://www.sec.gov/Archives/edgar/data/1341439/000119312526389753/d20034d8k.htm" TargetMode="External"/><Relationship Id="rIdSource75" Type="http://schemas.openxmlformats.org/officeDocument/2006/relationships/hyperlink" Target="https://www.sec.gov/Archives/edgar/data/1341439/000119312526389753/d20034dex991.htm" TargetMode="External"/><Relationship Id="rIdSource76" Type="http://schemas.openxmlformats.org/officeDocument/2006/relationships/hyperlink" Target="https://www.sec.gov/Archives/edgar/data/1341439/000119312526277521/orcl-20260531.htm" TargetMode="External"/><Relationship Id="rIdSource77" Type="http://schemas.openxmlformats.org/officeDocument/2006/relationships/hyperlink" Target="https://www.sec.gov/Archives/edgar/data/1341439/000119312526277521/orcl-20260531.htm" TargetMode="External"/><Relationship Id="rIdSource78" Type="http://schemas.openxmlformats.org/officeDocument/2006/relationships/hyperlink" Target="https://www.sec.gov/Archives/edgar/data/1341439/000119312526277521/orcl-20260531.htm" TargetMode="External"/><Relationship Id="rIdSource79" Type="http://schemas.openxmlformats.org/officeDocument/2006/relationships/hyperlink" Target="https://www.sec.gov/Archives/edgar/data/1341439/000119312526389274/orcl-20260831.htm" TargetMode="External"/><Relationship Id="rIdSource80" Type="http://schemas.openxmlformats.org/officeDocument/2006/relationships/hyperlink" Target="https://www.sec.gov/Archives/edgar/data/1341439/000119312526389274/orcl-20260831.htm" TargetMode="External"/><Relationship Id="rIdSource81" Type="http://schemas.openxmlformats.org/officeDocument/2006/relationships/hyperlink" Target="https://www.sec.gov/Archives/edgar/data/1341439/000119312526389274/orcl-20260831.htm" TargetMode="External"/><Relationship Id="rIdSource82" Type="http://schemas.openxmlformats.org/officeDocument/2006/relationships/hyperlink" Target="https://www.sec.gov/Archives/edgar/data/1341439/000119312526389274/orcl-20260831.htm" TargetMode="External"/><Relationship Id="rIdSource83" Type="http://schemas.openxmlformats.org/officeDocument/2006/relationships/hyperlink" Target="https://www.sec.gov/Archives/edgar/data/1341439/000119312526389274/orcl-20260831.htm" TargetMode="External"/><Relationship Id="rIdSource84" Type="http://schemas.openxmlformats.org/officeDocument/2006/relationships/hyperlink" Target="https://www.sec.gov/Archives/edgar/data/1341439/000119312526389274/orcl-20260831.htm" TargetMode="External"/><Relationship Id="rIdSource85" Type="http://schemas.openxmlformats.org/officeDocument/2006/relationships/hyperlink" Target="https://data.sec.gov/submissions/CIK0001341439.json" TargetMode="External"/><Relationship Id="rIdSource86" Type="http://schemas.openxmlformats.org/officeDocument/2006/relationships/hyperlink" Target="https://www.sec.gov/Archives/edgar/data/1341439/000119312526389274/orcl-20260831.htm" TargetMode="External"/><Relationship Id="rIdSource87" Type="http://schemas.openxmlformats.org/officeDocument/2006/relationships/hyperlink" Target="https://www.sec.gov/Archives/edgar/data/1341439/000119312526277521/orcl-20260531.htm" TargetMode="External"/><Relationship Id="rIdSource88" Type="http://schemas.openxmlformats.org/officeDocument/2006/relationships/hyperlink" Target="https://www.sec.gov/Archives/edgar/data/1341439/000119312526389274/orcl-20260831.htm" TargetMode="External"/><Relationship Id="rIdSource89" Type="http://schemas.openxmlformats.org/officeDocument/2006/relationships/hyperlink" Target="https://www.sec.gov/Archives/edgar/data/1341439/000119312526277521/orcl-20260531.htm" TargetMode="External"/><Relationship Id="rIdSource90" Type="http://schemas.openxmlformats.org/officeDocument/2006/relationships/hyperlink" Target="https://www.sec.gov/Archives/edgar/data/1341439/000119312526101045/orcl-ex10_17.htm" TargetMode="External"/><Relationship Id="rIdSource91" Type="http://schemas.openxmlformats.org/officeDocument/2006/relationships/hyperlink" Target="https://www.sec.gov/Archives/edgar/data/1341439/000119312526389274/orcl-20260831.htm" TargetMode="External"/><Relationship Id="rIdSource92" Type="http://schemas.openxmlformats.org/officeDocument/2006/relationships/hyperlink" Target="https://www.sec.gov/Archives/edgar/data/1341439/000119312526389274/orcl-20260831.htm" TargetMode="External"/><Relationship Id="rIdSource93" Type="http://schemas.openxmlformats.org/officeDocument/2006/relationships/hyperlink" Target="https://www.sec.gov/Archives/edgar/data/1341439/000119312526277521/orcl-20260531.htm" TargetMode="External"/><Relationship Id="rIdSource94" Type="http://schemas.openxmlformats.org/officeDocument/2006/relationships/hyperlink" Target="https://www.sec.gov/Archives/edgar/data/1341439/000119312526101045/orcl-ex10_17.htm" TargetMode="External"/><Relationship Id="rIdSource95" Type="http://schemas.openxmlformats.org/officeDocument/2006/relationships/hyperlink" Target="https://www.sec.gov/Archives/edgar/data/1341439/000119312526389274/orcl-20260831.htm" TargetMode="External"/><Relationship Id="rIdSource96" Type="http://schemas.openxmlformats.org/officeDocument/2006/relationships/hyperlink" Target="https://www.sec.gov/Archives/edgar/data/1341439/000119312526277521/orcl-20260531.htm" TargetMode="External"/><Relationship Id="rIdSource97" Type="http://schemas.openxmlformats.org/officeDocument/2006/relationships/hyperlink" Target="https://www.sec.gov/Archives/edgar/data/1341439/000119312526389274/orcl-20260831.htm" TargetMode="External"/><Relationship Id="rIdSource98" Type="http://schemas.openxmlformats.org/officeDocument/2006/relationships/hyperlink" Target="https://www.sec.gov/Archives/edgar/data/1341439/000119312526389274/orcl-20260831.htm" TargetMode="External"/><Relationship Id="rIdSource99" Type="http://schemas.openxmlformats.org/officeDocument/2006/relationships/hyperlink" Target="https://www.sec.gov/Archives/edgar/data/1341439/000119312526389274/orcl-20260831.htm" TargetMode="External"/><Relationship Id="rIdSource100" Type="http://schemas.openxmlformats.org/officeDocument/2006/relationships/hyperlink" Target="https://www.sec.gov/Archives/edgar/data/1341439/000119312526389274/orcl-20260831.htm" TargetMode="External"/><Relationship Id="rIdSource101" Type="http://schemas.openxmlformats.org/officeDocument/2006/relationships/hyperlink" Target="https://www.sec.gov/Archives/edgar/data/1341439/000119312526389274/orcl-20260831.htm" TargetMode="External"/><Relationship Id="rIdSource102" Type="http://schemas.openxmlformats.org/officeDocument/2006/relationships/hyperlink" Target="https://www.sec.gov/Archives/edgar/data/1341439/000119312526389274/orcl-20260831.htm" TargetMode="External"/><Relationship Id="rIdSource103" Type="http://schemas.openxmlformats.org/officeDocument/2006/relationships/hyperlink" Target="https://www.sec.gov/Archives/edgar/data/1341439/000119312526389274/orcl-20260831.htm" TargetMode="External"/><Relationship Id="rIdSource104" Type="http://schemas.openxmlformats.org/officeDocument/2006/relationships/hyperlink" Target="https://www.sec.gov/Archives/edgar/data/1341439/000119312526389274/orcl-20260831.htm" TargetMode="External"/><Relationship Id="rIdSource105" Type="http://schemas.openxmlformats.org/officeDocument/2006/relationships/hyperlink" Target="https://www.sec.gov/Archives/edgar/data/1341439/000119312526389274/orcl-20260831.htm" TargetMode="External"/><Relationship Id="rIdSource106" Type="http://schemas.openxmlformats.org/officeDocument/2006/relationships/hyperlink" Target="https://www.sec.gov/Archives/edgar/data/1341439/000119312526389274/orcl-20260831.htm" TargetMode="External"/><Relationship Id="rIdSource107" Type="http://schemas.openxmlformats.org/officeDocument/2006/relationships/hyperlink" Target="https://www.sec.gov/Archives/edgar/data/1341439/000119312526389274/orcl-20260831.htm" TargetMode="External"/><Relationship Id="rIdSource108" Type="http://schemas.openxmlformats.org/officeDocument/2006/relationships/hyperlink" Target="https://www.sec.gov/Archives/edgar/data/1341439/000119312526389274/orcl-20260831.htm" TargetMode="External"/><Relationship Id="rIdSource109" Type="http://schemas.openxmlformats.org/officeDocument/2006/relationships/hyperlink" Target="https://www.sec.gov/Archives/edgar/data/1341439/000119312526389274/orcl-20260831.htm" TargetMode="External"/><Relationship Id="rIdSource110" Type="http://schemas.openxmlformats.org/officeDocument/2006/relationships/hyperlink" Target="https://www.sec.gov/Archives/edgar/data/1341439/000119312526389274/orcl-20260831.htm" TargetMode="External"/><Relationship Id="rIdSource111" Type="http://schemas.openxmlformats.org/officeDocument/2006/relationships/hyperlink" Target="https://www.sec.gov/Archives/edgar/data/1341439/000119312526389274/orcl-20260831.htm" TargetMode="External"/><Relationship Id="rIdSource112" Type="http://schemas.openxmlformats.org/officeDocument/2006/relationships/hyperlink" Target="https://www.sec.gov/Archives/edgar/data/1341439/000119312526389274/orcl-20260831.htm" TargetMode="External"/><Relationship Id="rIdSource113" Type="http://schemas.openxmlformats.org/officeDocument/2006/relationships/hyperlink" Target="https://www.sec.gov/Archives/edgar/data/1341439/000119312526389274/orcl-20260831.htm" TargetMode="External"/><Relationship Id="rIdSource114" Type="http://schemas.openxmlformats.org/officeDocument/2006/relationships/hyperlink" Target="https://www.sec.gov/Archives/edgar/data/1341439/000119312526277521/orcl-20260531.htm" TargetMode="External"/><Relationship Id="rIdSource115" Type="http://schemas.openxmlformats.org/officeDocument/2006/relationships/hyperlink" Target="https://www.sec.gov/Archives/edgar/data/1341439/000119312526389274/orcl-20260831.htm" TargetMode="External"/><Relationship Id="rIdSource116" Type="http://schemas.openxmlformats.org/officeDocument/2006/relationships/hyperlink" Target="https://www.sec.gov/Archives/edgar/data/1341439/000119312526389274/orcl-20260831.htm" TargetMode="External"/><Relationship Id="rIdSource117" Type="http://schemas.openxmlformats.org/officeDocument/2006/relationships/hyperlink" Target="https://www.sec.gov/Archives/edgar/data/1341439/000119312526277521/orcl-20260531.htm" TargetMode="External"/><Relationship Id="rIdSource118" Type="http://schemas.openxmlformats.org/officeDocument/2006/relationships/hyperlink" Target="https://www.sec.gov/Archives/edgar/data/1341439/000119312526389274/orcl-20260831.htm" TargetMode="External"/><Relationship Id="rIdSource119" Type="http://schemas.openxmlformats.org/officeDocument/2006/relationships/hyperlink" Target="https://www.sec.gov/Archives/edgar/data/1341439/000119312526389274/orcl-20260831.htm" TargetMode="External"/><Relationship Id="rIdSource120" Type="http://schemas.openxmlformats.org/officeDocument/2006/relationships/hyperlink" Target="https://www.sec.gov/Archives/edgar/data/1341439/000119312526277521/orcl-20260531.htm" TargetMode="External"/><Relationship Id="rIdSource121" Type="http://schemas.openxmlformats.org/officeDocument/2006/relationships/hyperlink" Target="https://www.sec.gov/Archives/edgar/data/1341439/000119312526277521/orcl-20260531.htm" TargetMode="External"/><Relationship Id="rIdSource122" Type="http://schemas.openxmlformats.org/officeDocument/2006/relationships/hyperlink" Target="https://www.sec.gov/Archives/edgar/data/1341439/000119312526277521/orcl-20260531.htm" TargetMode="External"/><Relationship Id="rIdSource123" Type="http://schemas.openxmlformats.org/officeDocument/2006/relationships/hyperlink" Target="https://www.sec.gov/Archives/edgar/data/1341439/000119312526277521/orcl-20260531.htm" TargetMode="External"/><Relationship Id="rIdSource124" Type="http://schemas.openxmlformats.org/officeDocument/2006/relationships/hyperlink" Target="https://www.sec.gov/Archives/edgar/data/1341439/000119312526277521/orcl-20260531.htm" TargetMode="External"/><Relationship Id="rIdSource125" Type="http://schemas.openxmlformats.org/officeDocument/2006/relationships/hyperlink" Target="https://www.sec.gov/Archives/edgar/data/1341439/000119312526277521/orcl-20260531.htm" TargetMode="External"/><Relationship Id="rIdSource126" Type="http://schemas.openxmlformats.org/officeDocument/2006/relationships/hyperlink" Target="https://www.sec.gov/Archives/edgar/data/1341439/000119312526277521/orcl-20260531.htm" TargetMode="External"/><Relationship Id="rIdSource127" Type="http://schemas.openxmlformats.org/officeDocument/2006/relationships/hyperlink" Target="https://www.sec.gov/Archives/edgar/data/1341439/000156459022023675/orcl-10k_20220531.htm" TargetMode="External"/><Relationship Id="rIdSource128" Type="http://schemas.openxmlformats.org/officeDocument/2006/relationships/hyperlink" Target="https://www.sec.gov/Archives/edgar/data/1341439/000095017023028914/orcl-20230531.htm" TargetMode="External"/><Relationship Id="rIdSource129" Type="http://schemas.openxmlformats.org/officeDocument/2006/relationships/hyperlink" Target="https://www.sec.gov/Archives/edgar/data/1341439/000095017024075605/orcl-20240531.htm" TargetMode="External"/><Relationship Id="rIdSource130" Type="http://schemas.openxmlformats.org/officeDocument/2006/relationships/hyperlink" Target="https://www.sec.gov/Archives/edgar/data/1341439/000095017025087926/orcl-20250531.htm" TargetMode="External"/><Relationship Id="rIdSource131" Type="http://schemas.openxmlformats.org/officeDocument/2006/relationships/hyperlink" Target="https://www.sec.gov/Archives/edgar/data/1341439/000119312526277521/orcl-20260531.htm" TargetMode="External"/><Relationship Id="rIdSource132" Type="http://schemas.openxmlformats.org/officeDocument/2006/relationships/hyperlink" Target="https://www.sec.gov/Archives/edgar/data/1341439/000156459022023675/orcl-10k_20220531.htm" TargetMode="External"/><Relationship Id="rIdSource133" Type="http://schemas.openxmlformats.org/officeDocument/2006/relationships/hyperlink" Target="https://www.sec.gov/Archives/edgar/data/1341439/000156459022023675/orcl-10k_20220531.htm" TargetMode="External"/><Relationship Id="rIdSource134" Type="http://schemas.openxmlformats.org/officeDocument/2006/relationships/hyperlink" Target="https://www.sec.gov/Archives/edgar/data/1341439/000095017023028914/orcl-20230531.htm" TargetMode="External"/><Relationship Id="rIdSource135" Type="http://schemas.openxmlformats.org/officeDocument/2006/relationships/hyperlink" Target="https://www.sec.gov/Archives/edgar/data/1341439/000095017023028914/orcl-20230531.htm" TargetMode="External"/><Relationship Id="rIdSource136" Type="http://schemas.openxmlformats.org/officeDocument/2006/relationships/hyperlink" Target="https://www.sec.gov/Archives/edgar/data/1341439/000095017024075605/orcl-20240531.htm" TargetMode="External"/><Relationship Id="rIdSource137" Type="http://schemas.openxmlformats.org/officeDocument/2006/relationships/hyperlink" Target="https://www.sec.gov/Archives/edgar/data/1341439/000095017024075605/orcl-20240531.htm" TargetMode="External"/><Relationship Id="rIdSource138" Type="http://schemas.openxmlformats.org/officeDocument/2006/relationships/hyperlink" Target="https://www.sec.gov/Archives/edgar/data/1341439/000095017025087926/orcl-20250531.htm" TargetMode="External"/><Relationship Id="rIdSource139" Type="http://schemas.openxmlformats.org/officeDocument/2006/relationships/hyperlink" Target="https://www.sec.gov/Archives/edgar/data/1341439/000095017025087926/orcl-20250531.htm" TargetMode="External"/><Relationship Id="rIdSource140" Type="http://schemas.openxmlformats.org/officeDocument/2006/relationships/hyperlink" Target="https://www.sec.gov/Archives/edgar/data/1341439/000119312526277521/orcl-20260531.htm" TargetMode="External"/><Relationship Id="rIdSource141" Type="http://schemas.openxmlformats.org/officeDocument/2006/relationships/hyperlink" Target="https://www.sec.gov/Archives/edgar/data/1341439/000119312526277521/orcl-20260531.htm" TargetMode="External"/><Relationship Id="rIdSource142" Type="http://schemas.openxmlformats.org/officeDocument/2006/relationships/hyperlink" Target="https://www.sec.gov/Archives/edgar/data/1341439/000156459022023675/orcl-10k_20220531.htm" TargetMode="External"/><Relationship Id="rIdSource143" Type="http://schemas.openxmlformats.org/officeDocument/2006/relationships/hyperlink" Target="https://www.sec.gov/Archives/edgar/data/1341439/000095017023028914/orcl-20230531.htm" TargetMode="External"/><Relationship Id="rIdSource144" Type="http://schemas.openxmlformats.org/officeDocument/2006/relationships/hyperlink" Target="https://www.sec.gov/Archives/edgar/data/1341439/000095017024075605/orcl-20240531.htm" TargetMode="External"/><Relationship Id="rIdSource145" Type="http://schemas.openxmlformats.org/officeDocument/2006/relationships/hyperlink" Target="https://www.sec.gov/Archives/edgar/data/1341439/000095017025087926/orcl-20250531.htm" TargetMode="External"/><Relationship Id="rIdSource146" Type="http://schemas.openxmlformats.org/officeDocument/2006/relationships/hyperlink" Target="https://www.sec.gov/Archives/edgar/data/1341439/000119312526277521/orcl-20260531.htm" TargetMode="External"/><Relationship Id="rIdSource147" Type="http://schemas.openxmlformats.org/officeDocument/2006/relationships/hyperlink" Target="https://www.sec.gov/Archives/edgar/data/1341439/000156459022023675/orcl-10k_20220531.htm" TargetMode="External"/><Relationship Id="rIdSource148" Type="http://schemas.openxmlformats.org/officeDocument/2006/relationships/hyperlink" Target="https://www.sec.gov/Archives/edgar/data/1341439/000095017023028914/orcl-20230531.htm" TargetMode="External"/><Relationship Id="rIdSource149" Type="http://schemas.openxmlformats.org/officeDocument/2006/relationships/hyperlink" Target="https://www.sec.gov/Archives/edgar/data/1341439/000095017024075605/orcl-20240531.htm" TargetMode="External"/><Relationship Id="rIdSource150" Type="http://schemas.openxmlformats.org/officeDocument/2006/relationships/hyperlink" Target="https://www.sec.gov/Archives/edgar/data/1341439/000095017025087926/orcl-20250531.htm" TargetMode="External"/><Relationship Id="rIdSource151" Type="http://schemas.openxmlformats.org/officeDocument/2006/relationships/hyperlink" Target="https://www.sec.gov/Archives/edgar/data/1341439/000119312526277521/orcl-20260531.htm" TargetMode="External"/><Relationship Id="rIdSource152" Type="http://schemas.openxmlformats.org/officeDocument/2006/relationships/hyperlink" Target="https://www.sec.gov/Archives/edgar/data/1341439/000119312526277521/orcl-20260531.htm" TargetMode="External"/><Relationship Id="rIdSource153" Type="http://schemas.openxmlformats.org/officeDocument/2006/relationships/hyperlink" Target="https://www.sec.gov/Archives/edgar/data/1341439/000119312526277521/orcl-20260531.htm" TargetMode="External"/><Relationship Id="rIdSource154" Type="http://schemas.openxmlformats.org/officeDocument/2006/relationships/hyperlink" Target="https://www.sec.gov/Archives/edgar/data/1341439/000119312526277521/orcl-20260531.htm" TargetMode="External"/><Relationship Id="rIdSource155" Type="http://schemas.openxmlformats.org/officeDocument/2006/relationships/hyperlink" Target="https://www.sec.gov/Archives/edgar/data/1341439/000119312526277521/orcl-20260531.htm" TargetMode="External"/><Relationship Id="rIdSource156" Type="http://schemas.openxmlformats.org/officeDocument/2006/relationships/hyperlink" Target="https://www.sec.gov/Archives/edgar/data/1341439/000119312526277521/orcl-20260531.htm" TargetMode="External"/><Relationship Id="rIdSource157" Type="http://schemas.openxmlformats.org/officeDocument/2006/relationships/hyperlink" Target="https://www.sec.gov/Archives/edgar/data/1341439/000119312526277521/orcl-20260531.htm" TargetMode="External"/><Relationship Id="rIdSource158" Type="http://schemas.openxmlformats.org/officeDocument/2006/relationships/hyperlink" Target="https://www.sec.gov/Archives/edgar/data/1341439/000119312526277521/orcl-20260531.htm" TargetMode="External"/><Relationship Id="rIdSource159" Type="http://schemas.openxmlformats.org/officeDocument/2006/relationships/hyperlink" Target="https://www.sec.gov/Archives/edgar/data/1341439/000119312526277521/orcl-20260531.htm" TargetMode="External"/><Relationship Id="rIdSource160" Type="http://schemas.openxmlformats.org/officeDocument/2006/relationships/hyperlink" Target="https://www.sec.gov/Archives/edgar/data/1341439/000119312526277521/orcl-20260531.htm" TargetMode="External"/><Relationship Id="rIdSource161" Type="http://schemas.openxmlformats.org/officeDocument/2006/relationships/hyperlink" Target="https://www.sec.gov/Archives/edgar/data/1341439/000119312526277521/orcl-20260531.htm" TargetMode="External"/><Relationship Id="rIdSource162" Type="http://schemas.openxmlformats.org/officeDocument/2006/relationships/hyperlink" Target="https://www.sec.gov/Archives/edgar/data/1341439/000119312526277521/orcl-20260531.htm" TargetMode="External"/><Relationship Id="rIdSource163" Type="http://schemas.openxmlformats.org/officeDocument/2006/relationships/hyperlink" Target="https://www.sec.gov/Archives/edgar/data/1341439/000119312526277521/orcl-20260531.htm" TargetMode="External"/><Relationship Id="rIdSource164" Type="http://schemas.openxmlformats.org/officeDocument/2006/relationships/hyperlink" Target="https://www.sec.gov/Archives/edgar/data/1341439/000119312526277521/orcl-20260531.htm" TargetMode="External"/><Relationship Id="rIdSource165" Type="http://schemas.openxmlformats.org/officeDocument/2006/relationships/hyperlink" Target="https://www.sec.gov/Archives/edgar/data/1341439/000119312526277521/orcl-20260531.htm" TargetMode="External"/><Relationship Id="rIdSource166" Type="http://schemas.openxmlformats.org/officeDocument/2006/relationships/hyperlink" Target="https://www.sec.gov/Archives/edgar/data/1341439/000119312526277521/orcl-20260531.htm" TargetMode="External"/><Relationship Id="rIdSource167" Type="http://schemas.openxmlformats.org/officeDocument/2006/relationships/hyperlink" Target="https://www.sec.gov/Archives/edgar/data/1341439/000119312526277521/orcl-20260531.htm" TargetMode="External"/><Relationship Id="rIdSource168" Type="http://schemas.openxmlformats.org/officeDocument/2006/relationships/hyperlink" Target="https://www.sec.gov/Archives/edgar/data/1341439/000119312526277521/orcl-20260531.htm" TargetMode="External"/><Relationship Id="rIdSource169" Type="http://schemas.openxmlformats.org/officeDocument/2006/relationships/hyperlink" Target="https://www.sec.gov/Archives/edgar/data/1341439/000119312526277521/orcl-20260531.htm" TargetMode="External"/><Relationship Id="rIdSource170" Type="http://schemas.openxmlformats.org/officeDocument/2006/relationships/hyperlink" Target="https://www.sec.gov/Archives/edgar/data/1341439/000119312526277521/orcl-20260531.htm" TargetMode="External"/><Relationship Id="rIdSource171" Type="http://schemas.openxmlformats.org/officeDocument/2006/relationships/hyperlink" Target="https://www.sec.gov/Archives/edgar/data/1341439/000119312526277521/orcl-20260531.htm" TargetMode="External"/><Relationship Id="rIdSource172" Type="http://schemas.openxmlformats.org/officeDocument/2006/relationships/hyperlink" Target="https://www.sec.gov/Archives/edgar/data/1341439/000119312526277521/orcl-20260531.htm" TargetMode="External"/><Relationship Id="rIdSource173" Type="http://schemas.openxmlformats.org/officeDocument/2006/relationships/hyperlink" Target="https://www.sec.gov/Archives/edgar/data/1341439/000119312526277521/orcl-20260531.htm" TargetMode="External"/><Relationship Id="rIdSource174" Type="http://schemas.openxmlformats.org/officeDocument/2006/relationships/hyperlink" Target="https://www.sec.gov/Archives/edgar/data/1341439/000119312526277521/orcl-20260531.htm" TargetMode="External"/><Relationship Id="rIdSource175" Type="http://schemas.openxmlformats.org/officeDocument/2006/relationships/hyperlink" Target="https://www.sec.gov/Archives/edgar/data/1341439/000119312526277521/orcl-20260531.htm" TargetMode="External"/><Relationship Id="rIdSource176" Type="http://schemas.openxmlformats.org/officeDocument/2006/relationships/hyperlink" Target="https://www.sec.gov/Archives/edgar/data/1341439/000119312526277521/orcl-20260531.htm" TargetMode="External"/><Relationship Id="rIdSource177" Type="http://schemas.openxmlformats.org/officeDocument/2006/relationships/hyperlink" Target="https://www.sec.gov/Archives/edgar/data/1341439/000119312526277521/orcl-20260531.htm" TargetMode="External"/><Relationship Id="rIdSource178" Type="http://schemas.openxmlformats.org/officeDocument/2006/relationships/hyperlink" Target="https://www.sec.gov/Archives/edgar/data/1341439/000119312526277521/orcl-20260531.htm" TargetMode="External"/><Relationship Id="rIdSource179" Type="http://schemas.openxmlformats.org/officeDocument/2006/relationships/hyperlink" Target="https://www.sec.gov/Archives/edgar/data/1341439/000119312526277521/orcl-20260531.htm" TargetMode="External"/><Relationship Id="rIdSource180" Type="http://schemas.openxmlformats.org/officeDocument/2006/relationships/hyperlink" Target="https://www.sec.gov/Archives/edgar/data/1341439/000119312526277521/orcl-20260531.htm" TargetMode="External"/><Relationship Id="rIdSource181" Type="http://schemas.openxmlformats.org/officeDocument/2006/relationships/hyperlink" Target="https://www.sec.gov/Archives/edgar/data/1341439/000119312526277521/orcl-20260531.htm" TargetMode="External"/><Relationship Id="rIdSource182" Type="http://schemas.openxmlformats.org/officeDocument/2006/relationships/hyperlink" Target="https://www.sec.gov/Archives/edgar/data/1341439/000119312526277521/orcl-20260531.htm" TargetMode="External"/><Relationship Id="rIdSource183" Type="http://schemas.openxmlformats.org/officeDocument/2006/relationships/hyperlink" Target="https://www.sec.gov/Archives/edgar/data/1341439/000119312526277521/orcl-20260531.htm" TargetMode="External"/><Relationship Id="rIdSource184" Type="http://schemas.openxmlformats.org/officeDocument/2006/relationships/hyperlink" Target="https://www.sec.gov/Archives/edgar/data/1341439/000119312526277521/orcl-20260531.htm" TargetMode="External"/><Relationship Id="rIdSource185" Type="http://schemas.openxmlformats.org/officeDocument/2006/relationships/hyperlink" Target="https://www.sec.gov/Archives/edgar/data/1341439/000119312526277521/orcl-20260531.htm" TargetMode="External"/><Relationship Id="rIdSource186" Type="http://schemas.openxmlformats.org/officeDocument/2006/relationships/hyperlink" Target="https://www.sec.gov/Archives/edgar/data/1341439/000119312526277521/orcl-20260531.htm" TargetMode="External"/><Relationship Id="rIdSource187" Type="http://schemas.openxmlformats.org/officeDocument/2006/relationships/hyperlink" Target="https://www.sec.gov/Archives/edgar/data/1341439/000119312526277521/orcl-20260531.htm" TargetMode="External"/><Relationship Id="rIdSource188" Type="http://schemas.openxmlformats.org/officeDocument/2006/relationships/hyperlink" Target="https://www.sec.gov/Archives/edgar/data/1341439/000119312526277521/orcl-20260531.htm" TargetMode="External"/><Relationship Id="rIdSource189" Type="http://schemas.openxmlformats.org/officeDocument/2006/relationships/hyperlink" Target="https://www.sec.gov/Archives/edgar/data/1341439/000119312526277521/orcl-20260531.htm" TargetMode="External"/><Relationship Id="rIdSource190" Type="http://schemas.openxmlformats.org/officeDocument/2006/relationships/hyperlink" Target="https://www.sec.gov/Archives/edgar/data/1341439/000119312526277521/orcl-20260531.htm" TargetMode="External"/><Relationship Id="rIdSource191" Type="http://schemas.openxmlformats.org/officeDocument/2006/relationships/hyperlink" Target="https://www.sec.gov/Archives/edgar/data/1341439/000119312526277521/orcl-20260531.htm" TargetMode="External"/><Relationship Id="rIdSource192" Type="http://schemas.openxmlformats.org/officeDocument/2006/relationships/hyperlink" Target="https://www.sec.gov/Archives/edgar/data/1341439/000119312526277521/orcl-20260531.htm" TargetMode="External"/><Relationship Id="rIdSource193" Type="http://schemas.openxmlformats.org/officeDocument/2006/relationships/hyperlink" Target="https://www.sec.gov/Archives/edgar/data/1341439/000119312526277521/orcl-20260531.htm" TargetMode="External"/><Relationship Id="rIdSource194" Type="http://schemas.openxmlformats.org/officeDocument/2006/relationships/hyperlink" Target="https://www.sec.gov/Archives/edgar/data/1341439/000119312526277521/orcl-20260531.htm" TargetMode="External"/><Relationship Id="rIdSource195" Type="http://schemas.openxmlformats.org/officeDocument/2006/relationships/hyperlink" Target="https://www.sec.gov/Archives/edgar/data/1341439/000119312526277521/orcl-20260531.htm" TargetMode="External"/><Relationship Id="rIdSource196" Type="http://schemas.openxmlformats.org/officeDocument/2006/relationships/hyperlink" Target="https://www.sec.gov/Archives/edgar/data/1341439/000119312526277521/orcl-20260531.htm" TargetMode="External"/><Relationship Id="rIdSource197" Type="http://schemas.openxmlformats.org/officeDocument/2006/relationships/hyperlink" Target="https://www.sec.gov/Archives/edgar/data/1341439/000119312526277521/orcl-20260531.htm" TargetMode="External"/><Relationship Id="rIdSource198" Type="http://schemas.openxmlformats.org/officeDocument/2006/relationships/hyperlink" Target="https://www.sec.gov/Archives/edgar/data/1341439/000119312526277521/orcl-20260531.htm" TargetMode="External"/><Relationship Id="rIdSource199" Type="http://schemas.openxmlformats.org/officeDocument/2006/relationships/hyperlink" Target="https://www.sec.gov/Archives/edgar/data/1341439/000119312526277521/orcl-20260531.htm" TargetMode="External"/><Relationship Id="rIdSource200" Type="http://schemas.openxmlformats.org/officeDocument/2006/relationships/hyperlink" Target="https://www.sec.gov/Archives/edgar/data/1341439/000119312526277521/orcl-20260531.htm" TargetMode="External"/><Relationship Id="rIdSource201" Type="http://schemas.openxmlformats.org/officeDocument/2006/relationships/hyperlink" Target="https://www.sec.gov/Archives/edgar/data/1341439/000119312526277521/orcl-20260531.htm" TargetMode="External"/><Relationship Id="rIdSource202" Type="http://schemas.openxmlformats.org/officeDocument/2006/relationships/hyperlink" Target="https://www.sec.gov/Archives/edgar/data/1341439/000119312526277521/orcl-20260531.htm" TargetMode="External"/><Relationship Id="rIdSource203" Type="http://schemas.openxmlformats.org/officeDocument/2006/relationships/hyperlink" Target="https://www.sec.gov/Archives/edgar/data/1341439/000119312526277521/orcl-20260531.htm" TargetMode="External"/><Relationship Id="rIdSource204" Type="http://schemas.openxmlformats.org/officeDocument/2006/relationships/hyperlink" Target="https://www.sec.gov/Archives/edgar/data/1341439/000119312526277521/orcl-20260531.htm" TargetMode="External"/></Relationships>
</file>

<file path=xl/worksheets/_rels/sheet12.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101045/orcl-ex10_17.htm" TargetMode="External"/><Relationship Id="rIdSource5" Type="http://schemas.openxmlformats.org/officeDocument/2006/relationships/hyperlink" Target="https://www.sec.gov/Archives/edgar/data/1341439/000119312526101045/orcl-ex10_17.htm" TargetMode="External"/><Relationship Id="rIdSource6" Type="http://schemas.openxmlformats.org/officeDocument/2006/relationships/hyperlink" Target="https://www.sec.gov/Archives/edgar/data/1341439/000119312526387905/orcl-ex99_1.htm" TargetMode="External"/><Relationship Id="rIdSource7" Type="http://schemas.openxmlformats.org/officeDocument/2006/relationships/hyperlink" Target="https://www.sec.gov/Archives/edgar/data/1341439/000119312526389753/d20034dex991.htm" TargetMode="External"/><Relationship Id="rIdSource8" Type="http://schemas.openxmlformats.org/officeDocument/2006/relationships/hyperlink" Target="https://github.com/jackconnolly1000-ux/sec-filing-research-terminal/blob/main/docs/oracle_interest_coverage.md" TargetMode="External"/><Relationship Id="rIdSource9" Type="http://schemas.openxmlformats.org/officeDocument/2006/relationships/hyperlink" Target="https://www.sec.gov/Archives/edgar/data/1341439/000119312526277521/orcl-20260531.htm" TargetMode="External"/><Relationship Id="rIdSource10" Type="http://schemas.openxmlformats.org/officeDocument/2006/relationships/hyperlink" Target="https://www.sec.gov/Archives/edgar/data/1341439/000119312526277521/orcl-20260531.htm" TargetMode="External"/><Relationship Id="rIdSource11" Type="http://schemas.openxmlformats.org/officeDocument/2006/relationships/hyperlink" Target="https://www.sec.gov/Archives/edgar/data/1341439/000119312526101045/orcl-ex10_17.htm" TargetMode="External"/><Relationship Id="rIdSource12" Type="http://schemas.openxmlformats.org/officeDocument/2006/relationships/hyperlink" Target="https://github.com/jackconnolly1000-ux/sec-filing-research-terminal/blob/main/docs/borrowing_lease_presentation.md" TargetMode="External"/><Relationship Id="rIdSource13" Type="http://schemas.openxmlformats.org/officeDocument/2006/relationships/hyperlink" Target="https://github.com/jackconnolly1000-ux/sec-filing-research-terminal/blob/main/docs/ratio_reconciliation.md" TargetMode="External"/><Relationship Id="rIdSource14" Type="http://schemas.openxmlformats.org/officeDocument/2006/relationships/hyperlink" Target="https://github.com/jackconnolly1000-ux/sec-filing-research-terminal/blob/main/docs/company_history.md" TargetMode="External"/><Relationship Id="rIdSource15" Type="http://schemas.openxmlformats.org/officeDocument/2006/relationships/hyperlink" Target="https://github.com/jackconnolly1000-ux/sec-filing-research-terminal/blob/main/docs/annual_history.md" TargetMode="External"/><Relationship Id="rIdSource16" Type="http://schemas.openxmlformats.org/officeDocument/2006/relationships/hyperlink" Target="https://github.com/jackconnolly1000-ux/sec-filing-research-terminal/blob/main/docs/core_charts.md" TargetMode="External"/><Relationship Id="rIdSource17"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2026-10-17.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At August 31, $7.317B of note and term-loan principal was due over the next twelve months, alongside dated lease and purchase payments. Coverage remains Unavailable: drawable credit, commercial paper and future cash generation are not established, and the dated cash balance is not reserved for these payments.</x:v>
      </x:c>
    </x:row>
    <x:row r="7" ht="76" customHeight="1">
      <x:c r="A7" s="15" t="str">
        <x:v>Near-term obligations</x:v>
      </x:c>
      <x:c r="B7" s="16" t="str">
        <x:v>September 2026–August 2027 principal is $7.317B: $2.250B of notes due April 1, 2027, $563M of term-loan installments and the $4.504B term-loan remainder due August 16, 2027, which Oracle may extend. Commercial paper is undated and Unavailable; the $7.625B of current borrowing is carrying value. September 2026–May 2027 lease and purchase payments are $3.219B operating, $620M finance and $5.449B purchase/other, kept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current drawable credit, commercial paper's balance and dates, future cash generation and commitment overlap. Note and term-loan principal dates are established.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19">
      <x:c r="A19" s="1"/>
      <x:c r="B19" s="1"/>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Annual history</x:v>
      </x:c>
      <x:c r="B25" s="16" t="str">
        <x:v>Five completed fiscal years, sourced inputs and FCF formulas; annual history is separate from the latest TTM.</x:v>
      </x:c>
    </x:row>
    <x:row r="26" ht="44" customHeight="1">
      <x:c r="A26" s="15" t="str">
        <x:v>Core charts</x:v>
      </x:c>
      <x:c r="B26" s="16" t="str">
        <x:v>What remained after capital spending, and how checked cash/borrowing balances changed.</x:v>
      </x:c>
    </x:row>
    <x:row r="27" ht="44" customHeight="1">
      <x:c r="A27" s="15" t="str">
        <x:v>Repayment review</x:v>
      </x:c>
      <x:c r="B27" s="16" t="str">
        <x:v>Dated obligations, possible funding and unresolved availability.</x:v>
      </x:c>
    </x:row>
    <x:row r="28" ht="44" customHeight="1">
      <x:c r="A28" s="15" t="str">
        <x:v>Cash analysis</x:v>
      </x:c>
      <x:c r="B28" s="16" t="str">
        <x:v>Quarter cash bridge, customer prepayments, equity proceeds and historical interest build.</x:v>
      </x:c>
    </x:row>
    <x:row r="29" ht="44" customHeight="1">
      <x:c r="A29" s="15" t="str">
        <x:v>Payment dates</x:v>
      </x:c>
      <x:c r="B29" s="16" t="str">
        <x:v>Contract schedules on their own dates and bases; no combined obligations total.</x:v>
      </x:c>
    </x:row>
    <x:row r="30" ht="44" customHeight="1">
      <x:c r="A30" s="15" t="str">
        <x:v>Debt detail</x:v>
      </x:c>
      <x:c r="B30" s="16" t="str">
        <x:v>Known-principal maturity matrix, fixed coupon bins and instrument composition; CP excluded.</x:v>
      </x:c>
    </x:row>
    <x:row r="31" ht="44" customHeight="1">
      <x:c r="A31" s="15" t="str">
        <x:v>Data</x:v>
      </x:c>
      <x:c r="B31" s="16" t="str">
        <x:v>Reported inputs with filing dates, accessions, tags, contexts and source URLs; separate evidence blocks.</x:v>
      </x:c>
    </x:row>
    <x:row r="32" ht="44" customHeight="1">
      <x:c r="A32" s="17" t="str">
        <x:v>About</x:v>
      </x:c>
      <x:c r="B32" s="18" t="str">
        <x:v>Definitions, source scope, missing values, colors and methodology references.</x:v>
      </x:c>
    </x:row>
    <x:row r="33">
      <x:c r="A33" s="1"/>
      <x:c r="B33" s="1"/>
    </x:row>
    <x:row r="34" ht="55" customHeight="1">
      <x:c r="A34" s="202" t="str">
        <x:v>Units and dates</x:v>
      </x:c>
      <x:c r="B34" s="204" t="str">
        <x:v>Amounts are stored as whole USD and displayed in millions unless marked x or %. Balance sheets are instants; FY and later TTM are overlapping twelve-month windows.</x:v>
      </x:c>
    </x:row>
    <x:row r="35" ht="55" customHeight="1">
      <x:c r="A35" s="25" t="str">
        <x:v>Colors</x:v>
      </x:c>
      <x:c r="B35" s="16" t="str">
        <x:v>Blue numeric cells are reported inputs; green formulas reference other sheets; black formulas calculate within a sheet. Green does not mean favorable or recurring cash.</x:v>
      </x:c>
    </x:row>
    <x:row r="36" ht="55" customHeight="1">
      <x:c r="A36" s="25" t="str">
        <x:v>Evidence and uncertainty</x:v>
      </x:c>
      <x:c r="B36" s="16" t="str">
        <x:v>Data contains source URLs and filing metadata. Select a source URL to open it in a browser. Unavailable is never zero; capacity and later events do not update balance-sheet cash or borrowing.</x:v>
      </x:c>
    </x:row>
    <x:row r="37" ht="55" customHeight="1">
      <x:c r="A37" s="26" t="str">
        <x:v>Reading the charts</x:v>
      </x:c>
      <x:c r="B37" s="18" t="str">
        <x:v>FCF is OCF less capital spending, not another cash flow to add. Vistra FY2025 borrowing uses its checked annual presentation.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c r="F1" s="1"/>
      <x:c r="G1" s="1"/>
      <x:c r="H1" s="1"/>
      <x:c r="I1" s="1"/>
    </x:row>
    <x:row r="2" ht="25" customHeight="1">
      <x:c r="A2" s="7" t="str">
        <x:v>Oracle Corporation borrowing and leases</x:v>
      </x:c>
      <x:c r="B2" s="4"/>
      <x:c r="C2" s="4"/>
      <x:c r="D2" s="4"/>
      <x:c r="E2" s="4"/>
      <x:c r="F2" s="1"/>
      <x:c r="G2" s="1"/>
      <x:c r="H2" s="1"/>
      <x:c r="I2" s="1"/>
    </x:row>
    <x:row r="3" ht="25" customHeight="1">
      <x:c r="A3" s="8" t="str">
        <x:v>Amounts in USD millions. Each balance retains its own date. Baseline borrowing excludes leases.</x:v>
      </x:c>
      <x:c r="B3" s="4"/>
      <x:c r="C3" s="4"/>
      <x:c r="D3" s="4"/>
      <x:c r="E3" s="4"/>
      <x:c r="F3" s="1"/>
      <x:c r="G3" s="1"/>
      <x:c r="H3" s="1"/>
      <x:c r="I3" s="1"/>
    </x:row>
    <x:row r="4" ht="12" customHeight="1">
      <x:c r="A4" s="4"/>
      <x:c r="B4" s="4"/>
      <x:c r="C4" s="4"/>
      <x:c r="D4" s="4"/>
      <x:c r="E4" s="4"/>
      <x:c r="F4" s="1"/>
      <x:c r="G4" s="1"/>
      <x:c r="H4" s="1"/>
      <x:c r="I4" s="1"/>
    </x:row>
    <x:row r="5" ht="28" customHeight="1">
      <x:c r="A5" s="13" t="str">
        <x:v>Borrowing component</x:v>
      </x:c>
      <x:c r="B5" s="219" t="str">
        <x:v>USD millions</x:v>
      </x:c>
      <x:c r="C5" s="219" t="str">
        <x:v>As of</x:v>
      </x:c>
      <x:c r="D5" s="219" t="str">
        <x:v>Source / filing</x:v>
      </x:c>
      <x:c r="E5" s="14" t="str">
        <x:v>Basis</x:v>
      </x:c>
      <x:c r="F5" s="1"/>
      <x:c r="G5" s="1"/>
      <x:c r="H5" s="1"/>
      <x:c r="I5" s="1"/>
    </x:row>
    <x:row r="6" ht="42" customHeight="1">
      <x:c r="A6" s="25" t="str">
        <x:v>Current notes and other borrowing — instrument split unavailable</x:v>
      </x:c>
      <x:c r="B6" s="227" t="n">
        <x:f>IF(ISNUMBER('Data'!B104),'Data'!B104,NA())</x:f>
        <x:v>7625000000</x:v>
      </x:c>
      <x:c r="C6" s="228" t="d">
        <x:v>2026-08-31T00:00:00.000Z</x:v>
      </x:c>
      <x:c r="D6" s="205" t="str">
        <x:v>10-Q balance sheet, p. 1; filed 2026-09-11</x:v>
      </x:c>
      <x:c r="E6" s="16" t="str">
        <x:v>Notes payable and other borrowings, current</x:v>
      </x:c>
      <x:c r="F6" s="1"/>
      <x:c r="G6" s="1"/>
      <x:c r="H6" s="1"/>
      <x:c r="I6" s="1"/>
    </x:row>
    <x:row r="7" ht="42" customHeight="1">
      <x:c r="A7" s="25" t="str">
        <x:v>Noncurrent borrowing</x:v>
      </x:c>
      <x:c r="B7" s="227" t="n">
        <x:f>IF(ISNUMBER('Data'!B105),'Data'!B105,NA())</x:f>
        <x:v>117712000000</x:v>
      </x:c>
      <x:c r="C7" s="228" t="d">
        <x:v>2026-08-31T00:00:00.000Z</x:v>
      </x:c>
      <x:c r="D7" s="205" t="str">
        <x:v>10-Q balance sheet, p. 1; filed 2026-09-11</x:v>
      </x:c>
      <x:c r="E7" s="16" t="str">
        <x:v>Notes payable and other borrowings, non-current</x:v>
      </x:c>
      <x:c r="F7" s="1"/>
      <x:c r="G7" s="1"/>
      <x:c r="H7" s="1"/>
      <x:c r="I7" s="1"/>
    </x:row>
    <x:row r="8" ht="42" customHeight="1">
      <x:c r="A8" s="257" t="str">
        <x:v>Baseline gross debt</x:v>
      </x:c>
      <x:c r="B8" s="258" t="n">
        <x:f>SUM(B6:B7)</x:f>
        <x:v>125337000000</x:v>
      </x:c>
      <x:c r="C8" s="259" t="d">
        <x:v>2026-08-31T00:00:00.000Z</x:v>
      </x:c>
      <x:c r="D8" s="260" t="str">
        <x:v>Derived from the components above</x:v>
      </x:c>
      <x:c r="E8" s="261" t="str">
        <x:v>Carrying amount; excludes leases.</x:v>
      </x:c>
      <x:c r="F8" s="1"/>
      <x:c r="G8" s="1"/>
      <x:c r="H8" s="1"/>
      <x:c r="I8" s="1"/>
    </x:row>
    <x:row r="9" ht="12" customHeight="1">
      <x:c r="A9" s="4"/>
      <x:c r="B9" s="224"/>
      <x:c r="C9" s="226"/>
      <x:c r="D9" s="4"/>
      <x:c r="E9" s="4"/>
      <x:c r="F9" s="1"/>
      <x:c r="G9" s="1"/>
      <x:c r="H9" s="1"/>
      <x:c r="I9" s="1"/>
    </x:row>
    <x:row r="10" ht="58" customHeight="1">
      <x:c r="A10" s="4" t="str">
        <x:v>Borrowing scope</x:v>
      </x:c>
      <x:c r="B10" s="224"/>
      <x:c r="C10" s="226"/>
      <x:c r="D10" s="4"/>
      <x:c r="E10" s="4" t="str">
        <x:v>The 10-Q does not split these borrowing lines by instrument. Commercial paper and the capex-financing balance remain Unavailable. The rounded $125.0B disclosure is not added.</x:v>
      </x:c>
      <x:c r="F10" s="1"/>
      <x:c r="G10" s="1"/>
      <x:c r="H10" s="1"/>
      <x:c r="I10" s="1"/>
    </x:row>
    <x:row r="11" ht="12" customHeight="1">
      <x:c r="A11" s="4"/>
      <x:c r="B11" s="224"/>
      <x:c r="C11" s="226"/>
      <x:c r="D11" s="4"/>
      <x:c r="E11" s="4"/>
      <x:c r="F11" s="1"/>
      <x:c r="G11" s="1"/>
      <x:c r="H11" s="1"/>
      <x:c r="I11" s="1"/>
    </x:row>
    <x:row r="12" ht="12" customHeight="1">
      <x:c r="A12" s="4"/>
      <x:c r="B12" s="224"/>
      <x:c r="C12" s="226"/>
      <x:c r="D12" s="4"/>
      <x:c r="E12" s="4"/>
      <x:c r="F12" s="1"/>
      <x:c r="G12" s="1"/>
      <x:c r="H12" s="1"/>
      <x:c r="I12" s="1"/>
    </x:row>
    <x:row r="13" ht="28" customHeight="1">
      <x:c r="A13" s="13" t="str">
        <x:v>Lease liability / commitment</x:v>
      </x:c>
      <x:c r="B13" s="245" t="str">
        <x:v>USD millions</x:v>
      </x:c>
      <x:c r="C13" s="246" t="str">
        <x:v>As of</x:v>
      </x:c>
      <x:c r="D13" s="219" t="str">
        <x:v>Source / filing</x:v>
      </x:c>
      <x:c r="E13" s="14" t="str">
        <x:v>Basis / Unavailable reason</x:v>
      </x:c>
      <x:c r="F13" s="1"/>
      <x:c r="G13" s="1"/>
      <x:c r="H13" s="1"/>
      <x:c r="I13" s="1"/>
    </x:row>
    <x:row r="14" ht="42" customHeight="1">
      <x:c r="A14" s="25" t="str">
        <x:v>Operating lease liabilities — current</x:v>
      </x:c>
      <x:c r="B14" s="227" t="n">
        <x:f>IF(ISNUMBER('Data'!B106),'Data'!B106,NA())</x:f>
        <x:v>4027000000</x:v>
      </x:c>
      <x:c r="C14" s="228" t="d">
        <x:v>2026-08-31T00:00:00.000Z</x:v>
      </x:c>
      <x:c r="D14" s="205" t="str">
        <x:v>10-Q Note 6, pp. 12–13; filed 2026-09-11</x:v>
      </x:c>
      <x:c r="E14" s="16" t="str">
        <x:v>Recognized lease liability; excluded from baseline borrowing.</x:v>
      </x:c>
      <x:c r="F14" s="1"/>
      <x:c r="G14" s="1"/>
      <x:c r="H14" s="1"/>
      <x:c r="I14" s="1"/>
    </x:row>
    <x:row r="15" ht="42" customHeight="1">
      <x:c r="A15" s="25" t="str">
        <x:v>Operating lease liabilities — noncurrent</x:v>
      </x:c>
      <x:c r="B15" s="227" t="n">
        <x:f>IF(ISNUMBER('Data'!B107),'Data'!B107,NA())</x:f>
        <x:v>30594000000</x:v>
      </x:c>
      <x:c r="C15" s="228" t="d">
        <x:v>2026-08-31T00:00:00.000Z</x:v>
      </x:c>
      <x:c r="D15" s="205" t="str">
        <x:v>10-Q Note 6, pp. 12–13; filed 2026-09-11</x:v>
      </x:c>
      <x:c r="E15" s="16" t="str">
        <x:v>Recognized lease liability; excluded from baseline borrowing.</x:v>
      </x:c>
      <x:c r="F15" s="1"/>
      <x:c r="G15" s="1"/>
      <x:c r="H15" s="1"/>
      <x:c r="I15" s="1"/>
    </x:row>
    <x:row r="16" ht="42" customHeight="1">
      <x:c r="A16" s="266" t="str">
        <x:v>Operating lease liabilities — total</x:v>
      </x:c>
      <x:c r="B16" s="267" t="n">
        <x:f>B14+B15</x:f>
        <x:v>34621000000</x:v>
      </x:c>
      <x:c r="C16" s="268" t="d">
        <x:v>2026-08-31T00:00:00.000Z</x:v>
      </x:c>
      <x:c r="D16" s="269" t="str">
        <x:v>10-Q Note 6, pp. 12–13</x:v>
      </x:c>
      <x:c r="E16" s="270" t="str">
        <x:v>Components match the reported total.</x:v>
      </x:c>
      <x:c r="F16" s="1"/>
      <x:c r="G16" s="1"/>
      <x:c r="H16" s="1"/>
      <x:c r="I16" s="1"/>
    </x:row>
    <x:row r="17" ht="42" customHeight="1">
      <x:c r="A17" s="25" t="str">
        <x:v>Finance lease liabilities — current</x:v>
      </x:c>
      <x:c r="B17" s="227" t="n">
        <x:f>IF(ISNUMBER('Data'!B109),'Data'!B109,NA())</x:f>
        <x:v>749000000</x:v>
      </x:c>
      <x:c r="C17" s="228" t="d">
        <x:v>2026-08-31T00:00:00.000Z</x:v>
      </x:c>
      <x:c r="D17" s="205" t="str">
        <x:v>10-Q Note 6, pp. 12–13; filed 2026-09-11</x:v>
      </x:c>
      <x:c r="E17" s="16" t="str">
        <x:v>Recognized lease liability; excluded from baseline borrowing.</x:v>
      </x:c>
      <x:c r="F17" s="1"/>
      <x:c r="G17" s="1"/>
      <x:c r="H17" s="1"/>
      <x:c r="I17" s="1"/>
    </x:row>
    <x:row r="18" ht="42" customHeight="1">
      <x:c r="A18" s="25" t="str">
        <x:v>Finance lease liabilities — noncurrent</x:v>
      </x:c>
      <x:c r="B18" s="227" t="n">
        <x:f>IF(ISNUMBER('Data'!B110),'Data'!B110,NA())</x:f>
        <x:v>8436000000</x:v>
      </x:c>
      <x:c r="C18" s="228" t="d">
        <x:v>2026-08-31T00:00:00.000Z</x:v>
      </x:c>
      <x:c r="D18" s="205" t="str">
        <x:v>10-Q Note 6, pp. 12–13; filed 2026-09-11</x:v>
      </x:c>
      <x:c r="E18" s="16" t="str">
        <x:v>Recognized lease liability; excluded from baseline borrowing.</x:v>
      </x:c>
      <x:c r="F18" s="1"/>
      <x:c r="G18" s="1"/>
      <x:c r="H18" s="1"/>
      <x:c r="I18" s="1"/>
    </x:row>
    <x:row r="19" ht="42" customHeight="1">
      <x:c r="A19" s="257" t="str">
        <x:v>Finance lease liabilities — total</x:v>
      </x:c>
      <x:c r="B19" s="258" t="n">
        <x:f>B17+B18</x:f>
        <x:v>9185000000</x:v>
      </x:c>
      <x:c r="C19" s="259" t="d">
        <x:v>2026-08-31T00:00:00.000Z</x:v>
      </x:c>
      <x:c r="D19" s="260" t="str">
        <x:v>10-Q Note 6, pp. 12–13</x:v>
      </x:c>
      <x:c r="E19" s="261" t="str">
        <x:v>Components match the reported total.</x:v>
      </x:c>
      <x:c r="F19" s="1"/>
      <x:c r="G19" s="1"/>
      <x:c r="H19" s="1"/>
      <x:c r="I19" s="1"/>
    </x:row>
    <x:row r="20" ht="12" customHeight="1">
      <x:c r="A20" s="4"/>
      <x:c r="B20" s="224"/>
      <x:c r="C20" s="226"/>
      <x:c r="D20" s="4"/>
      <x:c r="E20" s="4"/>
      <x:c r="F20" s="1"/>
      <x:c r="G20" s="1"/>
      <x:c r="H20" s="1"/>
      <x:c r="I20" s="1"/>
    </x:row>
    <x:row r="21" ht="54" customHeight="1">
      <x:c r="A21" s="248" t="str">
        <x:v>Leases not yet commenced</x:v>
      </x:c>
      <x:c r="B21" s="249" t="n">
        <x:f>IF(ISNUMBER('Data'!B112),'Data'!B112,NA())</x:f>
        <x:v>288000000000</x:v>
      </x:c>
      <x:c r="C21" s="250" t="d">
        <x:v>2026-08-31T00:00:00.000Z</x:v>
      </x:c>
      <x:c r="D21" s="251" t="str">
        <x:v>10-Q Note 6, p. 13</x:v>
      </x:c>
      <x:c r="E21" s="252" t="str">
        <x:v>Amount reported in rounded billions. Future commitment, not a recognized lease liability. Expected to commence Q2 fiscal 2027–fiscal 2029, with 15–19 year terms. Annual payment timing is Unavailable.</x:v>
      </x:c>
      <x:c r="F21" s="1"/>
      <x:c r="G21" s="1"/>
      <x:c r="H21" s="1"/>
      <x:c r="I21" s="1"/>
    </x:row>
    <x:row r="22">
      <x:c r="A22" s="1"/>
      <x:c r="B22" s="1"/>
      <x:c r="C22" s="1"/>
      <x:c r="D22" s="1"/>
      <x:c r="E22" s="1"/>
      <x:c r="F22" s="1"/>
      <x:c r="G22" s="1"/>
      <x:c r="H22" s="1"/>
      <x:c r="I22" s="1"/>
    </x:row>
    <x:row r="23">
      <x:c r="A23" s="1"/>
      <x:c r="B23" s="1"/>
      <x:c r="C23" s="1"/>
      <x:c r="D23" s="1"/>
      <x:c r="E23" s="1"/>
      <x:c r="F23" s="1"/>
      <x:c r="G23" s="1"/>
      <x:c r="H23" s="1"/>
      <x:c r="I23" s="1"/>
    </x:row>
    <x:row r="24">
      <x:c r="A24" s="1"/>
      <x:c r="B24" s="1"/>
      <x:c r="C24" s="1"/>
      <x:c r="D24" s="1"/>
      <x:c r="E24" s="1"/>
      <x:c r="F24" s="1"/>
      <x:c r="G24" s="1"/>
      <x:c r="H24" s="1"/>
      <x:c r="I24" s="1"/>
    </x:row>
    <x:row r="25">
      <x:c r="A25" s="1"/>
      <x:c r="B25" s="1"/>
      <x:c r="C25" s="1"/>
      <x:c r="D25" s="1"/>
      <x:c r="E25" s="1"/>
      <x:c r="F25" s="1"/>
      <x:c r="G25" s="1"/>
      <x:c r="H25" s="1"/>
      <x:c r="I25" s="1"/>
    </x:row>
    <x:row r="26">
      <x:c r="A26" s="1"/>
      <x:c r="B26" s="1"/>
      <x:c r="C26" s="1"/>
      <x:c r="D26" s="1"/>
      <x:c r="E26" s="1"/>
      <x:c r="F26" s="1"/>
      <x:c r="G26" s="1"/>
      <x:c r="H26" s="1"/>
      <x:c r="I26" s="1"/>
    </x:row>
    <x:row r="27" ht="44" customHeight="1">
      <x:c r="A27" s="5" t="str">
        <x:v>Short-term funding structure — included in baseline borrowing</x:v>
      </x:c>
      <x:c r="B27" s="4"/>
      <x:c r="C27" s="4"/>
      <x:c r="D27" s="4"/>
      <x:c r="E27" s="4"/>
      <x:c r="F27" s="1"/>
      <x:c r="G27" s="1"/>
      <x:c r="H27" s="1"/>
      <x:c r="I27" s="1"/>
    </x:row>
    <x:row r="28" ht="44" customHeight="1">
      <x:c r="A28" s="13" t="str">
        <x:v>Item</x:v>
      </x:c>
      <x:c r="B28" s="219" t="str">
        <x:v>USD millions</x:v>
      </x:c>
      <x:c r="C28" s="219" t="str">
        <x:v>As of</x:v>
      </x:c>
      <x:c r="D28" s="219" t="str">
        <x:v>Status</x:v>
      </x:c>
      <x:c r="E28" s="14" t="str">
        <x:v>Basis / source</x:v>
      </x:c>
      <x:c r="F28" s="1"/>
      <x:c r="G28" s="1"/>
      <x:c r="H28" s="1"/>
      <x:c r="I28" s="1"/>
    </x:row>
    <x:row r="29" ht="44" customHeight="1">
      <x:c r="A29" s="25" t="str">
        <x:v>Current notes and other borrowing</x:v>
      </x:c>
      <x:c r="B29" s="227" t="n">
        <x:f>IF(ISNUMBER('Data'!B113),'Data'!B113,NA())</x:f>
        <x:v>7625000000</x:v>
      </x:c>
      <x:c r="C29" s="228" t="d">
        <x:v>2026-08-31T00:00:00.000Z</x:v>
      </x:c>
      <x:c r="D29" s="205" t="str">
        <x:v>Reported</x:v>
      </x:c>
      <x:c r="E29" s="16" t="str">
        <x:v>Combined carrying amount; not an instrument breakdown.</x:v>
      </x:c>
      <x:c r="F29" s="1"/>
      <x:c r="G29" s="1"/>
      <x:c r="H29" s="1"/>
      <x:c r="I29" s="1"/>
    </x:row>
    <x:row r="30" ht="44" customHeight="1">
      <x:c r="A30" s="25" t="str">
        <x:v>Commercial paper at August 31</x:v>
      </x:c>
      <x:c r="B30" s="227" t="str">
        <x:v>Unavailable</x:v>
      </x:c>
      <x:c r="C30" s="228" t="d">
        <x:v>2026-08-31T00:00:00.000Z</x:v>
      </x:c>
      <x:c r="D30" s="205" t="str">
        <x:v>Unavailable</x:v>
      </x:c>
      <x:c r="E30" s="16" t="str">
        <x:v>No exact separately reported balance in the checked 10-Q.</x:v>
      </x:c>
      <x:c r="F30" s="1"/>
      <x:c r="G30" s="1"/>
      <x:c r="H30" s="1"/>
      <x:c r="I30" s="1"/>
    </x:row>
    <x:row r="31" ht="44" customHeight="1">
      <x:c r="A31" s="25" t="str">
        <x:v>Current long-term borrowing split</x:v>
      </x:c>
      <x:c r="B31" s="227" t="str">
        <x:v>Unavailable</x:v>
      </x:c>
      <x:c r="C31" s="228" t="d">
        <x:v>2026-08-31T00:00:00.000Z</x:v>
      </x:c>
      <x:c r="D31" s="205" t="str">
        <x:v>Unavailable</x:v>
      </x:c>
      <x:c r="E31" s="16" t="str">
        <x:v>Not inferred by subtracting principal from carrying value.</x:v>
      </x:c>
      <x:c r="F31" s="1"/>
      <x:c r="G31" s="1"/>
      <x:c r="H31" s="1"/>
      <x:c r="I31" s="1"/>
    </x:row>
    <x:row r="32" ht="44" customHeight="1">
      <x:c r="A32" s="26"/>
      <x:c r="B32" s="229"/>
      <x:c r="C32" s="230"/>
      <x:c r="D32" s="206"/>
      <x:c r="E32" s="18"/>
      <x:c r="F32" s="1"/>
      <x:c r="G32" s="1"/>
      <x:c r="H32" s="1"/>
      <x:c r="I32" s="1"/>
    </x:row>
    <x:row r="33" ht="44" customHeight="1">
      <x:c r="A33" s="4"/>
      <x:c r="B33" s="4"/>
      <x:c r="C33" s="4"/>
      <x:c r="D33" s="4"/>
      <x:c r="E33" s="4"/>
      <x:c r="F33" s="1"/>
      <x:c r="G33" s="1"/>
      <x:c r="H33" s="1"/>
      <x:c r="I33" s="1"/>
    </x:row>
    <x:row r="34" ht="200" customHeight="1">
      <x:c r="A34" s="4" t="str">
        <x:v>Funding structure</x:v>
      </x:c>
      <x:c r="B34" s="4"/>
      <x:c r="C34" s="4"/>
      <x:c r="D34" s="4"/>
      <x:c r="E34" s="4" t="str">
        <x:v>Current borrowing is a combined carrying amount. Oracle reported $7.625B at August 31, 2026 without an instrument split. The checked calendar identifies $7.317B of note and term-loan principal due over the next twelve months, excluding commercial paper. These bases differ: subtraction cannot establish CP. May CP of $1.468B and an undrawn $10B revolver are historical; August CP and drawable revolver capacity remain Unavailable.</x:v>
      </x:c>
      <x:c r="F34" s="1"/>
      <x:c r="G34" s="1"/>
      <x:c r="H34" s="1"/>
      <x:c r="I34" s="1"/>
    </x:row>
    <x:row r="35" ht="44" customHeight="1">
      <x:c r="A35" s="4"/>
      <x:c r="B35" s="4"/>
      <x:c r="C35" s="4"/>
      <x:c r="D35" s="4"/>
      <x:c r="E35" s="4"/>
      <x:c r="F35" s="1"/>
      <x:c r="G35" s="1"/>
      <x:c r="H35" s="1"/>
      <x:c r="I35" s="1"/>
    </x:row>
    <x:row r="36" ht="44" customHeight="1">
      <x:c r="A36" s="4"/>
      <x:c r="B36" s="4"/>
      <x:c r="C36" s="4"/>
      <x:c r="D36" s="4"/>
      <x:c r="E36" s="4"/>
      <x:c r="F36" s="1"/>
      <x:c r="G36" s="1"/>
      <x:c r="H36" s="1"/>
      <x:c r="I36" s="1"/>
    </x:row>
    <x:row r="37" ht="44" customHeight="1">
      <x:c r="A37" s="4"/>
      <x:c r="B37" s="4"/>
      <x:c r="C37" s="4"/>
      <x:c r="D37" s="4"/>
      <x:c r="E37" s="4"/>
      <x:c r="F37" s="1"/>
      <x:c r="G37" s="1"/>
      <x:c r="H37" s="1"/>
      <x:c r="I37" s="1"/>
    </x:row>
    <x:row r="38" ht="44" customHeight="1">
      <x:c r="A38" s="4"/>
      <x:c r="B38" s="4"/>
      <x:c r="C38" s="4"/>
      <x:c r="D38" s="4"/>
      <x:c r="E38" s="4"/>
      <x:c r="F38" s="1"/>
      <x:c r="G38" s="1"/>
      <x:c r="H38" s="1"/>
      <x:c r="I38" s="1"/>
    </x:row>
    <x:row r="39" ht="44" customHeight="1">
      <x:c r="A39" s="4"/>
      <x:c r="B39" s="4"/>
      <x:c r="C39" s="4"/>
      <x:c r="D39" s="4"/>
      <x:c r="E39" s="4"/>
      <x:c r="F39" s="1"/>
      <x:c r="G39" s="1"/>
      <x:c r="H39" s="1"/>
      <x:c r="I39" s="1"/>
    </x:row>
    <x:row r="40" ht="44" customHeight="1">
      <x:c r="A40" s="4"/>
      <x:c r="B40" s="4"/>
      <x:c r="C40" s="4"/>
      <x:c r="D40" s="4"/>
      <x:c r="E40" s="4"/>
      <x:c r="F40" s="1"/>
      <x:c r="G40" s="1"/>
      <x:c r="H40" s="1"/>
      <x:c r="I40" s="1"/>
    </x:row>
    <x:row r="41" ht="44" customHeight="1">
      <x:c r="A41" s="4"/>
      <x:c r="B41" s="4"/>
      <x:c r="C41" s="4"/>
      <x:c r="D41" s="4"/>
      <x:c r="E41" s="4"/>
      <x:c r="F41" s="1"/>
      <x:c r="G41" s="1"/>
      <x:c r="H41" s="1"/>
      <x:c r="I41" s="1"/>
    </x:row>
    <x:row r="42" ht="44" customHeight="1">
      <x:c r="A42" s="4"/>
      <x:c r="B42" s="4"/>
      <x:c r="C42" s="4"/>
      <x:c r="D42" s="4"/>
      <x:c r="E42" s="4"/>
      <x:c r="F42" s="1"/>
      <x:c r="G42" s="1"/>
      <x:c r="H42" s="1"/>
      <x:c r="I42" s="1"/>
    </x:row>
    <x:row r="43" ht="44" customHeight="1">
      <x:c r="A43" s="4"/>
      <x:c r="B43" s="4"/>
      <x:c r="C43" s="4"/>
      <x:c r="D43" s="4"/>
      <x:c r="E43" s="4"/>
      <x:c r="F43" s="1"/>
      <x:c r="G43" s="1"/>
      <x:c r="H43" s="1"/>
      <x:c r="I43" s="1"/>
    </x:row>
    <x:row r="44" ht="44" customHeight="1">
      <x:c r="A44" s="13" t="str">
        <x:v>Liability classification</x:v>
      </x:c>
      <x:c r="B44" s="219" t="str">
        <x:v>USD millions</x:v>
      </x:c>
      <x:c r="C44" s="219" t="str">
        <x:v>As of</x:v>
      </x:c>
      <x:c r="D44" s="219" t="str">
        <x:v>Status</x:v>
      </x:c>
      <x:c r="E44" s="14" t="str">
        <x:v>Source / basis</x:v>
      </x:c>
      <x:c r="F44" s="1"/>
      <x:c r="G44" s="1" t="str">
        <x:v>As of</x:v>
      </x:c>
      <x:c r="H44" s="1" t="str">
        <x:v>Current liabilities</x:v>
      </x:c>
      <x:c r="I44" s="1" t="str">
        <x:v>Noncurrent liabilities</x:v>
      </x:c>
    </x:row>
    <x:row r="45" ht="44" customHeight="1">
      <x:c r="A45" s="25" t="str">
        <x:v>Current liabilities</x:v>
      </x:c>
      <x:c r="B45" s="227" t="n">
        <x:f>IF(ISNUMBER('Data'!B114),'Data'!B114,NA())</x:f>
        <x:v>47514000000</x:v>
      </x:c>
      <x:c r="C45" s="228" t="d">
        <x:v>2026-08-31T00:00:00.000Z</x:v>
      </x:c>
      <x:c r="D45" s="205" t="str">
        <x:v>Reported</x:v>
      </x:c>
      <x:c r="E45" s="16" t="str">
        <x:v>Balance sheet, p. 1</x:v>
      </x:c>
      <x:c r="F45" s="1"/>
      <x:c r="G45" s="36" t="str">
        <x:v>2026-08-31</x:v>
      </x:c>
      <x:c r="H45" s="45" t="n">
        <x:f>B45</x:f>
        <x:v>47514000000</x:v>
      </x:c>
      <x:c r="I45" s="45" t="n">
        <x:f>B46</x:f>
        <x:v>188549000000</x:v>
      </x:c>
    </x:row>
    <x:row r="46" ht="44" customHeight="1">
      <x:c r="A46" s="25" t="str">
        <x:v>Noncurrent liabilities</x:v>
      </x:c>
      <x:c r="B46" s="227" t="n">
        <x:f>IF(ISNUMBER('Data'!B115),'Data'!B115,NA())</x:f>
        <x:v>188549000000</x:v>
      </x:c>
      <x:c r="C46" s="228" t="d">
        <x:v>2026-08-31T00:00:00.000Z</x:v>
      </x:c>
      <x:c r="D46" s="205" t="str">
        <x:v>Reported</x:v>
      </x:c>
      <x:c r="E46" s="16" t="str">
        <x:v>Balance sheet, p. 1</x:v>
      </x:c>
      <x:c r="F46" s="1"/>
      <x:c r="G46" s="1"/>
      <x:c r="H46" s="1"/>
      <x:c r="I46" s="1"/>
    </x:row>
    <x:row r="47" ht="44" customHeight="1">
      <x:c r="A47" s="26" t="str">
        <x:v>Total liabilities</x:v>
      </x:c>
      <x:c r="B47" s="231" t="n">
        <x:f>SUM(B45:B46)</x:f>
        <x:v>236063000000</x:v>
      </x:c>
      <x:c r="C47" s="230" t="d">
        <x:v>2026-08-31T00:00:00.000Z</x:v>
      </x:c>
      <x:c r="D47" s="206" t="str">
        <x:v>Derived</x:v>
      </x:c>
      <x:c r="E47" s="18" t="str">
        <x:v>Current plus noncurrent; includes borrowing and recognized leases. Do not add them again.</x:v>
      </x:c>
      <x:c r="F47" s="1"/>
      <x:c r="G47" s="1"/>
      <x:c r="H47" s="1"/>
      <x:c r="I47" s="1"/>
    </x:row>
  </x:sheetData>
  <x:pageMargins left="0.7" right="0.7" top="0.75" bottom="0.75" header="0.3" footer="0.3"/>
  <x:drawing xmlns:r="http://schemas.openxmlformats.org/officeDocument/2006/relationships" r:id="Ra2172dbcfd3744bf"/>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531" t="str">
        <x:v>Oracle Corporation</x:v>
      </x:c>
      <x:c r="B2" s="1"/>
      <x:c r="C2" s="1"/>
      <x:c r="D2" s="1"/>
    </x:row>
    <x:row r="3">
      <x:c r="A3" s="532" t="str">
        <x:v>Balance sheet 2026-08-31. TTM 2025-09-01 to 2026-08-31. USD millions, except ratios (x) and percentages (%).</x:v>
      </x:c>
      <x:c r="B3" s="1"/>
      <x:c r="C3" s="1"/>
      <x:c r="D3" s="1"/>
    </x:row>
    <x:row r="4">
      <x:c r="A4" s="1"/>
      <x:c r="B4" s="1"/>
      <x:c r="C4" s="1"/>
      <x:c r="D4" s="1"/>
    </x:row>
    <x:row r="5">
      <x:c r="A5" s="13" t="str">
        <x:v>Measure</x:v>
      </x:c>
      <x:c r="B5" s="219" t="str">
        <x:v>Value (USD millions / x / %)</x:v>
      </x:c>
      <x:c r="C5" s="219" t="str">
        <x:v>Period end</x:v>
      </x:c>
      <x:c r="D5" s="14" t="str">
        <x:v>Formula / basis / limitation</x:v>
      </x:c>
    </x:row>
    <x:row r="6" ht="50" customHeight="1">
      <x:c r="A6" s="25" t="str">
        <x:v>Cash and cash equivalents</x:v>
      </x:c>
      <x:c r="B6" s="227" t="n">
        <x:f>IF(ISNUMBER('Data'!B119),'Data'!B119,NA())</x:f>
        <x:v>36369000000</x:v>
      </x:c>
      <x:c r="C6" s="228" t="d">
        <x:v>2026-08-31T00:00:00.000Z</x:v>
      </x:c>
      <x:c r="D6" s="298" t="str">
        <x:v>Cash and cash equivalents excluding restricted cash. Investments are not substituted.</x:v>
      </x:c>
    </x:row>
    <x:row r="7" ht="118" customHeight="1">
      <x:c r="A7" s="266" t="str">
        <x:v>Baseline gross debt</x:v>
      </x:c>
      <x:c r="B7" s="297" t="n">
        <x:f>IF(AND(IF(ISNUMBER('Data'!B120),'Data'!B120,NA())&gt;=0,IF(ISNUMBER('Data'!B121),'Data'!B121,NA())&gt;=0),IF(ISNUMBER('Data'!B120),'Data'!B120,NA())+IF(ISNUMBER('Data'!B121),'Data'!B121,NA()),NA())</x:f>
        <x:v>125337000000</x:v>
      </x:c>
      <x:c r="C7" s="268" t="d">
        <x:v>2026-08-31T00:00:00.000Z</x:v>
      </x:c>
      <x:c r="D7" s="299"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266" t="str">
        <x:v>Net debt</x:v>
      </x:c>
      <x:c r="B8" s="267" t="n">
        <x:f>B7-B6</x:f>
        <x:v>88968000000</x:v>
      </x:c>
      <x:c r="C8" s="268" t="d">
        <x:v>2026-08-31T00:00:00.000Z</x:v>
      </x:c>
      <x:c r="D8" s="299" t="str">
        <x:v>Baseline borrowing less cash excluding restricted cash. Same date and filing. Negative net debt is retained.</x:v>
      </x:c>
    </x:row>
    <x:row r="9" ht="53" customHeight="1">
      <x:c r="A9" s="25" t="str">
        <x:v>Current ratio</x:v>
      </x:c>
      <x:c r="B9" s="293" t="n">
        <x:f>IF(IF(ISNUMBER('Data'!B122),'Data'!B122,NA())&gt;0,IF(ISNUMBER('Data'!B123),'Data'!B123,NA())/IF(ISNUMBER('Data'!B122),'Data'!B122,NA()),NA())</x:f>
        <x:v>1.1708128130656228</x:v>
      </x:c>
      <x:c r="C9" s="228" t="d">
        <x:v>2026-08-31T00:00:00.000Z</x:v>
      </x:c>
      <x:c r="D9" s="298" t="str">
        <x:v>Total current assets / total current liabilities from one balance sheet. Liabilities include more than borrowing; assets include more than cash.</x:v>
      </x:c>
    </x:row>
    <x:row r="10" ht="66" customHeight="1">
      <x:c r="A10" s="25" t="str">
        <x:v>Operating cash flow</x:v>
      </x:c>
      <x:c r="B10" s="227" t="n">
        <x:f>(1*IF(ISNUMBER('Data'!B124),'Data'!B124,NA()))+(1*IF(ISNUMBER('Data'!B125),'Data'!B125,NA()))+(-1*IF(ISNUMBER('Data'!B126),'Data'!B126,NA()))</x:f>
        <x:v>46940000000</x:v>
      </x:c>
      <x:c r="C10" s="228" t="d">
        <x:v>2026-08-31T00:00:00.000Z</x:v>
      </x:c>
      <x:c r="D10" s="298"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25" t="str">
        <x:v>Capital expenditures</x:v>
      </x:c>
      <x:c r="B11" s="227" t="n">
        <x:f>(1*IF(ISNUMBER('Data'!B127),'Data'!B127,NA()))+(1*IF(ISNUMBER('Data'!B128),'Data'!B128,NA()))+(-1*IF(ISNUMBER('Data'!B129),'Data'!B129,NA()))</x:f>
        <x:v>75660000000</x:v>
      </x:c>
      <x:c r="C11" s="228" t="d">
        <x:v>2026-08-31T00:00:00.000Z</x:v>
      </x:c>
      <x:c r="D11" s="298" t="str">
        <x:v>Cash capital expenditures. Capex-financing cash flows are not added.</x:v>
      </x:c>
    </x:row>
    <x:row r="12" ht="50" customHeight="1">
      <x:c r="A12" s="266" t="str">
        <x:v>Free cash flow</x:v>
      </x:c>
      <x:c r="B12" s="267" t="n">
        <x:f>B10-B11</x:f>
        <x:v>-28720000000</x:v>
      </x:c>
      <x:c r="C12" s="268" t="d">
        <x:v>2026-08-31T00:00:00.000Z</x:v>
      </x:c>
      <x:c r="D12" s="299" t="str">
        <x:v>OCF less reported capital spending. Uses the spending basis above; excludes acquisitions, dividends and other cash uses.</x:v>
      </x:c>
    </x:row>
    <x:row r="13" ht="50" customHeight="1">
      <x:c r="A13" s="25" t="str">
        <x:v>Operating cash flow / debt</x:v>
      </x:c>
      <x:c r="B13" s="294" t="n">
        <x:f>IF(B7&gt;0,B10/B7,NA())</x:f>
        <x:v>0.37451032017680336</x:v>
      </x:c>
      <x:c r="C13" s="228" t="d">
        <x:v>2026-08-31T00:00:00.000Z</x:v>
      </x:c>
      <x:c r="D13" s="298" t="str">
        <x:v>Historical TTM OCF / period-end baseline borrowing, not average debt or repayment coverage. The reported OCF basis above is retained.</x:v>
      </x:c>
    </x:row>
    <x:row r="14" ht="50" customHeight="1">
      <x:c r="A14" s="25" t="str">
        <x:v>Free cash flow / debt</x:v>
      </x:c>
      <x:c r="B14" s="294" t="n">
        <x:f>IF(B7&gt;0,B12/B7,NA())</x:f>
        <x:v>-0.22914223254106927</x:v>
      </x:c>
      <x:c r="C14" s="228" t="d">
        <x:v>2026-08-31T00:00:00.000Z</x:v>
      </x:c>
      <x:c r="D14" s="298" t="str">
        <x:v>Historical TTM FCF / period-end baseline borrowing. Uses the spending basis above; not repayment coverage.</x:v>
      </x:c>
    </x:row>
    <x:row r="15" ht="79" customHeight="1">
      <x:c r="A15" s="26" t="str">
        <x:v>Historical interest coverage</x:v>
      </x:c>
      <x:c r="B15" s="295" t="n">
        <x:f>'Cash analysis'!B49</x:f>
        <x:v>4.517437304075235</x:v>
      </x:c>
      <x:c r="C15" s="230" t="d">
        <x:v>2026-08-31T00:00:00.000Z</x:v>
      </x:c>
      <x:c r="D15" s="300"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6">
      <x:c r="A16" s="1"/>
      <x:c r="B16" s="1"/>
      <x:c r="C16" s="1"/>
      <x:c r="D16" s="1"/>
    </x:row>
    <x:row r="17">
      <x:c r="A17" s="13" t="str">
        <x:v>Method</x:v>
      </x:c>
      <x:c r="B17" s="219"/>
      <x:c r="C17" s="219"/>
      <x:c r="D17" s="14" t="str">
        <x:v>Explanation</x:v>
      </x:c>
    </x:row>
    <x:row r="18" ht="60" customHeight="1">
      <x:c r="A18" s="25" t="str">
        <x:v>Periods</x:v>
      </x:c>
      <x:c r="B18" s="205"/>
      <x:c r="C18" s="205"/>
      <x:c r="D18" s="16" t="str">
        <x:v>All cash-flow and interest ratios use the TTM above. FY + current YTD − prior YTD. Balance-sheet denominators use the period end, not average debt.</x:v>
      </x:c>
    </x:row>
    <x:row r="19" ht="145" customHeight="1">
      <x:c r="A19" s="25" t="str">
        <x:v>Historical interest basis</x:v>
      </x:c>
      <x:c r="B19" s="205"/>
      <x:c r="C19" s="205"/>
      <x:c r="D19" s="16"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25" t="str">
        <x:v>Recalculation</x:v>
      </x:c>
      <x:c r="B20" s="205"/>
      <x:c r="C20" s="205"/>
      <x:c r="D20" s="16" t="str">
        <x:v>The historical interest ratio links to its existing detailed build. Editing source inputs updates formulas; the checked narrative requires a new review.</x:v>
      </x:c>
    </x:row>
    <x:row r="21" ht="72" customHeight="1">
      <x:c r="A21" s="26" t="str">
        <x:v>Interpretation</x:v>
      </x:c>
      <x:c r="B21" s="206"/>
      <x:c r="C21" s="206"/>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Oracle Corporation — dated history</x:v>
      </x:c>
      <x:c r="B2" s="4"/>
      <x:c r="C2" s="4"/>
      <x:c r="D2" s="4"/>
    </x:row>
    <x:row r="3">
      <x:c r="A3" s="8" t="str">
        <x:v>USD millions, except ratios (x) and percentages (%). Fiscal year and later TTM both span twelve months and overlap.</x:v>
      </x:c>
      <x:c r="B3" s="4"/>
      <x:c r="C3" s="4"/>
      <x:c r="D3" s="4"/>
    </x:row>
    <x:row r="4">
      <x:c r="A4" s="4"/>
      <x:c r="B4" s="4"/>
      <x:c r="C4" s="4"/>
      <x:c r="D4" s="4"/>
    </x:row>
    <x:row r="5" ht="32" customHeight="1">
      <x:c r="A5" s="13" t="str">
        <x:v>Measure</x:v>
      </x:c>
      <x:c r="B5" s="219" t="str">
        <x:v>As of / FY ended 2026-05-31</x:v>
      </x:c>
      <x:c r="C5" s="219" t="str">
        <x:v>As of / TTM ended 2026-08-31</x:v>
      </x:c>
      <x:c r="D5" s="14" t="str">
        <x:v>Basis / limits</x:v>
      </x:c>
    </x:row>
    <x:row r="6" ht="45" customHeight="1">
      <x:c r="A6" s="25" t="str">
        <x:v>Cash and cash equivalents</x:v>
      </x:c>
      <x:c r="B6" s="227" t="n">
        <x:f>IF(ISNUMBER('Data'!B133),'Data'!B133,NA())</x:f>
        <x:v>31289000000</x:v>
      </x:c>
      <x:c r="C6" s="227" t="n">
        <x:f>'Debt and liquidity'!B6</x:f>
        <x:v>36369000000</x:v>
      </x:c>
      <x:c r="D6" s="16" t="str">
        <x:v>Cash and cash equivalents excluding restricted cash. Investments are not substituted.</x:v>
      </x:c>
    </x:row>
    <x:row r="7" ht="101" customHeight="1">
      <x:c r="A7" s="25" t="str">
        <x:v>Baseline gross debt</x:v>
      </x:c>
      <x:c r="B7" s="227" t="n">
        <x:f>IF(ISNUMBER('Data'!B136),'Data'!B136,NA())+IF(ISNUMBER('Data'!B137),'Data'!B137,NA())</x:f>
        <x:v>129541000000</x:v>
      </x:c>
      <x:c r="C7" s="227" t="n">
        <x:f>'Debt and liquidity'!B7</x:f>
        <x:v>125337000000</x:v>
      </x:c>
      <x:c r="D7" s="16"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25" t="str">
        <x:v>Net debt</x:v>
      </x:c>
      <x:c r="B8" s="247" t="n">
        <x:f>B7-B6</x:f>
        <x:v>98252000000</x:v>
      </x:c>
      <x:c r="C8" s="227" t="n">
        <x:f>'Debt and liquidity'!B8</x:f>
        <x:v>88968000000</x:v>
      </x:c>
      <x:c r="D8" s="16" t="str">
        <x:v>Baseline borrowing less cash excluding restricted cash. Same date and filing. Negative net debt is retained.</x:v>
      </x:c>
    </x:row>
    <x:row r="9" ht="49" customHeight="1">
      <x:c r="A9" s="25" t="str">
        <x:v>Current ratio</x:v>
      </x:c>
      <x:c r="B9" s="293" t="n">
        <x:f>IF(IF(ISNUMBER('Data'!B135),'Data'!B135,NA())&gt;0,IF(ISNUMBER('Data'!B134),'Data'!B134,NA())/IF(ISNUMBER('Data'!B135),'Data'!B135,NA()),NA())</x:f>
        <x:v>1.1150033521693323</x:v>
      </x:c>
      <x:c r="C9" s="293" t="n">
        <x:f>'Debt and liquidity'!B9</x:f>
        <x:v>1.1708128130656228</x:v>
      </x:c>
      <x:c r="D9" s="16" t="str">
        <x:v>Total current assets / total current liabilities from one balance sheet. Liabilities include more than borrowing; assets include more than cash.</x:v>
      </x:c>
    </x:row>
    <x:row r="10" ht="75" customHeight="1">
      <x:c r="A10" s="25" t="str">
        <x:v>Operating cash flow</x:v>
      </x:c>
      <x:c r="B10" s="227" t="n">
        <x:f>IF(ISNUMBER('Data'!B138),'Data'!B138,NA())</x:f>
        <x:v>31977000000</x:v>
      </x:c>
      <x:c r="C10" s="227" t="n">
        <x:f>'Debt and liquidity'!B10</x:f>
        <x:v>46940000000</x:v>
      </x:c>
      <x:c r="D10" s="16"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25" t="str">
        <x:v>Capital expenditures</x:v>
      </x:c>
      <x:c r="B11" s="227" t="n">
        <x:f>IF(ISNUMBER('Data'!B139),'Data'!B139,NA())</x:f>
        <x:v>55663000000</x:v>
      </x:c>
      <x:c r="C11" s="227" t="n">
        <x:f>'Debt and liquidity'!B11</x:f>
        <x:v>75660000000</x:v>
      </x:c>
      <x:c r="D11" s="16" t="str">
        <x:v>Cash capital expenditures. Capex-financing cash flows are not added.</x:v>
      </x:c>
    </x:row>
    <x:row r="12" ht="45" customHeight="1">
      <x:c r="A12" s="25" t="str">
        <x:v>Free cash flow</x:v>
      </x:c>
      <x:c r="B12" s="247" t="n">
        <x:f>B10-B11</x:f>
        <x:v>-23686000000</x:v>
      </x:c>
      <x:c r="C12" s="227" t="n">
        <x:f>'Debt and liquidity'!B12</x:f>
        <x:v>-28720000000</x:v>
      </x:c>
      <x:c r="D12" s="16" t="str">
        <x:v>OCF less reported capital spending. Uses the spending basis above; excludes acquisitions, dividends and other cash uses.</x:v>
      </x:c>
    </x:row>
    <x:row r="13" ht="45" customHeight="1">
      <x:c r="A13" s="25" t="str">
        <x:v>Operating cash flow / debt</x:v>
      </x:c>
      <x:c r="B13" s="294" t="n">
        <x:f>IF(B7&gt;0,B10/B7,NA())</x:f>
        <x:v>0.24684848812345125</x:v>
      </x:c>
      <x:c r="C13" s="306" t="n">
        <x:f>'Debt and liquidity'!B13</x:f>
        <x:v>0.37451032017680336</x:v>
      </x:c>
      <x:c r="D13" s="16" t="str">
        <x:v>Twelve-month flow / borrowing at each period end. Annual column uses FY; latest column uses TTM. Not repayment coverage.</x:v>
      </x:c>
    </x:row>
    <x:row r="14" ht="45" customHeight="1">
      <x:c r="A14" s="25" t="str">
        <x:v>Free cash flow / debt</x:v>
      </x:c>
      <x:c r="B14" s="294" t="n">
        <x:f>IF(B7&gt;0,B12/B7,NA())</x:f>
        <x:v>-0.18284558556750372</x:v>
      </x:c>
      <x:c r="C14" s="306" t="n">
        <x:f>'Debt and liquidity'!B14</x:f>
        <x:v>-0.22914223254106927</x:v>
      </x:c>
      <x:c r="D14" s="16" t="str">
        <x:v>Twelve-month flow / borrowing at each period end. Annual column uses FY; latest column uses TTM. Not repayment coverage.</x:v>
      </x:c>
    </x:row>
    <x:row r="15" ht="49" customHeight="1">
      <x:c r="A15" s="26" t="str">
        <x:v>Historical interest coverage</x:v>
      </x:c>
      <x:c r="B15" s="295" t="n">
        <x:f>IF(AND('Cash analysis'!B46&gt;0),'Cash analysis'!B45/'Cash analysis'!B46,NA())</x:f>
        <x:v>4.480539247662535</x:v>
      </x:c>
      <x:c r="C15" s="295" t="n">
        <x:f>'Debt and liquidity'!B15</x:f>
        <x:v>4.517437304075235</x:v>
      </x:c>
      <x:c r="D15" s="18" t="str">
        <x:v>Annual and later TTM use reported interest expense before interest-income offset. Full composition and capitalization basis remain Unavailable.</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2025-06-01 to 2026-05-31</x:v>
      </x:c>
    </x:row>
    <x:row r="19">
      <x:c r="A19" s="4" t="str">
        <x:v>Later TTM flows</x:v>
      </x:c>
      <x:c r="B19" s="4"/>
      <x:c r="C19" s="4"/>
      <x:c r="D19" s="4" t="str">
        <x:v>2025-09-01 to 2026-08-31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4" hidden="0" customWidth="1"/>
    <x:col min="2" max="2" width="22" hidden="0" customWidth="1"/>
    <x:col min="3" max="3" width="22" hidden="0" customWidth="1"/>
    <x:col min="4" max="4" width="22" hidden="0" customWidth="1"/>
    <x:col min="5" max="5" width="22" hidden="0" customWidth="1"/>
    <x:col min="6" max="6" width="22" hidden="0" customWidth="1"/>
  </x:cols>
  <x:sheetData>
    <x:row r="1" ht="27" customHeight="1">
      <x:c r="A1" s="3"/>
      <x:c r="B1" s="3"/>
      <x:c r="C1" s="3"/>
      <x:c r="D1" s="3"/>
      <x:c r="E1" s="3"/>
      <x:c r="F1" s="3"/>
    </x:row>
    <x:row r="2" ht="27" customHeight="1">
      <x:c r="A2" s="319" t="str">
        <x:v>ORCL annual history</x:v>
      </x:c>
      <x:c r="B2" s="3"/>
      <x:c r="C2" s="3"/>
      <x:c r="D2" s="3"/>
      <x:c r="E2" s="3"/>
      <x:c r="F2" s="3"/>
    </x:row>
    <x:row r="3" ht="27" customHeight="1">
      <x:c r="A3" s="3" t="str">
        <x:v>USD millions. Five completed fiscal years; the latest TTM is separate.</x:v>
      </x:c>
      <x:c r="B3" s="3"/>
      <x:c r="C3" s="3"/>
      <x:c r="D3" s="3"/>
      <x:c r="E3" s="3"/>
      <x:c r="F3" s="3"/>
    </x:row>
    <x:row r="4" ht="27" customHeight="1">
      <x:c r="A4" s="3"/>
      <x:c r="B4" s="314" t="d">
        <x:v>2022-05-31T00:00:00.000Z</x:v>
      </x:c>
      <x:c r="C4" s="314" t="d">
        <x:v>2023-05-31T00:00:00.000Z</x:v>
      </x:c>
      <x:c r="D4" s="314" t="d">
        <x:v>2024-05-31T00:00:00.000Z</x:v>
      </x:c>
      <x:c r="E4" s="314" t="d">
        <x:v>2025-05-31T00:00:00.000Z</x:v>
      </x:c>
      <x:c r="F4" s="314" t="d">
        <x:v>2026-05-31T00:00:00.000Z</x:v>
      </x:c>
    </x:row>
    <x:row r="5" ht="27" customHeight="1">
      <x:c r="A5" s="338" t="str">
        <x:v>Measure</x:v>
      </x:c>
      <x:c r="B5" s="339" t="str">
        <x:v>FY2022</x:v>
      </x:c>
      <x:c r="C5" s="339" t="str">
        <x:v>FY2023</x:v>
      </x:c>
      <x:c r="D5" s="339" t="str">
        <x:v>FY2024</x:v>
      </x:c>
      <x:c r="E5" s="339" t="str">
        <x:v>FY2025</x:v>
      </x:c>
      <x:c r="F5" s="340" t="str">
        <x:v>FY2026</x:v>
      </x:c>
    </x:row>
    <x:row r="6" ht="27" customHeight="1">
      <x:c r="A6" s="323" t="str">
        <x:v>Cash and equivalents</x:v>
      </x:c>
      <x:c r="B6" s="324" t="n">
        <x:f>IF(ISNUMBER('Data'!B143),'Data'!B143,NA())</x:f>
        <x:v>21383000000</x:v>
      </x:c>
      <x:c r="C6" s="324" t="n">
        <x:f>IF(ISNUMBER('Data'!B144),'Data'!B144,NA())</x:f>
        <x:v>9765000000</x:v>
      </x:c>
      <x:c r="D6" s="324" t="n">
        <x:f>IF(ISNUMBER('Data'!B145),'Data'!B145,NA())</x:f>
        <x:v>10454000000</x:v>
      </x:c>
      <x:c r="E6" s="324" t="n">
        <x:f>IF(ISNUMBER('Data'!B146),'Data'!B146,NA())</x:f>
        <x:v>10786000000</x:v>
      </x:c>
      <x:c r="F6" s="325" t="n">
        <x:f>IF(ISNUMBER('Data'!B147),'Data'!B147,NA())</x:f>
        <x:v>31289000000</x:v>
      </x:c>
    </x:row>
    <x:row r="7" ht="27" customHeight="1">
      <x:c r="A7" s="323" t="str">
        <x:v>Baseline borrowing</x:v>
      </x:c>
      <x:c r="B7" s="324" t="n">
        <x:f>IF(ISNUMBER('Data'!B148),'Data'!B148,NA())+IF(ISNUMBER('Data'!B149),'Data'!B149,NA())</x:f>
        <x:v>75859000000</x:v>
      </x:c>
      <x:c r="C7" s="324" t="n">
        <x:f>IF(ISNUMBER('Data'!B150),'Data'!B150,NA())+IF(ISNUMBER('Data'!B151),'Data'!B151,NA())</x:f>
        <x:v>90481000000</x:v>
      </x:c>
      <x:c r="D7" s="324" t="n">
        <x:f>IF(ISNUMBER('Data'!B152),'Data'!B152,NA())+IF(ISNUMBER('Data'!B153),'Data'!B153,NA())</x:f>
        <x:v>86869000000</x:v>
      </x:c>
      <x:c r="E7" s="324" t="n">
        <x:f>IF(ISNUMBER('Data'!B154),'Data'!B154,NA())+IF(ISNUMBER('Data'!B155),'Data'!B155,NA())</x:f>
        <x:v>92568000000</x:v>
      </x:c>
      <x:c r="F7" s="325" t="n">
        <x:f>IF(ISNUMBER('Data'!B156),'Data'!B156,NA())+IF(ISNUMBER('Data'!B157),'Data'!B157,NA())</x:f>
        <x:v>129541000000</x:v>
      </x:c>
    </x:row>
    <x:row r="8" ht="27" customHeight="1">
      <x:c r="A8" s="323" t="str">
        <x:v>Operating cash flow</x:v>
      </x:c>
      <x:c r="B8" s="324" t="n">
        <x:f>IF(ISNUMBER('Data'!B158),'Data'!B158,NA())</x:f>
        <x:v>9539000000</x:v>
      </x:c>
      <x:c r="C8" s="324" t="n">
        <x:f>IF(ISNUMBER('Data'!B159),'Data'!B159,NA())</x:f>
        <x:v>17165000000</x:v>
      </x:c>
      <x:c r="D8" s="324" t="n">
        <x:f>IF(ISNUMBER('Data'!B160),'Data'!B160,NA())</x:f>
        <x:v>18673000000</x:v>
      </x:c>
      <x:c r="E8" s="324" t="n">
        <x:f>IF(ISNUMBER('Data'!B161),'Data'!B161,NA())</x:f>
        <x:v>20821000000</x:v>
      </x:c>
      <x:c r="F8" s="325" t="n">
        <x:f>IF(ISNUMBER('Data'!B162),'Data'!B162,NA())</x:f>
        <x:v>31977000000</x:v>
      </x:c>
    </x:row>
    <x:row r="9" ht="27" customHeight="1">
      <x:c r="A9" s="323" t="str">
        <x:v>Capital spending</x:v>
      </x:c>
      <x:c r="B9" s="324" t="n">
        <x:f>IF(ISNUMBER('Data'!B163),'Data'!B163,NA())</x:f>
        <x:v>4511000000</x:v>
      </x:c>
      <x:c r="C9" s="324" t="n">
        <x:f>IF(ISNUMBER('Data'!B164),'Data'!B164,NA())</x:f>
        <x:v>8695000000</x:v>
      </x:c>
      <x:c r="D9" s="324" t="n">
        <x:f>IF(ISNUMBER('Data'!B165),'Data'!B165,NA())</x:f>
        <x:v>6866000000</x:v>
      </x:c>
      <x:c r="E9" s="324" t="n">
        <x:f>IF(ISNUMBER('Data'!B166),'Data'!B166,NA())</x:f>
        <x:v>21215000000</x:v>
      </x:c>
      <x:c r="F9" s="325" t="n">
        <x:f>IF(ISNUMBER('Data'!B167),'Data'!B167,NA())</x:f>
        <x:v>55663000000</x:v>
      </x:c>
    </x:row>
    <x:row r="10" ht="27" customHeight="1">
      <x:c r="A10" s="326" t="str">
        <x:v>Free cash flow</x:v>
      </x:c>
      <x:c r="B10" s="327" t="n">
        <x:f>B8-B9</x:f>
        <x:v>5028000000</x:v>
      </x:c>
      <x:c r="C10" s="327" t="n">
        <x:f>C8-C9</x:f>
        <x:v>8470000000</x:v>
      </x:c>
      <x:c r="D10" s="327" t="n">
        <x:f>D8-D9</x:f>
        <x:v>11807000000</x:v>
      </x:c>
      <x:c r="E10" s="327" t="n">
        <x:f>E8-E9</x:f>
        <x:v>-394000000</x:v>
      </x:c>
      <x:c r="F10" s="328" t="n">
        <x:f>F8-F9</x:f>
        <x:v>-23686000000</x:v>
      </x:c>
    </x:row>
    <x:row r="11" ht="27" customHeight="1">
      <x:c r="A11" s="3"/>
      <x:c r="B11" s="3"/>
      <x:c r="C11" s="3"/>
      <x:c r="D11" s="3"/>
      <x:c r="E11" s="3"/>
      <x:c r="F11" s="3"/>
    </x:row>
    <x:row r="12" ht="27" customHeight="1">
      <x:c r="A12" s="3"/>
      <x:c r="B12" s="3"/>
      <x:c r="C12" s="3"/>
      <x:c r="D12" s="3"/>
      <x:c r="E12" s="3"/>
      <x:c r="F12" s="3"/>
    </x:row>
    <x:row r="13" ht="27" customHeight="1">
      <x:c r="A13" s="8" t="str">
        <x:v>Cash/debt: fiscal-year-end balances. OCF/capex: full fiscal years.</x:v>
      </x:c>
      <x:c r="B13" s="3"/>
      <x:c r="C13" s="3"/>
      <x:c r="D13" s="3"/>
      <x:c r="E13" s="3"/>
      <x:c r="F13" s="3"/>
    </x:row>
    <x:row r="14" ht="27" customHeight="1">
      <x:c r="A14" s="8" t="str">
        <x:v>FCF = OCF less capital spending; acquisitions and financing uses excluded.</x:v>
      </x:c>
      <x:c r="B14" s="3"/>
      <x:c r="C14" s="3"/>
      <x:c r="D14" s="3"/>
      <x:c r="E14" s="3"/>
      <x:c r="F14" s="3"/>
    </x:row>
    <x:row r="15" ht="27" customHeight="1">
      <x:c r="A15" s="8" t="str">
        <x:v>Historical cash generation does not establish future funding coverage.</x:v>
      </x:c>
      <x:c r="B15" s="3"/>
      <x:c r="C15" s="3"/>
      <x:c r="D15" s="3"/>
      <x:c r="E15" s="3"/>
      <x:c r="F15" s="3"/>
    </x:row>
    <x:row r="16" ht="27" customHeight="1">
      <x:c r="A16" s="8" t="str">
        <x:v>Oracle fiscal years end May 31; other pilot calendars differ.</x:v>
      </x:c>
      <x:c r="B16" s="3"/>
      <x:c r="C16" s="3"/>
      <x:c r="D16" s="3"/>
      <x:c r="E16" s="3"/>
      <x:c r="F16" s="3"/>
    </x:row>
    <x:row r="17" ht="27" customHeight="1">
      <x:c r="A17" s="3"/>
      <x:c r="B17" s="3"/>
      <x:c r="C17" s="3"/>
      <x:c r="D17" s="3"/>
      <x:c r="E17" s="3"/>
      <x:c r="F17" s="3"/>
    </x:row>
    <x:row r="18" ht="27" customHeight="1">
      <x:c r="A18" s="3"/>
      <x:c r="B18" s="3"/>
      <x:c r="C18" s="3"/>
      <x:c r="D18" s="3"/>
      <x:c r="E18" s="3"/>
      <x:c r="F18" s="3"/>
    </x:row>
    <x:row r="19" ht="27" customHeight="1">
      <x:c r="A19" s="8" t="str">
        <x:v>Historical OCF / year-end borrowing (not repayment coverage)</x:v>
      </x:c>
      <x:c r="B19" s="3"/>
      <x:c r="C19" s="3"/>
      <x:c r="D19" s="3"/>
      <x:c r="E19" s="3"/>
      <x:c r="F19" s="3"/>
    </x:row>
    <x:row r="20" ht="27" customHeight="1">
      <x:c r="A20" s="343" t="str">
        <x:v>Annual flow / closing borrowing</x:v>
      </x:c>
      <x:c r="B20" s="344" t="n">
        <x:f>IF(AND(ISNUMBER(B7),B7&gt;0,ISNUMBER(B8)),B8/B7,NA())</x:f>
        <x:v>0.1257464506518673</x:v>
      </x:c>
      <x:c r="C20" s="344" t="n">
        <x:f>IF(AND(ISNUMBER(C7),C7&gt;0,ISNUMBER(C8)),C8/C7,NA())</x:f>
        <x:v>0.18970833655684619</x:v>
      </x:c>
      <x:c r="D20" s="344" t="n">
        <x:f>IF(AND(ISNUMBER(D7),D7&gt;0,ISNUMBER(D8)),D8/D7,NA())</x:f>
        <x:v>0.21495585306611104</x:v>
      </x:c>
      <x:c r="E20" s="344" t="n">
        <x:f>IF(AND(ISNUMBER(E7),E7&gt;0,ISNUMBER(E8)),E8/E7,NA())</x:f>
        <x:v>0.22492654048915392</x:v>
      </x:c>
      <x:c r="F20" s="345" t="n">
        <x:f>IF(AND(ISNUMBER(F7),F7&gt;0,ISNUMBER(F8)),F8/F7,NA())</x:f>
        <x:v>0.24684848812345125</x:v>
      </x:c>
    </x:row>
    <x:row r="21" ht="27" customHeight="1">
      <x:c r="A21" s="3"/>
      <x:c r="B21" s="3"/>
      <x:c r="C21" s="3"/>
      <x:c r="D21" s="3"/>
      <x:c r="E21" s="3"/>
      <x:c r="F21" s="3"/>
    </x:row>
    <x:row r="22" ht="27" customHeight="1">
      <x:c r="A22" s="3"/>
      <x:c r="B22" s="3"/>
      <x:c r="C22" s="3"/>
      <x:c r="D22" s="3"/>
      <x:c r="E22" s="3"/>
      <x:c r="F22" s="3"/>
    </x:row>
    <x:row r="23">
      <x:c r="A23" s="3"/>
      <x:c r="B23" s="3"/>
      <x:c r="C23" s="3"/>
      <x:c r="D23" s="3"/>
      <x:c r="E23" s="3"/>
      <x:c r="F23" s="3"/>
    </x:row>
    <x:row r="24">
      <x:c r="A24" s="3"/>
      <x:c r="B24" s="3"/>
      <x:c r="C24" s="3"/>
      <x:c r="D24" s="3"/>
      <x:c r="E24" s="3"/>
      <x:c r="F24" s="3"/>
    </x:row>
    <x:row r="25">
      <x:c r="A25" s="3"/>
      <x:c r="B25" s="3"/>
      <x:c r="C25" s="3"/>
      <x:c r="D25" s="3"/>
      <x:c r="E25" s="3"/>
      <x:c r="F25" s="3"/>
    </x:row>
    <x:row r="26">
      <x:c r="A26" s="3"/>
      <x:c r="B26" s="3"/>
      <x:c r="C26" s="3"/>
      <x:c r="D26" s="3"/>
      <x:c r="E26" s="3"/>
      <x:c r="F26" s="3"/>
    </x:row>
    <x:row r="27">
      <x:c r="A27" s="3"/>
      <x:c r="B27" s="3"/>
      <x:c r="C27" s="3"/>
      <x:c r="D27" s="3"/>
      <x:c r="E27" s="3"/>
      <x:c r="F27" s="3"/>
    </x:row>
    <x:row r="28">
      <x:c r="A28" s="3"/>
      <x:c r="B28" s="3"/>
      <x:c r="C28" s="3"/>
      <x:c r="D28" s="3"/>
      <x:c r="E28" s="3"/>
      <x:c r="F28" s="3"/>
    </x:row>
    <x:row r="29">
      <x:c r="A29" s="3"/>
      <x:c r="B29" s="3"/>
      <x:c r="C29" s="3"/>
      <x:c r="D29" s="3"/>
      <x:c r="E29" s="3"/>
      <x:c r="F29" s="3"/>
    </x:row>
    <x:row r="30">
      <x:c r="A30" s="3"/>
      <x:c r="B30" s="3"/>
      <x:c r="C30" s="3"/>
      <x:c r="D30" s="3"/>
      <x:c r="E30" s="3"/>
      <x:c r="F30" s="3"/>
    </x:row>
    <x:row r="31">
      <x:c r="A31" s="3"/>
      <x:c r="B31" s="3"/>
      <x:c r="C31" s="3"/>
      <x:c r="D31" s="3"/>
      <x:c r="E31" s="3"/>
      <x:c r="F31" s="3"/>
    </x:row>
    <x:row r="32">
      <x:c r="A32" s="3"/>
      <x:c r="B32" s="3"/>
      <x:c r="C32" s="3"/>
      <x:c r="D32" s="3"/>
      <x:c r="E32" s="3"/>
      <x:c r="F32" s="3"/>
    </x:row>
    <x:row r="33">
      <x:c r="A33" s="3"/>
      <x:c r="B33" s="3"/>
      <x:c r="C33" s="3"/>
      <x:c r="D33" s="3"/>
      <x:c r="E33" s="3"/>
      <x:c r="F33" s="3"/>
    </x:row>
    <x:row r="34">
      <x:c r="A34" s="3"/>
      <x:c r="B34" s="3"/>
      <x:c r="C34" s="3"/>
      <x:c r="D34" s="3"/>
      <x:c r="E34" s="3"/>
      <x:c r="F34" s="3"/>
    </x:row>
    <x:row r="35">
      <x:c r="A35" s="3"/>
      <x:c r="B35" s="3"/>
      <x:c r="C35" s="3"/>
      <x:c r="D35" s="3"/>
      <x:c r="E35" s="3"/>
      <x:c r="F35" s="3"/>
    </x:row>
    <x:row r="36">
      <x:c r="A36" s="3"/>
      <x:c r="B36" s="3"/>
      <x:c r="C36" s="3"/>
      <x:c r="D36" s="3"/>
      <x:c r="E36" s="3"/>
      <x:c r="F36" s="3"/>
    </x:row>
    <x:row r="37">
      <x:c r="A37" s="3"/>
      <x:c r="B37" s="3"/>
      <x:c r="C37" s="3"/>
      <x:c r="D37" s="3"/>
      <x:c r="E37" s="3"/>
      <x:c r="F37" s="3"/>
    </x:row>
    <x:row r="38">
      <x:c r="A38" s="3"/>
      <x:c r="B38" s="3"/>
      <x:c r="C38" s="3"/>
      <x:c r="D38" s="3"/>
      <x:c r="E38" s="3"/>
      <x:c r="F38" s="3"/>
    </x:row>
    <x:row r="39">
      <x:c r="A39" s="3"/>
      <x:c r="B39" s="3"/>
      <x:c r="C39" s="3"/>
      <x:c r="D39" s="3"/>
      <x:c r="E39" s="3"/>
      <x:c r="F39" s="3"/>
    </x:row>
    <x:row r="40">
      <x:c r="A40" s="3"/>
      <x:c r="B40" s="3"/>
      <x:c r="C40" s="3"/>
      <x:c r="D40" s="3"/>
      <x:c r="E40" s="3"/>
      <x:c r="F40" s="3"/>
    </x:row>
    <x:row r="41">
      <x:c r="A41" s="3"/>
      <x:c r="B41" s="3"/>
      <x:c r="C41" s="3"/>
      <x:c r="D41" s="3"/>
      <x:c r="E41" s="3"/>
      <x:c r="F41" s="3"/>
    </x:row>
    <x:row r="42">
      <x:c r="A42" s="3"/>
      <x:c r="B42" s="3"/>
      <x:c r="C42" s="3"/>
      <x:c r="D42" s="3"/>
      <x:c r="E42" s="3"/>
      <x:c r="F42" s="3"/>
    </x:row>
    <x:row r="43">
      <x:c r="A43" s="3"/>
      <x:c r="B43" s="3"/>
      <x:c r="C43" s="3"/>
      <x:c r="D43" s="3"/>
      <x:c r="E43" s="3"/>
      <x:c r="F43" s="3"/>
    </x:row>
    <x:row r="44">
      <x:c r="A44" s="3"/>
      <x:c r="B44" s="3"/>
      <x:c r="C44" s="3"/>
      <x:c r="D44" s="3"/>
      <x:c r="E44" s="3"/>
      <x:c r="F44" s="3"/>
    </x:row>
    <x:row r="45">
      <x:c r="A45" s="3"/>
      <x:c r="B45" s="3"/>
      <x:c r="C45" s="3"/>
      <x:c r="D45" s="3"/>
      <x:c r="E45" s="3"/>
      <x:c r="F45" s="3"/>
    </x:row>
    <x:row r="46">
      <x:c r="A46" s="3"/>
      <x:c r="B46" s="3"/>
      <x:c r="C46" s="3"/>
      <x:c r="D46" s="3"/>
      <x:c r="E46" s="3"/>
      <x:c r="F46" s="3"/>
    </x:row>
    <x:row r="47">
      <x:c r="A47" s="3"/>
      <x:c r="B47" s="3"/>
      <x:c r="C47" s="3"/>
      <x:c r="D47" s="3"/>
      <x:c r="E47" s="3"/>
      <x:c r="F47" s="3"/>
    </x:row>
    <x:row r="48">
      <x:c r="A48" s="3"/>
      <x:c r="B48" s="3"/>
      <x:c r="C48" s="3"/>
      <x:c r="D48" s="3"/>
      <x:c r="E48" s="3"/>
      <x:c r="F48" s="3"/>
    </x:row>
    <x:row r="49">
      <x:c r="A49" s="3"/>
      <x:c r="B49" s="3"/>
      <x:c r="C49" s="3"/>
      <x:c r="D49" s="3"/>
      <x:c r="E49" s="3"/>
      <x:c r="F49" s="3"/>
    </x:row>
    <x:row r="50">
      <x:c r="A50" s="3"/>
      <x:c r="B50" s="3"/>
      <x:c r="C50" s="3"/>
      <x:c r="D50" s="3"/>
      <x:c r="E50" s="3"/>
      <x:c r="F50" s="3"/>
    </x:row>
    <x:row r="51">
      <x:c r="A51" s="3"/>
      <x:c r="B51" s="3"/>
      <x:c r="C51" s="3"/>
      <x:c r="D51" s="3"/>
      <x:c r="E51" s="3"/>
      <x:c r="F51" s="3"/>
    </x:row>
    <x:row r="52">
      <x:c r="A52" s="3"/>
      <x:c r="B52" s="3"/>
      <x:c r="C52" s="3"/>
      <x:c r="D52" s="3"/>
      <x:c r="E52" s="3"/>
      <x:c r="F52" s="3"/>
    </x:row>
    <x:row r="53">
      <x:c r="A53" s="3"/>
      <x:c r="B53" s="3"/>
      <x:c r="C53" s="3"/>
      <x:c r="D53" s="3"/>
      <x:c r="E53" s="3"/>
      <x:c r="F53" s="3"/>
    </x:row>
    <x:row r="54">
      <x:c r="A54" s="3"/>
      <x:c r="B54" s="3"/>
      <x:c r="C54" s="3"/>
      <x:c r="D54" s="3"/>
      <x:c r="E54" s="3"/>
      <x:c r="F54" s="3"/>
    </x:row>
    <x:row r="55">
      <x:c r="A55" s="3"/>
      <x:c r="B55" s="3"/>
      <x:c r="C55" s="3"/>
      <x:c r="D55" s="3"/>
      <x:c r="E55" s="3"/>
      <x:c r="F55" s="3"/>
    </x:row>
    <x:row r="56">
      <x:c r="A56" s="3"/>
      <x:c r="B56" s="3"/>
      <x:c r="C56" s="3"/>
      <x:c r="D56" s="3"/>
      <x:c r="E56" s="3"/>
      <x:c r="F56" s="3"/>
    </x:row>
    <x:row r="57">
      <x:c r="A57" s="3"/>
      <x:c r="B57" s="3"/>
      <x:c r="C57" s="3"/>
      <x:c r="D57" s="3"/>
      <x:c r="E57" s="3"/>
      <x:c r="F57" s="3"/>
    </x:row>
    <x:row r="58">
      <x:c r="A58" s="3"/>
      <x:c r="B58" s="3"/>
      <x:c r="C58" s="3"/>
      <x:c r="D58" s="3"/>
      <x:c r="E58" s="3"/>
      <x:c r="F58" s="3"/>
    </x:row>
    <x:row r="59">
      <x:c r="A59" s="3"/>
      <x:c r="B59" s="3"/>
      <x:c r="C59" s="3"/>
      <x:c r="D59" s="3"/>
      <x:c r="E59" s="3"/>
      <x:c r="F59" s="3"/>
    </x:row>
    <x:row r="60">
      <x:c r="A60" s="3"/>
      <x:c r="B60" s="3"/>
      <x:c r="C60" s="3"/>
      <x:c r="D60" s="3"/>
      <x:c r="E60" s="3"/>
      <x:c r="F60" s="3"/>
    </x:row>
    <x:row r="61">
      <x:c r="A61" s="3" t="str">
        <x:v>Capital spending (use of cash)</x:v>
      </x:c>
      <x:c r="B61" s="315" t="n">
        <x:f>IF(ISNUMBER(B9),-B9,NA())</x:f>
        <x:v>-4511000000</x:v>
      </x:c>
      <x:c r="C61" s="315" t="n">
        <x:f>IF(ISNUMBER(C9),-C9,NA())</x:f>
        <x:v>-8695000000</x:v>
      </x:c>
      <x:c r="D61" s="315" t="n">
        <x:f>IF(ISNUMBER(D9),-D9,NA())</x:f>
        <x:v>-6866000000</x:v>
      </x:c>
      <x:c r="E61" s="315" t="n">
        <x:f>IF(ISNUMBER(E9),-E9,NA())</x:f>
        <x:v>-21215000000</x:v>
      </x:c>
      <x:c r="F61" s="315" t="n">
        <x:f>IF(ISNUMBER(F9),-F9,NA())</x:f>
        <x:v>-55663000000</x:v>
      </x:c>
    </x:row>
    <x:row r="62">
      <x:c r="A62" s="1"/>
      <x:c r="B62" s="1"/>
      <x:c r="C62" s="1"/>
      <x:c r="D62" s="1"/>
      <x:c r="E62" s="1"/>
      <x:c r="F62" s="1"/>
    </x:row>
    <x:row r="63">
      <x:c r="A63" s="1"/>
      <x:c r="B63" s="1"/>
      <x:c r="C63" s="1"/>
      <x:c r="D63" s="1"/>
      <x:c r="E63" s="1"/>
      <x:c r="F63" s="1"/>
    </x:row>
    <x:row r="64">
      <x:c r="A64" s="1" t="str">
        <x:v>Fiscal year</x:v>
      </x:c>
      <x:c r="B64" s="1" t="str">
        <x:v>Cash and equivalents</x:v>
      </x:c>
      <x:c r="C64" s="1" t="str">
        <x:v>Baseline borrowing</x:v>
      </x:c>
      <x:c r="D64" s="1"/>
      <x:c r="E64" s="1"/>
      <x:c r="F64" s="1"/>
    </x:row>
    <x:row r="65">
      <x:c r="A65" s="1" t="str">
        <x:v>FY2022</x:v>
      </x:c>
      <x:c r="B65" s="1" t="n">
        <x:f>IF(ISNUMBER(B6),B6,NA())</x:f>
        <x:v>21383000000</x:v>
      </x:c>
      <x:c r="C65" s="1" t="n">
        <x:f>IF(ISNUMBER(B7),B7,NA())</x:f>
        <x:v>75859000000</x:v>
      </x:c>
      <x:c r="D65" s="1"/>
      <x:c r="E65" s="1"/>
      <x:c r="F65" s="1"/>
    </x:row>
    <x:row r="66">
      <x:c r="A66" s="1" t="str">
        <x:v>FY2023</x:v>
      </x:c>
      <x:c r="B66" s="1" t="n">
        <x:f>IF(ISNUMBER(C6),C6,NA())</x:f>
        <x:v>9765000000</x:v>
      </x:c>
      <x:c r="C66" s="1" t="n">
        <x:f>IF(ISNUMBER(C7),C7,NA())</x:f>
        <x:v>90481000000</x:v>
      </x:c>
      <x:c r="D66" s="1"/>
      <x:c r="E66" s="1"/>
      <x:c r="F66" s="1"/>
    </x:row>
    <x:row r="67">
      <x:c r="A67" s="1" t="str">
        <x:v>FY2024</x:v>
      </x:c>
      <x:c r="B67" s="1" t="n">
        <x:f>IF(ISNUMBER(D6),D6,NA())</x:f>
        <x:v>10454000000</x:v>
      </x:c>
      <x:c r="C67" s="1" t="n">
        <x:f>IF(ISNUMBER(D7),D7,NA())</x:f>
        <x:v>86869000000</x:v>
      </x:c>
      <x:c r="D67" s="1"/>
      <x:c r="E67" s="1"/>
      <x:c r="F67" s="1"/>
    </x:row>
    <x:row r="68">
      <x:c r="A68" s="1" t="str">
        <x:v>FY2025</x:v>
      </x:c>
      <x:c r="B68" s="1" t="n">
        <x:f>IF(ISNUMBER(E6),E6,NA())</x:f>
        <x:v>10786000000</x:v>
      </x:c>
      <x:c r="C68" s="1" t="n">
        <x:f>IF(ISNUMBER(E7),E7,NA())</x:f>
        <x:v>92568000000</x:v>
      </x:c>
      <x:c r="D68" s="1"/>
      <x:c r="E68" s="1"/>
      <x:c r="F68" s="1"/>
    </x:row>
    <x:row r="69">
      <x:c r="A69" s="1" t="str">
        <x:v>FY2026</x:v>
      </x:c>
      <x:c r="B69" s="1" t="n">
        <x:f>IF(ISNUMBER(F6),F6,NA())</x:f>
        <x:v>31289000000</x:v>
      </x:c>
      <x:c r="C69" s="1" t="n">
        <x:f>IF(ISNUMBER(F7),F7,NA())</x:f>
        <x:v>129541000000</x:v>
      </x:c>
      <x:c r="D69" s="1"/>
      <x:c r="E69" s="1"/>
      <x:c r="F69" s="1"/>
    </x:row>
    <x:row r="70">
      <x:c r="A70" s="1"/>
      <x:c r="B70" s="1"/>
      <x:c r="C70" s="1"/>
      <x:c r="D70" s="1"/>
      <x:c r="E70" s="1"/>
      <x:c r="F70" s="1"/>
    </x:row>
    <x:row r="71">
      <x:c r="A71" s="1"/>
      <x:c r="B71" s="1"/>
      <x:c r="C71" s="1"/>
      <x:c r="D71" s="1"/>
      <x:c r="E71" s="1"/>
      <x:c r="F71" s="1"/>
    </x:row>
    <x:row r="72">
      <x:c r="A72" s="1"/>
      <x:c r="B72" s="1"/>
      <x:c r="C72" s="1"/>
      <x:c r="D72" s="1"/>
      <x:c r="E72" s="1"/>
      <x:c r="F72" s="1"/>
    </x:row>
    <x:row r="73">
      <x:c r="A73" s="1" t="str">
        <x:v>Fiscal year</x:v>
      </x:c>
      <x:c r="B73" s="1" t="str">
        <x:v>Operating cash flow</x:v>
      </x:c>
      <x:c r="C73" s="1" t="str">
        <x:v>Capital spending (use of cash)</x:v>
      </x:c>
      <x:c r="D73" s="1" t="str">
        <x:v>Free cash flow</x:v>
      </x:c>
      <x:c r="E73" s="1"/>
      <x:c r="F73" s="1"/>
    </x:row>
    <x:row r="74">
      <x:c r="A74" s="1" t="str">
        <x:v>FY2022</x:v>
      </x:c>
      <x:c r="B74" s="1" t="n">
        <x:f>IF(ISNUMBER(B8),B8,NA())</x:f>
        <x:v>9539000000</x:v>
      </x:c>
      <x:c r="C74" s="1" t="n">
        <x:f>IF(ISNUMBER(B61),B61,NA())</x:f>
        <x:v>-4511000000</x:v>
      </x:c>
      <x:c r="D74" s="1" t="n">
        <x:f>IF(ISNUMBER(B10),B10,NA())</x:f>
        <x:v>5028000000</x:v>
      </x:c>
      <x:c r="E74" s="1"/>
      <x:c r="F74" s="1"/>
    </x:row>
    <x:row r="75">
      <x:c r="A75" s="1" t="str">
        <x:v>FY2023</x:v>
      </x:c>
      <x:c r="B75" s="1" t="n">
        <x:f>IF(ISNUMBER(C8),C8,NA())</x:f>
        <x:v>17165000000</x:v>
      </x:c>
      <x:c r="C75" s="1" t="n">
        <x:f>IF(ISNUMBER(C61),C61,NA())</x:f>
        <x:v>-8695000000</x:v>
      </x:c>
      <x:c r="D75" s="1" t="n">
        <x:f>IF(ISNUMBER(C10),C10,NA())</x:f>
        <x:v>8470000000</x:v>
      </x:c>
      <x:c r="E75" s="1"/>
      <x:c r="F75" s="1"/>
    </x:row>
    <x:row r="76">
      <x:c r="A76" s="1" t="str">
        <x:v>FY2024</x:v>
      </x:c>
      <x:c r="B76" s="1" t="n">
        <x:f>IF(ISNUMBER(D8),D8,NA())</x:f>
        <x:v>18673000000</x:v>
      </x:c>
      <x:c r="C76" s="1" t="n">
        <x:f>IF(ISNUMBER(D61),D61,NA())</x:f>
        <x:v>-6866000000</x:v>
      </x:c>
      <x:c r="D76" s="1" t="n">
        <x:f>IF(ISNUMBER(D10),D10,NA())</x:f>
        <x:v>11807000000</x:v>
      </x:c>
      <x:c r="E76" s="1"/>
      <x:c r="F76" s="1"/>
    </x:row>
    <x:row r="77">
      <x:c r="A77" s="1" t="str">
        <x:v>FY2025</x:v>
      </x:c>
      <x:c r="B77" s="1" t="n">
        <x:f>IF(ISNUMBER(E8),E8,NA())</x:f>
        <x:v>20821000000</x:v>
      </x:c>
      <x:c r="C77" s="1" t="n">
        <x:f>IF(ISNUMBER(E61),E61,NA())</x:f>
        <x:v>-21215000000</x:v>
      </x:c>
      <x:c r="D77" s="1" t="n">
        <x:f>IF(ISNUMBER(E10),E10,NA())</x:f>
        <x:v>-394000000</x:v>
      </x:c>
      <x:c r="E77" s="1"/>
      <x:c r="F77" s="1"/>
    </x:row>
    <x:row r="78">
      <x:c r="A78" s="1" t="str">
        <x:v>FY2026</x:v>
      </x:c>
      <x:c r="B78" s="1" t="n">
        <x:f>IF(ISNUMBER(F8),F8,NA())</x:f>
        <x:v>31977000000</x:v>
      </x:c>
      <x:c r="C78" s="1" t="n">
        <x:f>IF(ISNUMBER(F61),F61,NA())</x:f>
        <x:v>-55663000000</x:v>
      </x:c>
      <x:c r="D78" s="1" t="n">
        <x:f>IF(ISNUMBER(F10),F10,NA())</x:f>
        <x:v>-23686000000</x:v>
      </x:c>
      <x:c r="E78" s="1"/>
      <x:c r="F78" s="1"/>
    </x:row>
    <x:row r="79">
      <x:c r="A79" s="1"/>
      <x:c r="B79" s="1"/>
      <x:c r="C79" s="1"/>
      <x:c r="D79" s="1"/>
      <x:c r="E79" s="1"/>
      <x:c r="F79" s="1"/>
    </x:row>
    <x:row r="80">
      <x:c r="A80" s="1"/>
      <x:c r="B80" s="1"/>
      <x:c r="C80" s="1"/>
      <x:c r="D80" s="1"/>
      <x:c r="E80" s="1"/>
      <x:c r="F80" s="1"/>
    </x:row>
    <x:row r="81">
      <x:c r="A81" s="1"/>
      <x:c r="B81" s="1"/>
      <x:c r="C81" s="1"/>
      <x:c r="D81" s="1"/>
      <x:c r="E81" s="1"/>
      <x:c r="F81" s="1"/>
    </x:row>
    <x:row r="82">
      <x:c r="A82" s="1"/>
      <x:c r="B82" s="1"/>
      <x:c r="C82" s="1"/>
      <x:c r="D82" s="1"/>
      <x:c r="E82" s="1"/>
      <x:c r="F82" s="1"/>
    </x:row>
    <x:row r="83">
      <x:c r="A83" s="1"/>
      <x:c r="B83" s="1"/>
      <x:c r="C83" s="1"/>
      <x:c r="D83" s="1"/>
      <x:c r="E83" s="1"/>
      <x:c r="F83" s="1"/>
    </x:row>
    <x:row r="84">
      <x:c r="A84" s="1"/>
      <x:c r="B84" s="1"/>
      <x:c r="C84" s="1"/>
      <x:c r="D84" s="1"/>
      <x:c r="E84" s="1"/>
      <x:c r="F84" s="1"/>
    </x:row>
    <x:row r="85">
      <x:c r="A85" s="1"/>
      <x:c r="B85" s="1"/>
      <x:c r="C85" s="1"/>
      <x:c r="D85" s="1"/>
      <x:c r="E85" s="1"/>
      <x:c r="F85" s="1"/>
    </x:row>
    <x:row r="86">
      <x:c r="A86" s="1"/>
      <x:c r="B86" s="1"/>
      <x:c r="C86" s="1"/>
      <x:c r="D86" s="1"/>
      <x:c r="E86" s="1"/>
      <x:c r="F86" s="1"/>
    </x:row>
    <x:row r="87">
      <x:c r="A87" s="1"/>
      <x:c r="B87" s="1"/>
      <x:c r="C87" s="1"/>
      <x:c r="D87" s="1"/>
      <x:c r="E87" s="1"/>
      <x:c r="F87" s="1"/>
    </x:row>
    <x:row r="88">
      <x:c r="A88" s="1"/>
      <x:c r="B88" s="1"/>
      <x:c r="C88" s="1"/>
      <x:c r="D88" s="1"/>
      <x:c r="E88" s="1"/>
      <x:c r="F88" s="1"/>
    </x:row>
    <x:row r="89">
      <x:c r="A89" s="1"/>
      <x:c r="B89" s="1"/>
      <x:c r="C89" s="1"/>
      <x:c r="D89" s="1"/>
      <x:c r="E89" s="1"/>
      <x:c r="F89" s="1"/>
    </x:row>
    <x:row r="90">
      <x:c r="A90" s="1" t="str">
        <x:v>Fiscal year</x:v>
      </x:c>
      <x:c r="B90" s="1" t="str">
        <x:v>Historical OCF / year-end borrowing</x:v>
      </x:c>
      <x:c r="C90" s="1"/>
      <x:c r="D90" s="1"/>
      <x:c r="E90" s="1"/>
      <x:c r="F90" s="1"/>
    </x:row>
    <x:row r="91">
      <x:c r="A91" s="1" t="str">
        <x:v>FY2022</x:v>
      </x:c>
      <x:c r="B91" s="1" t="n">
        <x:f>B20</x:f>
        <x:v>0.1257464506518673</x:v>
      </x:c>
      <x:c r="C91" s="1"/>
      <x:c r="D91" s="1"/>
      <x:c r="E91" s="1"/>
      <x:c r="F91" s="1"/>
    </x:row>
    <x:row r="92">
      <x:c r="A92" s="1" t="str">
        <x:v>FY2023</x:v>
      </x:c>
      <x:c r="B92" s="1" t="n">
        <x:f>C20</x:f>
        <x:v>0.18970833655684619</x:v>
      </x:c>
      <x:c r="C92" s="1"/>
      <x:c r="D92" s="1"/>
      <x:c r="E92" s="1"/>
      <x:c r="F92" s="1"/>
    </x:row>
    <x:row r="93">
      <x:c r="A93" s="1" t="str">
        <x:v>FY2024</x:v>
      </x:c>
      <x:c r="B93" s="1" t="n">
        <x:f>D20</x:f>
        <x:v>0.21495585306611104</x:v>
      </x:c>
      <x:c r="C93" s="1"/>
      <x:c r="D93" s="1"/>
      <x:c r="E93" s="1"/>
      <x:c r="F93" s="1"/>
    </x:row>
    <x:row r="94">
      <x:c r="A94" s="1" t="str">
        <x:v>FY2025</x:v>
      </x:c>
      <x:c r="B94" s="1" t="n">
        <x:f>E20</x:f>
        <x:v>0.22492654048915392</x:v>
      </x:c>
      <x:c r="C94" s="1"/>
      <x:c r="D94" s="1"/>
      <x:c r="E94" s="1"/>
      <x:c r="F94" s="1"/>
    </x:row>
    <x:row r="95">
      <x:c r="A95" s="1" t="str">
        <x:v>FY2026</x:v>
      </x:c>
      <x:c r="B95" s="1" t="n">
        <x:f>F20</x:f>
        <x:v>0.24684848812345125</x:v>
      </x:c>
      <x:c r="C95" s="1"/>
      <x:c r="D95" s="1"/>
      <x:c r="E95" s="1"/>
      <x:c r="F95" s="1"/>
    </x:row>
  </x:sheetData>
  <x:pageMargins left="0.7" right="0.7" top="0.75" bottom="0.75" header="0.3" footer="0.3"/>
  <x:drawing xmlns:r="http://schemas.openxmlformats.org/officeDocument/2006/relationships" r:id="Re5668307b6d74c70"/>
</x:worksheet>
</file>

<file path=xl/worksheets/sheet6.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ORCL — two chart questions</x:v>
      </x:c>
      <x:c r="B2" s="4"/>
      <x:c r="C2" s="4"/>
      <x:c r="D2" s="4"/>
      <x:c r="E2" s="2"/>
      <x:c r="F2" s="2"/>
      <x:c r="G2" s="2"/>
      <x:c r="H2" s="2"/>
      <x:c r="I2" s="2"/>
      <x:c r="J2" s="2"/>
      <x:c r="K2" s="2"/>
      <x:c r="L2" s="2"/>
      <x:c r="M2" s="2"/>
      <x:c r="N2" s="2"/>
      <x:c r="O2" s="2"/>
    </x:row>
    <x:row r="3" ht="35" customHeight="1">
      <x:c r="A3" s="8" t="str">
        <x:v>TTM 2025-09-01 to 2026-08-31.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47" t="n">
        <x:f>'Debt and liquidity'!B10</x:f>
        <x:v>46940000000</x:v>
      </x:c>
      <x:c r="C6" s="4"/>
      <x:c r="D6" s="4"/>
      <x:c r="E6" s="2"/>
      <x:c r="F6" s="2"/>
      <x:c r="G6" s="2"/>
      <x:c r="H6" s="2"/>
      <x:c r="I6" s="2"/>
      <x:c r="J6" s="2"/>
      <x:c r="K6" s="2"/>
      <x:c r="L6" s="2"/>
      <x:c r="M6" s="2"/>
      <x:c r="N6" s="2"/>
      <x:c r="O6" s="2"/>
    </x:row>
    <x:row r="7" ht="35" customHeight="1">
      <x:c r="A7" s="25" t="str">
        <x:v>Capital spending</x:v>
      </x:c>
      <x:c r="B7" s="347" t="n">
        <x:f>-'Debt and liquidity'!B11</x:f>
        <x:v>-75660000000</x:v>
      </x:c>
      <x:c r="C7" s="4"/>
      <x:c r="D7" s="4"/>
      <x:c r="E7" s="2"/>
      <x:c r="F7" s="2"/>
      <x:c r="G7" s="2"/>
      <x:c r="H7" s="2"/>
      <x:c r="I7" s="2"/>
      <x:c r="J7" s="2"/>
      <x:c r="K7" s="2"/>
      <x:c r="L7" s="2"/>
      <x:c r="M7" s="2"/>
      <x:c r="N7" s="2"/>
      <x:c r="O7" s="2"/>
    </x:row>
    <x:row r="8" ht="35" customHeight="1">
      <x:c r="A8" s="26" t="str">
        <x:v>Free cash flow</x:v>
      </x:c>
      <x:c r="B8" s="348" t="n">
        <x:f>'Debt and liquidity'!B12</x:f>
        <x:v>-28720000000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219" t="str">
        <x:v>Cash and equivalents</x:v>
      </x:c>
      <x:c r="C24" s="14" t="str">
        <x:v>Baseline borrowing</x:v>
      </x:c>
      <x:c r="D24" s="4"/>
      <x:c r="E24" s="2"/>
      <x:c r="F24" s="2"/>
      <x:c r="G24" s="2"/>
      <x:c r="H24" s="2"/>
      <x:c r="I24" s="2"/>
      <x:c r="J24" s="2"/>
      <x:c r="K24" s="2"/>
      <x:c r="L24" s="2"/>
      <x:c r="M24" s="2"/>
      <x:c r="N24" s="2"/>
      <x:c r="O24" s="2"/>
    </x:row>
    <x:row r="25" ht="35" customHeight="1">
      <x:c r="A25" s="25" t="str">
        <x:v>2026-05-31</x:v>
      </x:c>
      <x:c r="B25" s="227" t="n">
        <x:f>'History'!B6</x:f>
        <x:v>31289000000</x:v>
      </x:c>
      <x:c r="C25" s="347" t="n">
        <x:f>'History'!B7</x:f>
        <x:v>129541000000</x:v>
      </x:c>
      <x:c r="D25" s="4"/>
      <x:c r="E25" s="2"/>
      <x:c r="F25" s="2"/>
      <x:c r="G25" s="2"/>
      <x:c r="H25" s="2"/>
      <x:c r="I25" s="2"/>
      <x:c r="J25" s="2"/>
      <x:c r="K25" s="2"/>
      <x:c r="L25" s="2"/>
      <x:c r="M25" s="2"/>
      <x:c r="N25" s="2"/>
      <x:c r="O25" s="2"/>
    </x:row>
    <x:row r="26" ht="35" customHeight="1">
      <x:c r="A26" s="26" t="str">
        <x:v>2026-08-31</x:v>
      </x:c>
      <x:c r="B26" s="229" t="n">
        <x:f>'History'!C6</x:f>
        <x:v>36369000000</x:v>
      </x:c>
      <x:c r="C26" s="348" t="n">
        <x:f>'History'!C7</x:f>
        <x:v>125337000000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879521c793d74ba5"/>
</x:worksheet>
</file>

<file path=xl/worksheets/sheet7.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Note and term-loan principal is dated in Payment dates, row 35 onward. CP and interest dates are Unavailable.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Commercial paper and interest at August 31</x:v>
      </x:c>
      <x:c r="B53" s="193"/>
      <x:c r="C53" s="167" t="str">
        <x:v>Unavailable</x:v>
      </x:c>
      <x:c r="D53" s="169" t="str">
        <x:v>The principal calendar excludes August CP and interest, which remain Unavailable. Grouped quarter repayments are not assigned to instruments.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d00adca463144ef0"/>
</x:worksheet>
</file>

<file path=xl/worksheets/sheet9.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c r="G2" s="1"/>
      <x:c r="H2" s="1"/>
      <x:c r="I2" s="1"/>
    </x:row>
    <x:row r="3" ht="24" customHeight="1">
      <x:c r="A3" s="72" t="str">
        <x:v>At August 31, 2026. USD millions. Leases include interest; no combined obligations total.</x:v>
      </x:c>
      <x:c r="B3" s="40"/>
      <x:c r="C3" s="40"/>
      <x:c r="D3" s="40"/>
      <x:c r="E3" s="40"/>
      <x:c r="F3" s="40"/>
      <x:c r="G3" s="1"/>
      <x:c r="H3" s="1"/>
      <x:c r="I3" s="1"/>
    </x:row>
    <x:row r="4" ht="24" customHeight="1">
      <x:c r="A4" s="40"/>
      <x:c r="B4" s="40"/>
      <x:c r="C4" s="40"/>
      <x:c r="D4" s="40"/>
      <x:c r="E4" s="40"/>
      <x:c r="F4" s="40"/>
      <x:c r="G4" s="1"/>
      <x:c r="H4" s="1"/>
      <x:c r="I4" s="1"/>
    </x:row>
    <x:row r="5" ht="24" customHeight="1">
      <x:c r="A5" s="134" t="str">
        <x:v>Due period</x:v>
      </x:c>
      <x:c r="B5" s="150" t="str">
        <x:v>Operating leases</x:v>
      </x:c>
      <x:c r="C5" s="151" t="str">
        <x:v>Finance leases</x:v>
      </x:c>
      <x:c r="D5" s="152" t="str">
        <x:v>Purchase and other</x:v>
      </x:c>
      <x:c r="E5" s="151" t="str">
        <x:v>Due from</x:v>
      </x:c>
      <x:c r="F5" s="135" t="str">
        <x:v>Due through</x:v>
      </x:c>
      <x:c r="G5" s="1"/>
      <x:c r="H5" s="1"/>
      <x:c r="I5" s="1"/>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c r="G6" s="1"/>
      <x:c r="H6" s="1"/>
      <x:c r="I6" s="1"/>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c r="G7" s="1"/>
      <x:c r="H7" s="1"/>
      <x:c r="I7" s="1"/>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c r="G8" s="1"/>
      <x:c r="H8" s="1"/>
      <x:c r="I8" s="1"/>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c r="G9" s="1"/>
      <x:c r="H9" s="1"/>
      <x:c r="I9" s="1"/>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c r="G10" s="1"/>
      <x:c r="H10" s="1"/>
      <x:c r="I10" s="1"/>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c r="G11" s="1"/>
      <x:c r="H11" s="1"/>
      <x:c r="I11" s="1"/>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c r="G12" s="1"/>
      <x:c r="H12" s="1"/>
      <x:c r="I12" s="1"/>
    </x:row>
    <x:row r="13" ht="24" customHeight="1">
      <x:c r="A13" s="111"/>
      <x:c r="B13" s="112"/>
      <x:c r="C13" s="112"/>
      <x:c r="D13" s="113"/>
      <x:c r="E13" s="116"/>
      <x:c r="F13" s="117"/>
      <x:c r="G13" s="1"/>
      <x:c r="H13" s="1"/>
      <x:c r="I13" s="1"/>
    </x:row>
    <x:row r="14" ht="24" customHeight="1">
      <x:c r="A14" s="162" t="str">
        <x:v>Calculated payment total</x:v>
      </x:c>
      <x:c r="B14" s="163" t="n">
        <x:f>SUM(B6:B12)</x:f>
        <x:v>48050000000</x:v>
      </x:c>
      <x:c r="C14" s="163" t="n">
        <x:f>SUM(C6:C12)</x:f>
        <x:v>15195000000</x:v>
      </x:c>
      <x:c r="D14" s="164" t="n">
        <x:f>SUM(D6:D12)</x:f>
        <x:v>34150000000</x:v>
      </x:c>
      <x:c r="E14" s="116"/>
      <x:c r="F14" s="117"/>
      <x:c r="G14" s="1"/>
      <x:c r="H14" s="1"/>
      <x:c r="I14" s="1"/>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c r="G15" s="1"/>
      <x:c r="H15" s="1"/>
      <x:c r="I15" s="1"/>
    </x:row>
    <x:row r="16" ht="24" customHeight="1">
      <x:c r="A16" s="111" t="str">
        <x:v>Payment-total difference</x:v>
      </x:c>
      <x:c r="B16" s="118" t="n">
        <x:f>B14-B15</x:f>
        <x:v>0</x:v>
      </x:c>
      <x:c r="C16" s="118" t="n">
        <x:f>C14-C15</x:f>
        <x:v>0</x:v>
      </x:c>
      <x:c r="D16" s="119" t="n">
        <x:f>D14-D15</x:f>
        <x:v>0</x:v>
      </x:c>
      <x:c r="E16" s="116"/>
      <x:c r="F16" s="117"/>
      <x:c r="G16" s="1"/>
      <x:c r="H16" s="1"/>
      <x:c r="I16" s="1"/>
    </x:row>
    <x:row r="17" ht="24" customHeight="1">
      <x:c r="A17" s="111" t="str">
        <x:v>Less: imputed interest</x:v>
      </x:c>
      <x:c r="B17" s="112" t="n">
        <x:f>IF(ISNUMBER('Data'!B45),'Data'!B45,NA())</x:f>
        <x:v>13429000000</x:v>
      </x:c>
      <x:c r="C17" s="112" t="n">
        <x:f>IF(ISNUMBER('Data'!B48),'Data'!B48,NA())</x:f>
        <x:v>6010000000</x:v>
      </x:c>
      <x:c r="D17" s="113"/>
      <x:c r="E17" s="116"/>
      <x:c r="F17" s="117"/>
      <x:c r="G17" s="1"/>
      <x:c r="H17" s="1"/>
      <x:c r="I17" s="1"/>
    </x:row>
    <x:row r="18" ht="24" customHeight="1">
      <x:c r="A18" s="162" t="str">
        <x:v>Calculated lease liability</x:v>
      </x:c>
      <x:c r="B18" s="163" t="n">
        <x:f>B14-B17</x:f>
        <x:v>34621000000</x:v>
      </x:c>
      <x:c r="C18" s="163" t="n">
        <x:f>C14-C17</x:f>
        <x:v>9185000000</x:v>
      </x:c>
      <x:c r="D18" s="164"/>
      <x:c r="E18" s="116"/>
      <x:c r="F18" s="117"/>
      <x:c r="G18" s="1"/>
      <x:c r="H18" s="1"/>
      <x:c r="I18" s="1"/>
    </x:row>
    <x:row r="19" ht="24" customHeight="1">
      <x:c r="A19" s="111" t="str">
        <x:v>Reported lease liability</x:v>
      </x:c>
      <x:c r="B19" s="112" t="n">
        <x:f>IF(ISNUMBER('Data'!B46),'Data'!B46,NA())</x:f>
        <x:v>34621000000</x:v>
      </x:c>
      <x:c r="C19" s="112" t="n">
        <x:f>IF(ISNUMBER('Data'!B49),'Data'!B49,NA())</x:f>
        <x:v>9185000000</x:v>
      </x:c>
      <x:c r="D19" s="113"/>
      <x:c r="E19" s="116"/>
      <x:c r="F19" s="117"/>
      <x:c r="G19" s="1"/>
      <x:c r="H19" s="1"/>
      <x:c r="I19" s="1"/>
    </x:row>
    <x:row r="20" ht="24" customHeight="1">
      <x:c r="A20" s="120" t="str">
        <x:v>Lease-liability difference</x:v>
      </x:c>
      <x:c r="B20" s="121" t="n">
        <x:f>B18-B19</x:f>
        <x:v>0</x:v>
      </x:c>
      <x:c r="C20" s="121" t="n">
        <x:f>C18-C19</x:f>
        <x:v>0</x:v>
      </x:c>
      <x:c r="D20" s="122"/>
      <x:c r="E20" s="123"/>
      <x:c r="F20" s="124"/>
      <x:c r="G20" s="1"/>
      <x:c r="H20" s="1"/>
      <x:c r="I20" s="1"/>
    </x:row>
    <x:row r="21" ht="24" customHeight="1">
      <x:c r="A21" s="40"/>
      <x:c r="B21" s="57"/>
      <x:c r="C21" s="40"/>
      <x:c r="D21" s="74"/>
      <x:c r="E21" s="40"/>
      <x:c r="F21" s="40"/>
      <x:c r="G21" s="1"/>
      <x:c r="H21" s="1"/>
      <x:c r="I21" s="1"/>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c r="G22" s="1"/>
      <x:c r="H22" s="1"/>
      <x:c r="I22" s="1"/>
    </x:row>
    <x:row r="23" ht="24" customHeight="1">
      <x:c r="A23" s="40"/>
      <x:c r="B23" s="57"/>
      <x:c r="C23" s="40"/>
      <x:c r="D23" s="74"/>
      <x:c r="E23" s="74"/>
      <x:c r="F23" s="74"/>
      <x:c r="G23" s="1"/>
      <x:c r="H23" s="1"/>
      <x:c r="I23" s="1"/>
    </x:row>
    <x:row r="24" ht="42" customHeight="1">
      <x:c r="A24" s="127" t="str">
        <x:v>Original revolver commitment</x:v>
      </x:c>
      <x:c r="B24" s="97" t="n">
        <x:f>IF(ISNUMBER('Data'!B57),'Data'!B57,NA())</x:f>
        <x:v>10000000000</x:v>
      </x:c>
      <x:c r="C24" s="40"/>
      <x:c r="D24" s="74" t="str">
        <x:v>Agreement dated March 6, 2026. Original maturity March 6, 2031.</x:v>
      </x:c>
      <x:c r="E24" s="74"/>
      <x:c r="F24" s="74"/>
      <x:c r="G24" s="1"/>
      <x:c r="H24" s="1"/>
      <x:c r="I24" s="1"/>
    </x:row>
    <x:row r="25" ht="42" customHeight="1">
      <x:c r="A25" s="111" t="str">
        <x:v>Revolver drawn at May 31</x:v>
      </x:c>
      <x:c r="B25" s="90" t="n">
        <x:f>IF(ISNUMBER('Data'!B58),'Data'!B58,NA())</x:f>
        <x:v>0</x:v>
      </x:c>
      <x:c r="C25" s="40"/>
      <x:c r="D25" s="74" t="str">
        <x:v>Historical drawing balance only.</x:v>
      </x:c>
      <x:c r="E25" s="74"/>
      <x:c r="F25" s="74"/>
      <x:c r="G25" s="1"/>
      <x:c r="H25" s="1"/>
      <x:c r="I25" s="1"/>
    </x:row>
    <x:row r="26" ht="42" customHeight="1">
      <x:c r="A26" s="111" t="str">
        <x:v>August drawable revolver capacity</x:v>
      </x:c>
      <x:c r="B26" s="91" t="str">
        <x:v>Unavailable</x:v>
      </x:c>
      <x:c r="C26" s="40"/>
      <x:c r="D26" s="74" t="str">
        <x:v>Unavailable: current drawings, conditions and covenant headroom not established.</x:v>
      </x:c>
      <x:c r="E26" s="74"/>
      <x:c r="F26" s="74"/>
      <x:c r="G26" s="1"/>
      <x:c r="H26" s="1"/>
      <x:c r="I26" s="1"/>
    </x:row>
    <x:row r="27" ht="42" customHeight="1">
      <x:c r="A27" s="120" t="str">
        <x:v>Minimum contractual interest coverage</x:v>
      </x:c>
      <x:c r="B27" s="128" t="n">
        <x:f>IF(ISNUMBER('Data'!B59),'Data'!B59,NA())</x:f>
        <x:v>3</x:v>
      </x:c>
      <x:c r="C27" s="40"/>
      <x:c r="D27" s="74" t="str">
        <x:v>3.0x, contract-defined. Current covenant headroom Unavailable.</x:v>
      </x:c>
      <x:c r="E27" s="74"/>
      <x:c r="F27" s="74"/>
      <x:c r="G27" s="1"/>
      <x:c r="H27" s="1"/>
      <x:c r="I27" s="1"/>
    </x:row>
    <x:row r="28" ht="24" customHeight="1">
      <x:c r="A28" s="40"/>
      <x:c r="B28" s="57"/>
      <x:c r="C28" s="40"/>
      <x:c r="D28" s="74"/>
      <x:c r="E28" s="74"/>
      <x:c r="F28" s="74"/>
      <x:c r="G28" s="1"/>
      <x:c r="H28" s="1"/>
      <x:c r="I28" s="1"/>
    </x:row>
    <x:row r="29" ht="24" customHeight="1">
      <x:c r="A29" s="72" t="str">
        <x:v>May schedule is historical. August principal starts at row 35; commercial paper remains Unavailable.</x:v>
      </x:c>
      <x:c r="B29" s="57"/>
      <x:c r="C29" s="40"/>
      <x:c r="D29" s="74"/>
      <x:c r="E29" s="74"/>
      <x:c r="F29" s="74"/>
      <x:c r="G29" s="1"/>
      <x:c r="H29" s="1"/>
      <x:c r="I29" s="1"/>
    </x:row>
    <x:row r="30" ht="24" customHeight="1">
      <x:c r="A30" s="72" t="str">
        <x:v>The $20B gross ATM program was fully used in Q1. It is not unused equity capacity.</x:v>
      </x:c>
      <x:c r="B30" s="57"/>
      <x:c r="C30" s="40"/>
      <x:c r="D30" s="74"/>
      <x:c r="E30" s="74"/>
      <x:c r="F30" s="74"/>
      <x:c r="G30" s="1"/>
      <x:c r="H30" s="1"/>
      <x:c r="I30" s="1"/>
    </x:row>
    <x:row r="31" ht="24" customHeight="1">
      <x:c r="A31" s="72" t="str">
        <x:v>Purchase obligations, unpaid capex and leases may overlap. No aggregate funding requirement is inferred.</x:v>
      </x:c>
      <x:c r="B31" s="57"/>
      <x:c r="C31" s="40"/>
      <x:c r="D31" s="74"/>
      <x:c r="E31" s="74"/>
      <x:c r="F31" s="74"/>
      <x:c r="G31" s="1"/>
      <x:c r="H31" s="1"/>
      <x:c r="I31" s="1"/>
    </x:row>
    <x:row r="32" ht="24" customHeight="1">
      <x:c r="A32" s="72"/>
      <x:c r="B32" s="57"/>
      <x:c r="C32" s="40"/>
      <x:c r="D32" s="74"/>
      <x:c r="E32" s="74"/>
      <x:c r="F32" s="74"/>
      <x:c r="G32" s="1"/>
      <x:c r="H32" s="1"/>
      <x:c r="I32" s="1"/>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c r="G33" s="1"/>
      <x:c r="H33" s="1"/>
      <x:c r="I33" s="1"/>
    </x:row>
    <x:row r="34">
      <x:c r="A34" s="1"/>
      <x:c r="B34" s="1"/>
      <x:c r="C34" s="1"/>
      <x:c r="D34" s="1"/>
      <x:c r="E34" s="1"/>
      <x:c r="F34" s="1"/>
      <x:c r="G34" s="1"/>
      <x:c r="H34" s="1"/>
      <x:c r="I34" s="1"/>
    </x:row>
    <x:row r="35" ht="75" customHeight="1">
      <x:c r="A35" s="375" t="str">
        <x:v>August 31, 2026 borrowing principal by instrument</x:v>
      </x:c>
      <x:c r="B35" s="4"/>
      <x:c r="C35" s="4"/>
      <x:c r="D35" s="4"/>
      <x:c r="E35" s="4"/>
      <x:c r="F35" s="4"/>
      <x:c r="G35" s="1"/>
      <x:c r="H35" s="1"/>
      <x:c r="I35" s="1"/>
    </x:row>
    <x:row r="36" ht="75" customHeight="1">
      <x:c r="A36" s="366" t="str">
        <x:v>Principal, excluding interest. Senior notes and the term loan come from the 10-K debt table at May 31, 2026, carried forward to August 31. Commercial paper is Unavailable. Each instrument's tag, context and source are in its row below. Not funding coverage or drawable credit.</x:v>
      </x:c>
      <x:c r="B36" s="4"/>
      <x:c r="C36" s="4"/>
      <x:c r="D36" s="4"/>
      <x:c r="E36" s="4"/>
      <x:c r="F36" s="4"/>
      <x:c r="G36" s="1"/>
      <x:c r="H36" s="1"/>
      <x:c r="I36" s="1"/>
    </x:row>
    <x:row r="37">
      <x:c r="A37" s="4"/>
      <x:c r="B37" s="4"/>
      <x:c r="C37" s="4"/>
      <x:c r="D37" s="4"/>
      <x:c r="E37" s="4"/>
      <x:c r="F37" s="4"/>
      <x:c r="G37" s="1"/>
      <x:c r="H37" s="1"/>
      <x:c r="I37" s="1"/>
    </x:row>
    <x:row r="38" ht="38" customHeight="1">
      <x:c r="A38" s="383" t="str">
        <x:v>Due September 2026–August 2027</x:v>
      </x:c>
      <x:c r="B38" s="384" t="str">
        <x:v>Due date</x:v>
      </x:c>
      <x:c r="C38" s="384" t="str">
        <x:v>Principal (USD millions)</x:v>
      </x:c>
      <x:c r="D38" s="385" t="str">
        <x:v>Basis</x:v>
      </x:c>
      <x:c r="E38" s="12"/>
      <x:c r="F38" s="12"/>
      <x:c r="G38" s="1"/>
      <x:c r="H38" s="1"/>
      <x:c r="I38" s="1"/>
    </x:row>
    <x:row r="39" ht="38" customHeight="1">
      <x:c r="A39" s="386" t="str">
        <x:v>Term loan, scheduled installment (2.50% of the amount borrowed)</x:v>
      </x:c>
      <x:c r="B39" s="387" t="d">
        <x:v>2026-09-30T00:00:00.000Z</x:v>
      </x:c>
      <x:c r="C39" s="388" t="n">
        <x:f>C86</x:f>
        <x:v>140750000</x:v>
      </x:c>
      <x:c r="D39" s="389" t="str">
        <x:v>Contract installment, calculated; not separately reported.</x:v>
      </x:c>
      <x:c r="E39" s="4"/>
      <x:c r="F39" s="4"/>
      <x:c r="G39" s="1"/>
      <x:c r="H39" s="1"/>
      <x:c r="I39" s="1"/>
    </x:row>
    <x:row r="40" ht="38" customHeight="1">
      <x:c r="A40" s="386" t="str">
        <x:v>Term loan, scheduled installment (2.50% of the amount borrowed)</x:v>
      </x:c>
      <x:c r="B40" s="387" t="d">
        <x:v>2026-12-31T00:00:00.000Z</x:v>
      </x:c>
      <x:c r="C40" s="388" t="n">
        <x:f>C87</x:f>
        <x:v>140750000</x:v>
      </x:c>
      <x:c r="D40" s="389" t="str">
        <x:v>Contract installment, calculated; not separately reported.</x:v>
      </x:c>
      <x:c r="E40" s="4"/>
      <x:c r="F40" s="4"/>
      <x:c r="G40" s="1"/>
      <x:c r="H40" s="1"/>
      <x:c r="I40" s="1"/>
    </x:row>
    <x:row r="41" ht="38" customHeight="1">
      <x:c r="A41" s="386" t="str">
        <x:v>Term loan, scheduled installment (2.50% of the amount borrowed)</x:v>
      </x:c>
      <x:c r="B41" s="387" t="d">
        <x:v>2027-03-31T00:00:00.000Z</x:v>
      </x:c>
      <x:c r="C41" s="388" t="n">
        <x:f>C88</x:f>
        <x:v>140750000</x:v>
      </x:c>
      <x:c r="D41" s="389" t="str">
        <x:v>Contract installment, calculated; not separately reported.</x:v>
      </x:c>
      <x:c r="E41" s="4"/>
      <x:c r="F41" s="4"/>
      <x:c r="G41" s="1"/>
      <x:c r="H41" s="1"/>
      <x:c r="I41" s="1"/>
    </x:row>
    <x:row r="42" ht="38" customHeight="1">
      <x:c r="A42" s="386" t="str">
        <x:v>$2,250M, 2.80%, due April 2027</x:v>
      </x:c>
      <x:c r="B42" s="387" t="d">
        <x:v>2027-04-01T00:00:00.000Z</x:v>
      </x:c>
      <x:c r="C42" s="388" t="n">
        <x:f>E96</x:f>
        <x:v>2250000000</x:v>
      </x:c>
      <x:c r="D42" s="389" t="str">
        <x:v>Senior note at its stated maturity.</x:v>
      </x:c>
      <x:c r="E42" s="4"/>
      <x:c r="F42" s="4"/>
      <x:c r="G42" s="1"/>
      <x:c r="H42" s="1"/>
      <x:c r="I42" s="1"/>
    </x:row>
    <x:row r="43" ht="38" customHeight="1">
      <x:c r="A43" s="386" t="str">
        <x:v>Term loan, scheduled installment (2.50% of the amount borrowed)</x:v>
      </x:c>
      <x:c r="B43" s="387" t="d">
        <x:v>2027-06-30T00:00:00.000Z</x:v>
      </x:c>
      <x:c r="C43" s="388" t="n">
        <x:f>C89</x:f>
        <x:v>140750000</x:v>
      </x:c>
      <x:c r="D43" s="389" t="str">
        <x:v>Contract installment, calculated; not separately reported.</x:v>
      </x:c>
      <x:c r="E43" s="4"/>
      <x:c r="F43" s="4"/>
      <x:c r="G43" s="1"/>
      <x:c r="H43" s="1"/>
      <x:c r="I43" s="1"/>
    </x:row>
    <x:row r="44" ht="38" customHeight="1">
      <x:c r="A44" s="386" t="str">
        <x:v>Term loan, remaining principal</x:v>
      </x:c>
      <x:c r="B44" s="387" t="d">
        <x:v>2027-08-16T00:00:00.000Z</x:v>
      </x:c>
      <x:c r="C44" s="388" t="n">
        <x:f>C90</x:f>
        <x:v>4504000000</x:v>
      </x:c>
      <x:c r="D44" s="389" t="str">
        <x:v>Calculated remainder. Oracle may extend the date by up to 2 years.</x:v>
      </x:c>
      <x:c r="E44" s="4"/>
      <x:c r="F44" s="4"/>
      <x:c r="G44" s="1"/>
      <x:c r="H44" s="532" t="str">
        <x:v>FY2027 remainder: Sep 2026–May 2027. CP, interest and leases excluded; term loan may be extended.</x:v>
      </x:c>
      <x:c r="I44" s="1"/>
    </x:row>
    <x:row r="45" ht="38" customHeight="1">
      <x:c r="A45" s="386" t="str">
        <x:v>Commercial paper</x:v>
      </x:c>
      <x:c r="B45" s="205"/>
      <x:c r="C45" s="205" t="str">
        <x:v>Unavailable</x:v>
      </x:c>
      <x:c r="D45" s="389" t="str">
        <x:v>Unavailable: August 31 balance and maturity dates are not reported.</x:v>
      </x:c>
      <x:c r="E45" s="4"/>
      <x:c r="F45" s="4"/>
      <x:c r="G45" s="1"/>
      <x:c r="H45" s="1"/>
      <x:c r="I45" s="1"/>
    </x:row>
    <x:row r="46" ht="38" customHeight="1">
      <x:c r="A46" s="390" t="str">
        <x:v>Next twelve months, excluding commercial paper</x:v>
      </x:c>
      <x:c r="B46" s="206"/>
      <x:c r="C46" s="391" t="n">
        <x:f>SUM(C39:C44)</x:f>
        <x:v>7317000000</x:v>
      </x:c>
      <x:c r="D46" s="18"/>
      <x:c r="E46" s="4"/>
      <x:c r="F46" s="4"/>
      <x:c r="G46" s="1"/>
      <x:c r="H46" s="1"/>
      <x:c r="I46" s="1"/>
    </x:row>
    <x:row r="47">
      <x:c r="A47" s="4"/>
      <x:c r="B47" s="4"/>
      <x:c r="C47" s="4"/>
      <x:c r="D47" s="4"/>
      <x:c r="E47" s="4"/>
      <x:c r="F47" s="4"/>
      <x:c r="G47" s="1"/>
      <x:c r="H47" s="1"/>
      <x:c r="I47" s="1"/>
    </x:row>
    <x:row r="48" ht="38" customHeight="1">
      <x:c r="A48" s="383" t="str">
        <x:v>Fiscal year</x:v>
      </x:c>
      <x:c r="B48" s="384" t="str">
        <x:v>From</x:v>
      </x:c>
      <x:c r="C48" s="384" t="str">
        <x:v>Principal (USD millions)</x:v>
      </x:c>
      <x:c r="D48" s="385" t="str">
        <x:v>Through</x:v>
      </x:c>
      <x:c r="E48" s="12" t="str">
        <x:v>FY2032 onward, by decade</x:v>
      </x:c>
      <x:c r="F48" s="12" t="str">
        <x:v>Principal (USD millions)</x:v>
      </x:c>
      <x:c r="G48" s="1"/>
      <x:c r="H48" s="1"/>
      <x:c r="I48" s="1"/>
    </x:row>
    <x:row r="49" ht="38" customHeight="1">
      <x:c r="A49" s="386" t="str">
        <x:v>Remainder FY2027</x:v>
      </x:c>
      <x:c r="B49" s="387" t="d">
        <x:v>2026-09-01T00:00:00.000Z</x:v>
      </x:c>
      <x:c r="C49" s="388" t="n">
        <x:f>SUMIFS($E$95:$E$152,$B$95:$B$152,"&gt;="&amp;B49,$B$95:$B$152,"&lt;="&amp;D49,$F$95:$F$152,"&lt;&gt;Term loan")+SUMIFS($C$78:$C$90,$B$78:$B$90,"&gt;="&amp;B49,$B$78:$B$90,"&lt;="&amp;D49)</x:f>
        <x:v>2672250000</x:v>
      </x:c>
      <x:c r="D49" s="392" t="d">
        <x:v>2027-05-31T00:00:00.000Z</x:v>
      </x:c>
      <x:c r="E49" s="4" t="str">
        <x:v>FY2032–36</x:v>
      </x:c>
      <x:c r="F49" s="379" t="n">
        <x:f>SUMIFS($E$95:$E$152,$B$95:$B$152,"&gt;="&amp;DATE(2031,6,1),$B$95:$B$152,"&lt;="&amp;DATE(2036,5,31))</x:f>
        <x:v>26500000000</x:v>
      </x:c>
      <x:c r="G49" s="1"/>
      <x:c r="H49" s="1"/>
      <x:c r="I49" s="1"/>
    </x:row>
    <x:row r="50" ht="38" customHeight="1">
      <x:c r="A50" s="386" t="str">
        <x:v>FY2028</x:v>
      </x:c>
      <x:c r="B50" s="387" t="d">
        <x:v>2027-06-01T00:00:00.000Z</x:v>
      </x:c>
      <x:c r="C50" s="388" t="n">
        <x:f>SUMIFS($E$95:$E$152,$B$95:$B$152,"&gt;="&amp;B50,$B$95:$B$152,"&lt;="&amp;D50,$F$95:$F$152,"&lt;&gt;Term loan")+SUMIFS($C$78:$C$90,$B$78:$B$90,"&gt;="&amp;B50,$B$78:$B$90,"&lt;="&amp;D50)</x:f>
        <x:v>10144750000</x:v>
      </x:c>
      <x:c r="D50" s="392" t="d">
        <x:v>2028-05-31T00:00:00.000Z</x:v>
      </x:c>
      <x:c r="E50" s="4" t="str">
        <x:v>FY2037–46</x:v>
      </x:c>
      <x:c r="F50" s="379" t="n">
        <x:f>SUMIFS($E$95:$E$152,$B$95:$B$152,"&gt;="&amp;DATE(2036,6,1),$B$95:$B$152,"&lt;="&amp;DATE(2046,5,31))</x:f>
        <x:v>20750000000</x:v>
      </x:c>
      <x:c r="G50" s="1"/>
      <x:c r="H50" s="1"/>
      <x:c r="I50" s="1"/>
    </x:row>
    <x:row r="51" ht="38" customHeight="1">
      <x:c r="A51" s="386" t="str">
        <x:v>FY2029</x:v>
      </x:c>
      <x:c r="B51" s="387" t="d">
        <x:v>2028-06-01T00:00:00.000Z</x:v>
      </x:c>
      <x:c r="C51" s="388" t="n">
        <x:f>SUMIFS($E$95:$E$152,$B$95:$B$152,"&gt;="&amp;B51,$B$95:$B$152,"&lt;="&amp;D51,$F$95:$F$152,"&lt;&gt;Term loan")+SUMIFS($C$78:$C$90,$B$78:$B$90,"&gt;="&amp;B51,$B$78:$B$90,"&lt;="&amp;D51)</x:f>
        <x:v>5500000000</x:v>
      </x:c>
      <x:c r="D51" s="392" t="d">
        <x:v>2029-05-31T00:00:00.000Z</x:v>
      </x:c>
      <x:c r="E51" s="4" t="str">
        <x:v>FY2047–56</x:v>
      </x:c>
      <x:c r="F51" s="379" t="n">
        <x:f>SUMIFS($E$95:$E$152,$B$95:$B$152,"&gt;="&amp;DATE(2046,6,1),$B$95:$B$152,"&lt;="&amp;DATE(2056,5,31))</x:f>
        <x:v>31000000000</x:v>
      </x:c>
      <x:c r="G51" s="1"/>
      <x:c r="H51" s="1"/>
      <x:c r="I51" s="1"/>
    </x:row>
    <x:row r="52" ht="38" customHeight="1">
      <x:c r="A52" s="386" t="str">
        <x:v>FY2030</x:v>
      </x:c>
      <x:c r="B52" s="387" t="d">
        <x:v>2029-06-01T00:00:00.000Z</x:v>
      </x:c>
      <x:c r="C52" s="388" t="n">
        <x:f>SUMIFS($E$95:$E$152,$B$95:$B$152,"&gt;="&amp;B52,$B$95:$B$152,"&lt;="&amp;D52,$F$95:$F$152,"&lt;&gt;Term loan")+SUMIFS($C$78:$C$90,$B$78:$B$90,"&gt;="&amp;B52,$B$78:$B$90,"&lt;="&amp;D52)</x:f>
        <x:v>7250000000</x:v>
      </x:c>
      <x:c r="D52" s="392" t="d">
        <x:v>2030-05-31T00:00:00.000Z</x:v>
      </x:c>
      <x:c r="E52" s="4" t="str">
        <x:v>FY2057–66</x:v>
      </x:c>
      <x:c r="F52" s="379" t="n">
        <x:f>SUMIFS($E$95:$E$152,$B$95:$B$152,"&gt;="&amp;DATE(2056,6,1),$B$95:$B$152,"&lt;="&amp;DATE(2066,5,31))</x:f>
        <x:v>12000000000</x:v>
      </x:c>
      <x:c r="G52" s="1"/>
      <x:c r="H52" s="1"/>
      <x:c r="I52" s="1"/>
    </x:row>
    <x:row r="53" ht="38" customHeight="1">
      <x:c r="A53" s="386" t="str">
        <x:v>FY2031</x:v>
      </x:c>
      <x:c r="B53" s="387" t="d">
        <x:v>2030-06-01T00:00:00.000Z</x:v>
      </x:c>
      <x:c r="C53" s="388" t="n">
        <x:f>SUMIFS($E$95:$E$152,$B$95:$B$152,"&gt;="&amp;B53,$B$95:$B$152,"&lt;="&amp;D53,$F$95:$F$152,"&lt;&gt;Term loan")+SUMIFS($C$78:$C$90,$B$78:$B$90,"&gt;="&amp;B53,$B$78:$B$90,"&lt;="&amp;D53)</x:f>
        <x:v>9750000000</x:v>
      </x:c>
      <x:c r="D53" s="392" t="d">
        <x:v>2031-05-31T00:00:00.000Z</x:v>
      </x:c>
      <x:c r="E53" s="4"/>
      <x:c r="F53" s="379" t="n">
        <x:f>SUM(F49:F52)</x:f>
        <x:v>90250000000</x:v>
      </x:c>
      <x:c r="G53" s="1"/>
      <x:c r="H53" s="1"/>
      <x:c r="I53" s="1"/>
    </x:row>
    <x:row r="54" ht="38" customHeight="1">
      <x:c r="A54" s="386" t="str">
        <x:v>Thereafter</x:v>
      </x:c>
      <x:c r="B54" s="387" t="d">
        <x:v>2031-06-01T00:00:00.000Z</x:v>
      </x:c>
      <x:c r="C54" s="388" t="n">
        <x:f>SUMIFS($E$95:$E$152,$B$95:$B$152,"&gt;="&amp;B54,$F$95:$F$152,"&lt;&gt;Term loan")+SUMIFS($C$78:$C$90,$B$78:$B$90,"&gt;="&amp;B54)</x:f>
        <x:v>90250000000</x:v>
      </x:c>
      <x:c r="D54" s="389" t="str">
        <x:v>Final maturity</x:v>
      </x:c>
      <x:c r="E54" s="4"/>
      <x:c r="F54" s="379" t="n">
        <x:f>F53-C54</x:f>
        <x:v>0</x:v>
      </x:c>
      <x:c r="G54" s="1"/>
      <x:c r="H54" s="1"/>
      <x:c r="I54" s="1"/>
    </x:row>
    <x:row r="55" ht="38" customHeight="1">
      <x:c r="A55" s="390" t="str">
        <x:v>Total, excluding commercial paper</x:v>
      </x:c>
      <x:c r="B55" s="206"/>
      <x:c r="C55" s="391" t="n">
        <x:f>SUM(C49:C54)</x:f>
        <x:v>125567000000</x:v>
      </x:c>
      <x:c r="D55" s="18"/>
      <x:c r="E55" s="4"/>
      <x:c r="F55" s="4"/>
      <x:c r="G55" s="1"/>
      <x:c r="H55" s="1"/>
      <x:c r="I55" s="1"/>
    </x:row>
    <x:row r="56">
      <x:c r="A56" s="4"/>
      <x:c r="B56" s="4"/>
      <x:c r="C56" s="4"/>
      <x:c r="D56" s="4"/>
      <x:c r="E56" s="4"/>
      <x:c r="F56" s="4"/>
      <x:c r="G56" s="1"/>
      <x:c r="H56" s="1"/>
      <x:c r="I56" s="1"/>
    </x:row>
    <x:row r="57" ht="38" customHeight="1">
      <x:c r="A57" s="383" t="str">
        <x:v>Principal versus carrying value</x:v>
      </x:c>
      <x:c r="B57" s="219"/>
      <x:c r="C57" s="384" t="str">
        <x:v>USD millions</x:v>
      </x:c>
      <x:c r="D57" s="385" t="str">
        <x:v>Basis</x:v>
      </x:c>
      <x:c r="E57" s="12"/>
      <x:c r="F57" s="12"/>
      <x:c r="G57" s="1"/>
      <x:c r="H57" s="1"/>
      <x:c r="I57" s="1"/>
    </x:row>
    <x:row r="58" ht="38" customHeight="1">
      <x:c r="A58" s="386" t="str">
        <x:v>Senior-note and term-loan principal at August 31</x:v>
      </x:c>
      <x:c r="B58" s="205"/>
      <x:c r="C58" s="388" t="n">
        <x:f>C55</x:f>
        <x:v>125567000000</x:v>
      </x:c>
      <x:c r="D58" s="389" t="str">
        <x:v>Sum of the calendar above.</x:v>
      </x:c>
      <x:c r="E58" s="4"/>
      <x:c r="F58" s="4"/>
      <x:c r="G58" s="1"/>
      <x:c r="H58" s="1"/>
      <x:c r="I58" s="1"/>
    </x:row>
    <x:row r="59" ht="38" customHeight="1">
      <x:c r="A59" s="386" t="str">
        <x:v>Long-term borrowing at carrying value, as tagged</x:v>
      </x:c>
      <x:c r="B59" s="205"/>
      <x:c r="C59" s="393" t="n">
        <x:v>125000000000</x:v>
      </x:c>
      <x:c r="D59" s="389" t="str">
        <x:v>10-Q Note 2, p. 9: $125.0B, decimals -8 (nearest $100M). us-gaap:DebtInstrumentCarryingAmount, senior notes and other long-term borrowings.</x:v>
      </x:c>
      <x:c r="E59" s="4"/>
      <x:c r="F59" s="4"/>
      <x:c r="G59" s="1"/>
      <x:c r="H59" s="1"/>
      <x:c r="I59" s="1"/>
    </x:row>
    <x:row r="60" ht="38" customHeight="1">
      <x:c r="A60" s="386" t="str">
        <x:v>Implied unamortized discount and issuance costs, low</x:v>
      </x:c>
      <x:c r="B60" s="205"/>
      <x:c r="C60" s="388" t="n">
        <x:f>C58-(C59+$F$80)</x:f>
        <x:v>517000000</x:v>
      </x:c>
      <x:c r="D60" s="389" t="str">
        <x:v>Not reported at August 31. Rounding of the tagged figure gives a range.</x:v>
      </x:c>
      <x:c r="E60" s="4"/>
      <x:c r="F60" s="4"/>
      <x:c r="G60" s="1"/>
      <x:c r="H60" s="1"/>
      <x:c r="I60" s="1"/>
    </x:row>
    <x:row r="61" ht="38" customHeight="1">
      <x:c r="A61" s="386" t="str">
        <x:v>Implied unamortized discount and issuance costs, high</x:v>
      </x:c>
      <x:c r="B61" s="205"/>
      <x:c r="C61" s="388" t="n">
        <x:f>C58-(C59-$F$80)</x:f>
        <x:v>617000000</x:v>
      </x:c>
      <x:c r="D61" s="16"/>
      <x:c r="E61" s="4"/>
      <x:c r="F61" s="4"/>
      <x:c r="G61" s="1"/>
      <x:c r="H61" s="533" t="str">
        <x:v>Fiscal year</x:v>
      </x:c>
      <x:c r="I61" s="534" t="str">
        <x:v>Principal due (USD millions)</x:v>
      </x:c>
    </x:row>
    <x:row r="62" ht="38" customHeight="1">
      <x:c r="A62" s="386" t="str">
        <x:v>Unamortized discount and issuance costs at May 31</x:v>
      </x:c>
      <x:c r="B62" s="205"/>
      <x:c r="C62" s="393" t="n">
        <x:v>564000000</x:v>
      </x:c>
      <x:c r="D62" s="389" t="str">
        <x:v>10-K Note 6, p. 84. It falls as costs amortize; no new issuance in the quarter.</x:v>
      </x:c>
      <x:c r="E62" s="4"/>
      <x:c r="F62" s="4"/>
      <x:c r="G62" s="1"/>
      <x:c r="H62" s="535" t="str">
        <x:v>Rem. FY2027</x:v>
      </x:c>
      <x:c r="I62" s="536" t="n">
        <x:f>SUMIFS($E$95:$E$152,$B$95:$B$152,"&gt;="&amp;DATE(2026,9,1),$B$95:$B$152,"&lt;="&amp;DATE(2027,5,31),$F$95:$F$152,"&lt;&gt;Term loan")+SUMIFS($C$78:$C$90,$B$78:$B$90,"&gt;="&amp;DATE(2026,9,1),$B$78:$B$90,"&lt;="&amp;DATE(2027,5,31))</x:f>
        <x:v>2672250000</x:v>
      </x:c>
    </x:row>
    <x:row r="63" ht="38" customHeight="1">
      <x:c r="A63" s="386" t="str">
        <x:v>Current borrowing at carrying value</x:v>
      </x:c>
      <x:c r="B63" s="205"/>
      <x:c r="C63" s="393" t="n">
        <x:v>7625000000</x:v>
      </x:c>
      <x:c r="D63" s="389" t="str">
        <x:v>10-Q balance sheet, p. 1.</x:v>
      </x:c>
      <x:c r="E63" s="4"/>
      <x:c r="F63" s="4"/>
      <x:c r="G63" s="1"/>
      <x:c r="H63" s="535" t="str">
        <x:v>FY2028</x:v>
      </x:c>
      <x:c r="I63" s="536" t="n">
        <x:f>SUMIFS($E$95:$E$152,$B$95:$B$152,"&gt;="&amp;DATE(2027,6,1),$B$95:$B$152,"&lt;="&amp;DATE(2028,5,31),$F$95:$F$152,"&lt;&gt;Term loan")+SUMIFS($C$78:$C$90,$B$78:$B$90,"&gt;="&amp;DATE(2027,6,1),$B$78:$B$90,"&lt;="&amp;DATE(2028,5,31))</x:f>
        <x:v>10144750000</x:v>
      </x:c>
    </x:row>
    <x:row r="64" ht="38" customHeight="1">
      <x:c r="A64" s="386" t="str">
        <x:v>Noncurrent borrowing at carrying value</x:v>
      </x:c>
      <x:c r="B64" s="205"/>
      <x:c r="C64" s="393" t="n">
        <x:v>117712000000</x:v>
      </x:c>
      <x:c r="D64" s="389" t="str">
        <x:v>10-Q balance sheet, p. 1.</x:v>
      </x:c>
      <x:c r="E64" s="4"/>
      <x:c r="F64" s="4"/>
      <x:c r="G64" s="1"/>
      <x:c r="H64" s="535" t="str">
        <x:v>FY2029</x:v>
      </x:c>
      <x:c r="I64" s="536" t="n">
        <x:f>SUMIFS($E$95:$E$152,$B$95:$B$152,"&gt;="&amp;DATE(2028,6,1),$B$95:$B$152,"&lt;="&amp;DATE(2029,5,31),$F$95:$F$152,"&lt;&gt;Term loan")+SUMIFS($C$78:$C$90,$B$78:$B$90,"&gt;="&amp;DATE(2028,6,1),$B$78:$B$90,"&lt;="&amp;DATE(2029,5,31))</x:f>
        <x:v>5500000000</x:v>
      </x:c>
    </x:row>
    <x:row r="65" ht="38" customHeight="1">
      <x:c r="A65" s="386" t="str">
        <x:v>Total borrowing at carrying value</x:v>
      </x:c>
      <x:c r="B65" s="205"/>
      <x:c r="C65" s="388" t="n">
        <x:f>C63+C64</x:f>
        <x:v>125337000000</x:v>
      </x:c>
      <x:c r="D65" s="16"/>
      <x:c r="E65" s="4"/>
      <x:c r="F65" s="4"/>
      <x:c r="G65" s="1"/>
      <x:c r="H65" s="535" t="str">
        <x:v>FY2030</x:v>
      </x:c>
      <x:c r="I65" s="536" t="n">
        <x:f>SUMIFS($E$95:$E$152,$B$95:$B$152,"&gt;="&amp;DATE(2029,6,1),$B$95:$B$152,"&lt;="&amp;DATE(2030,5,31),$F$95:$F$152,"&lt;&gt;Term loan")+SUMIFS($C$78:$C$90,$B$78:$B$90,"&gt;="&amp;DATE(2029,6,1),$B$78:$B$90,"&lt;="&amp;DATE(2030,5,31))</x:f>
        <x:v>7250000000</x:v>
      </x:c>
    </x:row>
    <x:row r="66" ht="38" customHeight="1">
      <x:c r="A66" s="386" t="str">
        <x:v>Commercial paper implied, low</x:v>
      </x:c>
      <x:c r="B66" s="205"/>
      <x:c r="C66" s="388" t="n">
        <x:f>C65-(C59+$F$80)</x:f>
        <x:v>287000000</x:v>
      </x:c>
      <x:c r="D66" s="389" t="str">
        <x:v>Total carrying less the rounded long-term figure. A range, so the balance stays Unavailable.</x:v>
      </x:c>
      <x:c r="E66" s="4"/>
      <x:c r="F66" s="4"/>
      <x:c r="G66" s="1"/>
      <x:c r="H66" s="535" t="str">
        <x:v>FY2031</x:v>
      </x:c>
      <x:c r="I66" s="536" t="n">
        <x:f>SUMIFS($E$95:$E$152,$B$95:$B$152,"&gt;="&amp;DATE(2030,6,1),$B$95:$B$152,"&lt;="&amp;DATE(2031,5,31),$F$95:$F$152,"&lt;&gt;Term loan")+SUMIFS($C$78:$C$90,$B$78:$B$90,"&gt;="&amp;DATE(2030,6,1),$B$78:$B$90,"&lt;="&amp;DATE(2031,5,31))</x:f>
        <x:v>9750000000</x:v>
      </x:c>
    </x:row>
    <x:row r="67" ht="38" customHeight="1">
      <x:c r="A67" s="386" t="str">
        <x:v>Commercial paper implied, high</x:v>
      </x:c>
      <x:c r="B67" s="205"/>
      <x:c r="C67" s="388" t="n">
        <x:f>C65-(C59-$F$80)</x:f>
        <x:v>387000000</x:v>
      </x:c>
      <x:c r="D67" s="16"/>
      <x:c r="E67" s="4"/>
      <x:c r="F67" s="4"/>
      <x:c r="G67" s="1"/>
      <x:c r="H67" s="535" t="str">
        <x:v>FY2032</x:v>
      </x:c>
      <x:c r="I67" s="536" t="n">
        <x:f>SUMIFS($E$95:$E$152,$B$95:$B$152,"&gt;="&amp;DATE(2031,6,1),$B$95:$B$152,"&lt;="&amp;DATE(2032,5,31),$F$95:$F$152,"&lt;&gt;Term loan")+SUMIFS($C$78:$C$90,$B$78:$B$90,"&gt;="&amp;DATE(2031,6,1),$B$78:$B$90,"&lt;="&amp;DATE(2032,5,31))</x:f>
        <x:v>1250000000</x:v>
      </x:c>
    </x:row>
    <x:row r="68" ht="38" customHeight="1">
      <x:c r="A68" s="386" t="str">
        <x:v>Grouped June–August repayments</x:v>
      </x:c>
      <x:c r="B68" s="205"/>
      <x:c r="C68" s="393" t="n">
        <x:v>4202000000</x:v>
      </x:c>
      <x:c r="D68" s="389" t="str">
        <x:v>10-Q cash flows, p. 5: senior notes, term loan and other borrowings. Not assigned to instruments.</x:v>
      </x:c>
      <x:c r="E68" s="4"/>
      <x:c r="F68" s="4"/>
      <x:c r="G68" s="1"/>
      <x:c r="H68" s="535" t="str">
        <x:v>FY2033</x:v>
      </x:c>
      <x:c r="I68" s="536" t="n">
        <x:f>SUMIFS($E$95:$E$152,$B$95:$B$152,"&gt;="&amp;DATE(2032,6,1),$B$95:$B$152,"&lt;="&amp;DATE(2033,5,31),$F$95:$F$152,"&lt;&gt;Term loan")+SUMIFS($C$78:$C$90,$B$78:$B$90,"&gt;="&amp;DATE(2032,6,1),$B$78:$B$90,"&lt;="&amp;DATE(2033,5,31))</x:f>
        <x:v>9750000000</x:v>
      </x:c>
    </x:row>
    <x:row r="69" ht="38" customHeight="1">
      <x:c r="A69" s="386" t="str">
        <x:v>Scheduled principal due June–August</x:v>
      </x:c>
      <x:c r="B69" s="205"/>
      <x:c r="C69" s="388" t="n">
        <x:f>C95+C85</x:f>
        <x:v>3070375000</x:v>
      </x:c>
      <x:c r="D69" s="389" t="str">
        <x:v>July 15, 2026 notes plus the June 30 term-loan installment. MD&amp;A: about $3.1B of scheduled repayments.</x:v>
      </x:c>
      <x:c r="E69" s="4"/>
      <x:c r="F69" s="4"/>
      <x:c r="G69" s="1"/>
      <x:c r="H69" s="535" t="str">
        <x:v>FY2034</x:v>
      </x:c>
      <x:c r="I69" s="536" t="n">
        <x:f>SUMIFS($E$95:$E$152,$B$95:$B$152,"&gt;="&amp;DATE(2033,6,1),$B$95:$B$152,"&lt;="&amp;DATE(2034,5,31),$F$95:$F$152,"&lt;&gt;Term loan")+SUMIFS($C$78:$C$90,$B$78:$B$90,"&gt;="&amp;DATE(2033,6,1),$B$78:$B$90,"&lt;="&amp;DATE(2034,5,31))</x:f>
        <x:v>0</x:v>
      </x:c>
    </x:row>
    <x:row r="70" ht="38" customHeight="1">
      <x:c r="A70" s="386" t="str">
        <x:v>Grouped repayments less scheduled principal</x:v>
      </x:c>
      <x:c r="B70" s="205"/>
      <x:c r="C70" s="388" t="n">
        <x:f>C68-C69</x:f>
        <x:v>1131625000</x:v>
      </x:c>
      <x:c r="D70" s="389" t="str">
        <x:v>MD&amp;A describes about $1.1B of commercial-paper repayment; the commercial-paper row is zero. Not subtracted.</x:v>
      </x:c>
      <x:c r="E70" s="4"/>
      <x:c r="F70" s="4"/>
      <x:c r="G70" s="1"/>
      <x:c r="H70" s="535" t="str">
        <x:v>FY2035</x:v>
      </x:c>
      <x:c r="I70" s="536" t="n">
        <x:f>SUMIFS($E$95:$E$152,$B$95:$B$152,"&gt;="&amp;DATE(2034,6,1),$B$95:$B$152,"&lt;="&amp;DATE(2035,5,31),$F$95:$F$152,"&lt;&gt;Term loan")+SUMIFS($C$78:$C$90,$B$78:$B$90,"&gt;="&amp;DATE(2034,6,1),$B$78:$B$90,"&lt;="&amp;DATE(2035,5,31))</x:f>
        <x:v>4750000000</x:v>
      </x:c>
    </x:row>
    <x:row r="71" ht="38" customHeight="1">
      <x:c r="A71" s="386" t="str">
        <x:v>Instrument principal at May 31</x:v>
      </x:c>
      <x:c r="B71" s="205"/>
      <x:c r="C71" s="388" t="n">
        <x:f>SUM(C95:C152)</x:f>
        <x:v>130105000000</x:v>
      </x:c>
      <x:c r="D71" s="389" t="str">
        <x:v>Sum of the instrument table.</x:v>
      </x:c>
      <x:c r="E71" s="4"/>
      <x:c r="F71" s="4"/>
      <x:c r="G71" s="1"/>
      <x:c r="H71" s="535" t="str">
        <x:v>FY2036</x:v>
      </x:c>
      <x:c r="I71" s="536" t="n">
        <x:f>SUMIFS($E$95:$E$152,$B$95:$B$152,"&gt;="&amp;DATE(2035,6,1),$B$95:$B$152,"&lt;="&amp;DATE(2036,5,31),$F$95:$F$152,"&lt;&gt;Term loan")+SUMIFS($C$78:$C$90,$B$78:$B$90,"&gt;="&amp;DATE(2035,6,1),$B$78:$B$90,"&lt;="&amp;DATE(2036,5,31))</x:f>
        <x:v>10750000000</x:v>
      </x:c>
    </x:row>
    <x:row r="72" ht="38" customHeight="1">
      <x:c r="A72" s="386" t="str">
        <x:v>Reported principal total at May 31</x:v>
      </x:c>
      <x:c r="B72" s="205"/>
      <x:c r="C72" s="393" t="n">
        <x:v>130105000000</x:v>
      </x:c>
      <x:c r="D72" s="389" t="str">
        <x:v>10-K Note 6, p. 84; us-gaap:DebtInstrumentCarryingAmount, undimensioned.</x:v>
      </x:c>
      <x:c r="E72" s="4"/>
      <x:c r="F72" s="4"/>
      <x:c r="G72" s="1"/>
      <x:c r="H72" s="535" t="str">
        <x:v>FY2037</x:v>
      </x:c>
      <x:c r="I72" s="536" t="n">
        <x:f>SUMIFS($E$95:$E$152,$B$95:$B$152,"&gt;="&amp;DATE(2036,6,1),$B$95:$B$152,"&lt;="&amp;DATE(2037,5,31),$F$95:$F$152,"&lt;&gt;Term loan")+SUMIFS($C$78:$C$90,$B$78:$B$90,"&gt;="&amp;DATE(2036,6,1),$B$78:$B$90,"&lt;="&amp;DATE(2037,5,31))</x:f>
        <x:v>1250000000</x:v>
      </x:c>
    </x:row>
    <x:row r="73" ht="38" customHeight="1">
      <x:c r="A73" s="390" t="str">
        <x:v>Difference</x:v>
      </x:c>
      <x:c r="B73" s="206"/>
      <x:c r="C73" s="391" t="n">
        <x:f>C71-C72</x:f>
        <x:v>0</x:v>
      </x:c>
      <x:c r="D73" s="18"/>
      <x:c r="E73" s="4"/>
      <x:c r="F73" s="4"/>
      <x:c r="G73" s="1"/>
      <x:c r="H73" s="535" t="str">
        <x:v>FY2038</x:v>
      </x:c>
      <x:c r="I73" s="536" t="n">
        <x:f>SUMIFS($E$95:$E$152,$B$95:$B$152,"&gt;="&amp;DATE(2037,6,1),$B$95:$B$152,"&lt;="&amp;DATE(2038,5,31),$F$95:$F$152,"&lt;&gt;Term loan")+SUMIFS($C$78:$C$90,$B$78:$B$90,"&gt;="&amp;DATE(2037,6,1),$B$78:$B$90,"&lt;="&amp;DATE(2038,5,31))</x:f>
        <x:v>3000000000</x:v>
      </x:c>
    </x:row>
    <x:row r="74">
      <x:c r="A74" s="4"/>
      <x:c r="B74" s="4"/>
      <x:c r="C74" s="4"/>
      <x:c r="D74" s="4"/>
      <x:c r="E74" s="4"/>
      <x:c r="F74" s="4"/>
      <x:c r="G74" s="1"/>
      <x:c r="H74" s="535" t="str">
        <x:v>FY2039</x:v>
      </x:c>
      <x:c r="I74" s="536" t="n">
        <x:f>SUMIFS($E$95:$E$152,$B$95:$B$152,"&gt;="&amp;DATE(2038,6,1),$B$95:$B$152,"&lt;="&amp;DATE(2039,5,31),$F$95:$F$152,"&lt;&gt;Term loan")+SUMIFS($C$78:$C$90,$B$78:$B$90,"&gt;="&amp;DATE(2038,6,1),$B$78:$B$90,"&lt;="&amp;DATE(2039,5,31))</x:f>
        <x:v>0</x:v>
      </x:c>
    </x:row>
    <x:row r="75">
      <x:c r="A75" s="4"/>
      <x:c r="B75" s="4"/>
      <x:c r="C75" s="4"/>
      <x:c r="D75" s="4"/>
      <x:c r="E75" s="4"/>
      <x:c r="F75" s="4"/>
      <x:c r="G75" s="1"/>
      <x:c r="H75" s="535" t="str">
        <x:v>FY2040</x:v>
      </x:c>
      <x:c r="I75" s="536" t="n">
        <x:f>SUMIFS($E$95:$E$152,$B$95:$B$152,"&gt;="&amp;DATE(2039,6,1),$B$95:$B$152,"&lt;="&amp;DATE(2040,5,31),$F$95:$F$152,"&lt;&gt;Term loan")+SUMIFS($C$78:$C$90,$B$78:$B$90,"&gt;="&amp;DATE(2039,6,1),$B$78:$B$90,"&lt;="&amp;DATE(2040,5,31))</x:f>
        <x:v>4250000000</x:v>
      </x:c>
    </x:row>
    <x:row r="76" ht="38" customHeight="1">
      <x:c r="A76" s="383" t="str">
        <x:v>Term loan: amortization from the stated terms (10-K Note 6, pp. 85–86)</x:v>
      </x:c>
      <x:c r="B76" s="384" t="str">
        <x:v>Date</x:v>
      </x:c>
      <x:c r="C76" s="384" t="str">
        <x:v>USD millions</x:v>
      </x:c>
      <x:c r="D76" s="385" t="str">
        <x:v>Basis</x:v>
      </x:c>
      <x:c r="E76" s="13" t="str">
        <x:v>Contract/rounding input</x:v>
      </x:c>
      <x:c r="F76" s="14" t="str">
        <x:v>Value</x:v>
      </x:c>
      <x:c r="G76" s="1"/>
      <x:c r="H76" s="535" t="str">
        <x:v>FY2041</x:v>
      </x:c>
      <x:c r="I76" s="536" t="n">
        <x:f>SUMIFS($E$95:$E$152,$B$95:$B$152,"&gt;="&amp;DATE(2040,6,1),$B$95:$B$152,"&lt;="&amp;DATE(2041,5,31),$F$95:$F$152,"&lt;&gt;Term loan")+SUMIFS($C$78:$C$90,$B$78:$B$90,"&gt;="&amp;DATE(2040,6,1),$B$78:$B$90,"&lt;="&amp;DATE(2041,5,31))</x:f>
        <x:v>4500000000</x:v>
      </x:c>
    </x:row>
    <x:row r="77" ht="38" customHeight="1">
      <x:c r="A77" s="386" t="str">
        <x:v>Amount borrowed</x:v>
      </x:c>
      <x:c r="B77" s="205"/>
      <x:c r="C77" s="393" t="n">
        <x:v>5630000000</x:v>
      </x:c>
      <x:c r="D77" s="389" t="str">
        <x:v>us-gaap:DebtInstrumentFaceAmount, term loan member, May 31, 2026. Assumes no prepayment.</x:v>
      </x:c>
      <x:c r="E77" s="25" t="str">
        <x:v>First-stage amortization rate</x:v>
      </x:c>
      <x:c r="F77" s="380" t="n">
        <x:v>0.0125</x:v>
      </x:c>
      <x:c r="G77" s="1"/>
      <x:c r="H77" s="535" t="str">
        <x:v>FY2042</x:v>
      </x:c>
      <x:c r="I77" s="536" t="n">
        <x:f>SUMIFS($E$95:$E$152,$B$95:$B$152,"&gt;="&amp;DATE(2041,6,1),$B$95:$B$152,"&lt;="&amp;DATE(2042,5,31),$F$95:$F$152,"&lt;&gt;Term loan")+SUMIFS($C$78:$C$90,$B$78:$B$90,"&gt;="&amp;DATE(2041,6,1),$B$78:$B$90,"&lt;="&amp;DATE(2042,5,31))</x:f>
        <x:v>0</x:v>
      </x:c>
    </x:row>
    <x:row r="78" ht="38" customHeight="1">
      <x:c r="A78" s="386" t="str">
        <x:v>Installment, paid</x:v>
      </x:c>
      <x:c r="B78" s="387" t="d">
        <x:v>2024-09-30T00:00:00.000Z</x:v>
      </x:c>
      <x:c r="C78" s="388" t="n">
        <x:f>ROUND($C$77*$F$77,0)</x:f>
        <x:v>70375000</x:v>
      </x:c>
      <x:c r="D78" s="389" t="str">
        <x:v>1.25% of the amount borrowed</x:v>
      </x:c>
      <x:c r="E78" s="25" t="str">
        <x:v>Later amortization rate</x:v>
      </x:c>
      <x:c r="F78" s="380" t="n">
        <x:v>0.025</x:v>
      </x:c>
      <x:c r="G78" s="1"/>
      <x:c r="H78" s="535" t="str">
        <x:v>FY2043</x:v>
      </x:c>
      <x:c r="I78" s="536" t="n">
        <x:f>SUMIFS($E$95:$E$152,$B$95:$B$152,"&gt;="&amp;DATE(2042,6,1),$B$95:$B$152,"&lt;="&amp;DATE(2043,5,31),$F$95:$F$152,"&lt;&gt;Term loan")+SUMIFS($C$78:$C$90,$B$78:$B$90,"&gt;="&amp;DATE(2042,6,1),$B$78:$B$90,"&lt;="&amp;DATE(2043,5,31))</x:f>
        <x:v>0</x:v>
      </x:c>
    </x:row>
    <x:row r="79" ht="38" customHeight="1">
      <x:c r="A79" s="386" t="str">
        <x:v>Installment, paid</x:v>
      </x:c>
      <x:c r="B79" s="387" t="d">
        <x:v>2024-12-31T00:00:00.000Z</x:v>
      </x:c>
      <x:c r="C79" s="388" t="n">
        <x:f>ROUND($C$77*$F$77,0)</x:f>
        <x:v>70375000</x:v>
      </x:c>
      <x:c r="D79" s="389" t="str">
        <x:v>1.25% of the amount borrowed</x:v>
      </x:c>
      <x:c r="E79" s="25" t="str">
        <x:v>Tagged decimals</x:v>
      </x:c>
      <x:c r="F79" s="381" t="n">
        <x:v>-8</x:v>
      </x:c>
      <x:c r="G79" s="1"/>
      <x:c r="H79" s="535" t="str">
        <x:v>FY2044</x:v>
      </x:c>
      <x:c r="I79" s="536" t="n">
        <x:f>SUMIFS($E$95:$E$152,$B$95:$B$152,"&gt;="&amp;DATE(2043,6,1),$B$95:$B$152,"&lt;="&amp;DATE(2044,5,31),$F$95:$F$152,"&lt;&gt;Term loan")+SUMIFS($C$78:$C$90,$B$78:$B$90,"&gt;="&amp;DATE(2043,6,1),$B$78:$B$90,"&lt;="&amp;DATE(2044,5,31))</x:f>
        <x:v>0</x:v>
      </x:c>
    </x:row>
    <x:row r="80" ht="38" customHeight="1">
      <x:c r="A80" s="386" t="str">
        <x:v>Installment, paid</x:v>
      </x:c>
      <x:c r="B80" s="387" t="d">
        <x:v>2025-03-31T00:00:00.000Z</x:v>
      </x:c>
      <x:c r="C80" s="388" t="n">
        <x:f>ROUND($C$77*$F$77,0)</x:f>
        <x:v>70375000</x:v>
      </x:c>
      <x:c r="D80" s="389" t="str">
        <x:v>1.25% of the amount borrowed</x:v>
      </x:c>
      <x:c r="E80" s="26" t="str">
        <x:v>Half rounding interval</x:v>
      </x:c>
      <x:c r="F80" s="382" t="n">
        <x:f>0.5*10^(-F79)</x:f>
        <x:v>50000000</x:v>
      </x:c>
      <x:c r="G80" s="1"/>
      <x:c r="H80" s="535" t="str">
        <x:v>FY2045</x:v>
      </x:c>
      <x:c r="I80" s="536" t="n">
        <x:f>SUMIFS($E$95:$E$152,$B$95:$B$152,"&gt;="&amp;DATE(2044,6,1),$B$95:$B$152,"&lt;="&amp;DATE(2045,5,31),$F$95:$F$152,"&lt;&gt;Term loan")+SUMIFS($C$78:$C$90,$B$78:$B$90,"&gt;="&amp;DATE(2044,6,1),$B$78:$B$90,"&lt;="&amp;DATE(2045,5,31))</x:f>
        <x:v>3000000000</x:v>
      </x:c>
    </x:row>
    <x:row r="81" ht="38" customHeight="1">
      <x:c r="A81" s="386" t="str">
        <x:v>Installment, paid</x:v>
      </x:c>
      <x:c r="B81" s="387" t="d">
        <x:v>2025-06-30T00:00:00.000Z</x:v>
      </x:c>
      <x:c r="C81" s="388" t="n">
        <x:f>ROUND($C$77*$F$77,0)</x:f>
        <x:v>70375000</x:v>
      </x:c>
      <x:c r="D81" s="389" t="str">
        <x:v>1.25% of the amount borrowed</x:v>
      </x:c>
      <x:c r="E81" s="4"/>
      <x:c r="F81" s="4"/>
      <x:c r="G81" s="1"/>
      <x:c r="H81" s="535" t="str">
        <x:v>FY2046</x:v>
      </x:c>
      <x:c r="I81" s="536" t="n">
        <x:f>SUMIFS($E$95:$E$152,$B$95:$B$152,"&gt;="&amp;DATE(2045,6,1),$B$95:$B$152,"&lt;="&amp;DATE(2046,5,31),$F$95:$F$152,"&lt;&gt;Term loan")+SUMIFS($C$78:$C$90,$B$78:$B$90,"&gt;="&amp;DATE(2045,6,1),$B$78:$B$90,"&lt;="&amp;DATE(2046,5,31))</x:f>
        <x:v>4750000000</x:v>
      </x:c>
    </x:row>
    <x:row r="82" ht="45" customHeight="1">
      <x:c r="A82" s="386" t="str">
        <x:v>Installment, paid</x:v>
      </x:c>
      <x:c r="B82" s="387" t="d">
        <x:v>2025-09-30T00:00:00.000Z</x:v>
      </x:c>
      <x:c r="C82" s="388" t="n">
        <x:f>ROUND($C$77*$F$77,0)</x:f>
        <x:v>70375000</x:v>
      </x:c>
      <x:c r="D82" s="389" t="str">
        <x:v>1.25% of the amount borrowed</x:v>
      </x:c>
      <x:c r="E82" s="4" t="str">
        <x:v>Rates: 10-K Note 6 pp. 85–86; decimals: 10-Q Note 2 p. 9.</x:v>
      </x:c>
      <x:c r="F82" s="4"/>
      <x:c r="G82" s="1"/>
      <x:c r="H82" s="535" t="str">
        <x:v>FY2047</x:v>
      </x:c>
      <x:c r="I82" s="536" t="n">
        <x:f>SUMIFS($E$95:$E$152,$B$95:$B$152,"&gt;="&amp;DATE(2046,6,1),$B$95:$B$152,"&lt;="&amp;DATE(2047,5,31),$F$95:$F$152,"&lt;&gt;Term loan")+SUMIFS($C$78:$C$90,$B$78:$B$90,"&gt;="&amp;DATE(2046,6,1),$B$78:$B$90,"&lt;="&amp;DATE(2047,5,31))</x:f>
        <x:v>3000000000</x:v>
      </x:c>
    </x:row>
    <x:row r="83" ht="45" customHeight="1">
      <x:c r="A83" s="386" t="str">
        <x:v>Installment, paid</x:v>
      </x:c>
      <x:c r="B83" s="387" t="d">
        <x:v>2025-12-31T00:00:00.000Z</x:v>
      </x:c>
      <x:c r="C83" s="388" t="n">
        <x:f>ROUND($C$77*$F$77,0)</x:f>
        <x:v>70375000</x:v>
      </x:c>
      <x:c r="D83" s="389" t="str">
        <x:v>1.25% of the amount borrowed</x:v>
      </x:c>
      <x:c r="E83" s="4"/>
      <x:c r="F83" s="4"/>
      <x:c r="G83" s="1"/>
      <x:c r="H83" s="535" t="str">
        <x:v>FY2048</x:v>
      </x:c>
      <x:c r="I83" s="536" t="n">
        <x:f>SUMIFS($E$95:$E$152,$B$95:$B$152,"&gt;="&amp;DATE(2047,6,1),$B$95:$B$152,"&lt;="&amp;DATE(2048,5,31),$F$95:$F$152,"&lt;&gt;Term loan")+SUMIFS($C$78:$C$90,$B$78:$B$90,"&gt;="&amp;DATE(2047,6,1),$B$78:$B$90,"&lt;="&amp;DATE(2048,5,31))</x:f>
        <x:v>2250000000</x:v>
      </x:c>
    </x:row>
    <x:row r="84" ht="45" customHeight="1">
      <x:c r="A84" s="386" t="str">
        <x:v>Installment, paid</x:v>
      </x:c>
      <x:c r="B84" s="387" t="d">
        <x:v>2026-03-31T00:00:00.000Z</x:v>
      </x:c>
      <x:c r="C84" s="388" t="n">
        <x:f>ROUND($C$77*$F$77,0)</x:f>
        <x:v>70375000</x:v>
      </x:c>
      <x:c r="D84" s="389" t="str">
        <x:v>1.25% of the amount borrowed</x:v>
      </x:c>
      <x:c r="E84" s="4"/>
      <x:c r="F84" s="4"/>
      <x:c r="G84" s="1"/>
      <x:c r="H84" s="535" t="str">
        <x:v>FY2049</x:v>
      </x:c>
      <x:c r="I84" s="536" t="n">
        <x:f>SUMIFS($E$95:$E$152,$B$95:$B$152,"&gt;="&amp;DATE(2048,6,1),$B$95:$B$152,"&lt;="&amp;DATE(2049,5,31),$F$95:$F$152,"&lt;&gt;Term loan")+SUMIFS($C$78:$C$90,$B$78:$B$90,"&gt;="&amp;DATE(2048,6,1),$B$78:$B$90,"&lt;="&amp;DATE(2049,5,31))</x:f>
        <x:v>0</x:v>
      </x:c>
    </x:row>
    <x:row r="85" ht="38" customHeight="1">
      <x:c r="A85" s="386" t="str">
        <x:v>Installment, June–August</x:v>
      </x:c>
      <x:c r="B85" s="387" t="d">
        <x:v>2026-06-30T00:00:00.000Z</x:v>
      </x:c>
      <x:c r="C85" s="388" t="n">
        <x:f>ROUND($C$77*$F$77,0)</x:f>
        <x:v>70375000</x:v>
      </x:c>
      <x:c r="D85" s="389" t="str">
        <x:v>1.25% of the amount borrowed</x:v>
      </x:c>
      <x:c r="E85" s="4" t="str">
        <x:v>https://www.sec.gov/Archives/edgar/data/1341439/000119312526277521/orcl-20260531.htm</x:v>
      </x:c>
      <x:c r="F85" s="4"/>
      <x:c r="G85" s="1"/>
      <x:c r="H85" s="535" t="str">
        <x:v>FY2050</x:v>
      </x:c>
      <x:c r="I85" s="536" t="n">
        <x:f>SUMIFS($E$95:$E$152,$B$95:$B$152,"&gt;="&amp;DATE(2049,6,1),$B$95:$B$152,"&lt;="&amp;DATE(2050,5,31),$F$95:$F$152,"&lt;&gt;Term loan")+SUMIFS($C$78:$C$90,$B$78:$B$90,"&gt;="&amp;DATE(2049,6,1),$B$78:$B$90,"&lt;="&amp;DATE(2050,5,31))</x:f>
        <x:v>4500000000</x:v>
      </x:c>
    </x:row>
    <x:row r="86" ht="38" customHeight="1">
      <x:c r="A86" s="386" t="str">
        <x:v>Installment, scheduled</x:v>
      </x:c>
      <x:c r="B86" s="387" t="d">
        <x:v>2026-09-30T00:00:00.000Z</x:v>
      </x:c>
      <x:c r="C86" s="388" t="n">
        <x:f>ROUND($C$77*$F$78,0)</x:f>
        <x:v>140750000</x:v>
      </x:c>
      <x:c r="D86" s="389" t="str">
        <x:v>2.50% of the amount borrowed</x:v>
      </x:c>
      <x:c r="E86" s="4"/>
      <x:c r="F86" s="4"/>
      <x:c r="G86" s="1"/>
      <x:c r="H86" s="535" t="str">
        <x:v>FY2051</x:v>
      </x:c>
      <x:c r="I86" s="536" t="n">
        <x:f>SUMIFS($E$95:$E$152,$B$95:$B$152,"&gt;="&amp;DATE(2050,6,1),$B$95:$B$152,"&lt;="&amp;DATE(2051,5,31),$F$95:$F$152,"&lt;&gt;Term loan")+SUMIFS($C$78:$C$90,$B$78:$B$90,"&gt;="&amp;DATE(2050,6,1),$B$78:$B$90,"&lt;="&amp;DATE(2051,5,31))</x:f>
        <x:v>3250000000</x:v>
      </x:c>
    </x:row>
    <x:row r="87" ht="38" customHeight="1">
      <x:c r="A87" s="386" t="str">
        <x:v>Installment, scheduled</x:v>
      </x:c>
      <x:c r="B87" s="387" t="d">
        <x:v>2026-12-31T00:00:00.000Z</x:v>
      </x:c>
      <x:c r="C87" s="388" t="n">
        <x:f>ROUND($C$77*$F$78,0)</x:f>
        <x:v>140750000</x:v>
      </x:c>
      <x:c r="D87" s="389" t="str">
        <x:v>2.50% of the amount borrowed</x:v>
      </x:c>
      <x:c r="E87" s="4"/>
      <x:c r="F87" s="4"/>
      <x:c r="G87" s="1"/>
      <x:c r="H87" s="535" t="str">
        <x:v>FY2052</x:v>
      </x:c>
      <x:c r="I87" s="536" t="n">
        <x:f>SUMIFS($E$95:$E$152,$B$95:$B$152,"&gt;="&amp;DATE(2051,6,1),$B$95:$B$152,"&lt;="&amp;DATE(2052,5,31),$F$95:$F$152,"&lt;&gt;Term loan")+SUMIFS($C$78:$C$90,$B$78:$B$90,"&gt;="&amp;DATE(2051,6,1),$B$78:$B$90,"&lt;="&amp;DATE(2052,5,31))</x:f>
        <x:v>0</x:v>
      </x:c>
    </x:row>
    <x:row r="88" ht="38" customHeight="1">
      <x:c r="A88" s="386" t="str">
        <x:v>Installment, scheduled</x:v>
      </x:c>
      <x:c r="B88" s="387" t="d">
        <x:v>2027-03-31T00:00:00.000Z</x:v>
      </x:c>
      <x:c r="C88" s="388" t="n">
        <x:f>ROUND($C$77*$F$78,0)</x:f>
        <x:v>140750000</x:v>
      </x:c>
      <x:c r="D88" s="389" t="str">
        <x:v>2.50% of the amount borrowed</x:v>
      </x:c>
      <x:c r="E88" s="4"/>
      <x:c r="F88" s="4"/>
      <x:c r="G88" s="1"/>
      <x:c r="H88" s="535" t="str">
        <x:v>FY2053</x:v>
      </x:c>
      <x:c r="I88" s="536" t="n">
        <x:f>SUMIFS($E$95:$E$152,$B$95:$B$152,"&gt;="&amp;DATE(2052,6,1),$B$95:$B$152,"&lt;="&amp;DATE(2053,5,31),$F$95:$F$152,"&lt;&gt;Term loan")+SUMIFS($C$78:$C$90,$B$78:$B$90,"&gt;="&amp;DATE(2052,6,1),$B$78:$B$90,"&lt;="&amp;DATE(2053,5,31))</x:f>
        <x:v>4750000000</x:v>
      </x:c>
    </x:row>
    <x:row r="89" ht="38" customHeight="1">
      <x:c r="A89" s="386" t="str">
        <x:v>Installment, scheduled</x:v>
      </x:c>
      <x:c r="B89" s="387" t="d">
        <x:v>2027-06-30T00:00:00.000Z</x:v>
      </x:c>
      <x:c r="C89" s="388" t="n">
        <x:f>ROUND($C$77*$F$78,0)</x:f>
        <x:v>140750000</x:v>
      </x:c>
      <x:c r="D89" s="389" t="str">
        <x:v>2.50% of the amount borrowed</x:v>
      </x:c>
      <x:c r="E89" s="4"/>
      <x:c r="F89" s="4"/>
      <x:c r="G89" s="1"/>
      <x:c r="H89" s="535" t="str">
        <x:v>FY2054</x:v>
      </x:c>
      <x:c r="I89" s="536" t="n">
        <x:f>SUMIFS($E$95:$E$152,$B$95:$B$152,"&gt;="&amp;DATE(2053,6,1),$B$95:$B$152,"&lt;="&amp;DATE(2054,5,31),$F$95:$F$152,"&lt;&gt;Term loan")+SUMIFS($C$78:$C$90,$B$78:$B$90,"&gt;="&amp;DATE(2053,6,1),$B$78:$B$90,"&lt;="&amp;DATE(2054,5,31))</x:f>
        <x:v>0</x:v>
      </x:c>
    </x:row>
    <x:row r="90" ht="38" customHeight="1">
      <x:c r="A90" s="386" t="str">
        <x:v>Remaining principal</x:v>
      </x:c>
      <x:c r="B90" s="387" t="d">
        <x:v>2027-08-16T00:00:00.000Z</x:v>
      </x:c>
      <x:c r="C90" s="388" t="n">
        <x:f>C77-SUM(C78:C89)</x:f>
        <x:v>4504000000</x:v>
      </x:c>
      <x:c r="D90" s="389" t="str">
        <x:v>Due August 16, 2027 unless Oracle extends it (up to 2 years at its option).</x:v>
      </x:c>
      <x:c r="E90" s="4"/>
      <x:c r="F90" s="4"/>
      <x:c r="G90" s="1"/>
      <x:c r="H90" s="535" t="str">
        <x:v>FY2055</x:v>
      </x:c>
      <x:c r="I90" s="536" t="n">
        <x:f>SUMIFS($E$95:$E$152,$B$95:$B$152,"&gt;="&amp;DATE(2054,6,1),$B$95:$B$152,"&lt;="&amp;DATE(2055,5,31),$F$95:$F$152,"&lt;&gt;Term loan")+SUMIFS($C$78:$C$90,$B$78:$B$90,"&gt;="&amp;DATE(2054,6,1),$B$78:$B$90,"&lt;="&amp;DATE(2055,5,31))</x:f>
        <x:v>3000000000</x:v>
      </x:c>
    </x:row>
    <x:row r="91" ht="38" customHeight="1">
      <x:c r="A91" s="386" t="str">
        <x:v>Principal outstanding at August 31, 2026</x:v>
      </x:c>
      <x:c r="B91" s="205"/>
      <x:c r="C91" s="388" t="n">
        <x:f>C77-SUMIFS(C78:C89,B78:B89,"&lt;="&amp;DATE(2026,8,31))</x:f>
        <x:v>5067000000</x:v>
      </x:c>
      <x:c r="D91" s="16"/>
      <x:c r="E91" s="4"/>
      <x:c r="F91" s="4"/>
      <x:c r="G91" s="1"/>
      <x:c r="H91" s="535" t="str">
        <x:v>FY2056</x:v>
      </x:c>
      <x:c r="I91" s="536" t="n">
        <x:f>SUMIFS($E$95:$E$152,$B$95:$B$152,"&gt;="&amp;DATE(2055,6,1),$B$95:$B$152,"&lt;="&amp;DATE(2056,5,31),$F$95:$F$152,"&lt;&gt;Term loan")+SUMIFS($C$78:$C$90,$B$78:$B$90,"&gt;="&amp;DATE(2055,6,1),$B$78:$B$90,"&lt;="&amp;DATE(2056,5,31))</x:f>
        <x:v>10250000000</x:v>
      </x:c>
    </x:row>
    <x:row r="92" ht="38" customHeight="1">
      <x:c r="A92" s="390" t="str">
        <x:v>Check: calculated May 31, 2026 balance less reported 5,137M</x:v>
      </x:c>
      <x:c r="B92" s="206"/>
      <x:c r="C92" s="391" t="n">
        <x:f>C77-SUMIFS(C78:C89,B78:B89,"&lt;="&amp;DATE(2026,5,31))-C151</x:f>
        <x:v>375000</x:v>
      </x:c>
      <x:c r="D92" s="394" t="str">
        <x:v>Reported to the nearest million; a difference under 0.5M agrees.</x:v>
      </x:c>
      <x:c r="E92" s="4"/>
      <x:c r="F92" s="4"/>
      <x:c r="G92" s="1"/>
      <x:c r="H92" s="535" t="str">
        <x:v>FY2057</x:v>
      </x:c>
      <x:c r="I92" s="536" t="n">
        <x:f>SUMIFS($E$95:$E$152,$B$95:$B$152,"&gt;="&amp;DATE(2056,6,1),$B$95:$B$152,"&lt;="&amp;DATE(2057,5,31),$F$95:$F$152,"&lt;&gt;Term loan")+SUMIFS($C$78:$C$90,$B$78:$B$90,"&gt;="&amp;DATE(2056,6,1),$B$78:$B$90,"&lt;="&amp;DATE(2057,5,31))</x:f>
        <x:v>0</x:v>
      </x:c>
    </x:row>
    <x:row r="93">
      <x:c r="A93" s="4"/>
      <x:c r="B93" s="4"/>
      <x:c r="C93" s="4"/>
      <x:c r="D93" s="4"/>
      <x:c r="E93" s="4"/>
      <x:c r="F93" s="4"/>
      <x:c r="G93" s="1"/>
      <x:c r="H93" s="535" t="str">
        <x:v>FY2058</x:v>
      </x:c>
      <x:c r="I93" s="536" t="n">
        <x:f>SUMIFS($E$95:$E$152,$B$95:$B$152,"&gt;="&amp;DATE(2057,6,1),$B$95:$B$152,"&lt;="&amp;DATE(2058,5,31),$F$95:$F$152,"&lt;&gt;Term loan")+SUMIFS($C$78:$C$90,$B$78:$B$90,"&gt;="&amp;DATE(2057,6,1),$B$78:$B$90,"&lt;="&amp;DATE(2058,5,31))</x:f>
        <x:v>0</x:v>
      </x:c>
    </x:row>
    <x:row r="94" ht="42" customHeight="1">
      <x:c r="A94" s="383" t="str">
        <x:v>Instrument (10-K debt table)</x:v>
      </x:c>
      <x:c r="B94" s="384" t="str">
        <x:v>Maturity</x:v>
      </x:c>
      <x:c r="C94" s="384" t="str">
        <x:v>May 31, 2026 principal (USD millions)</x:v>
      </x:c>
      <x:c r="D94" s="384" t="str">
        <x:v>Status and source</x:v>
      </x:c>
      <x:c r="E94" s="384" t="str">
        <x:v>August 31, 2026 principal (USD millions)</x:v>
      </x:c>
      <x:c r="F94" s="385" t="str">
        <x:v>Kind</x:v>
      </x:c>
      <x:c r="G94" s="1"/>
      <x:c r="H94" s="535" t="str">
        <x:v>FY2059</x:v>
      </x:c>
      <x:c r="I94" s="536" t="n">
        <x:f>SUMIFS($E$95:$E$152,$B$95:$B$152,"&gt;="&amp;DATE(2058,6,1),$B$95:$B$152,"&lt;="&amp;DATE(2059,5,31),$F$95:$F$152,"&lt;&gt;Term loan")+SUMIFS($C$78:$C$90,$B$78:$B$90,"&gt;="&amp;DATE(2058,6,1),$B$78:$B$90,"&lt;="&amp;DATE(2059,5,31))</x:f>
        <x:v>0</x:v>
      </x:c>
    </x:row>
    <x:row r="95" ht="42" customHeight="1">
      <x:c r="A95" s="386" t="str">
        <x:v>$3,000M, 2.65%, due July 2026</x:v>
      </x:c>
      <x:c r="B95" s="387" t="d">
        <x:v>2026-07-15T00:00:00.000Z</x:v>
      </x:c>
      <x:c r="C95" s="393" t="n">
        <x:v>3000000000</x:v>
      </x:c>
      <x:c r="D95" s="395" t="str">
        <x:v>Matured. us-gaap:DebtInstrumentCarryingAmount context C_f6f6c107-8a12-4a7a-ad60-94e54101fe3c; maturity context C_82c89223-0cbb-481e-84b9-48f80a5082f5; 0001193125-26-277521.</x:v>
      </x:c>
      <x:c r="E95" s="388" t="n">
        <x:f>C95-C95</x:f>
        <x:v>0</x:v>
      </x:c>
      <x:c r="F95" s="389" t="str">
        <x:v>Senior notes</x:v>
      </x:c>
      <x:c r="G95" s="1"/>
      <x:c r="H95" s="535" t="str">
        <x:v>FY2060</x:v>
      </x:c>
      <x:c r="I95" s="536" t="n">
        <x:f>SUMIFS($E$95:$E$152,$B$95:$B$152,"&gt;="&amp;DATE(2059,6,1),$B$95:$B$152,"&lt;="&amp;DATE(2060,5,31),$F$95:$F$152,"&lt;&gt;Term loan")+SUMIFS($C$78:$C$90,$B$78:$B$90,"&gt;="&amp;DATE(2059,6,1),$B$78:$B$90,"&lt;="&amp;DATE(2060,5,31))</x:f>
        <x:v>3500000000</x:v>
      </x:c>
    </x:row>
    <x:row r="96" ht="42" customHeight="1">
      <x:c r="A96" s="386" t="str">
        <x:v>$2,250M, 2.80%, due April 2027</x:v>
      </x:c>
      <x:c r="B96" s="387" t="d">
        <x:v>2027-04-01T00:00:00.000Z</x:v>
      </x:c>
      <x:c r="C96" s="393" t="n">
        <x:v>2250000000</x:v>
      </x:c>
      <x:c r="D96" s="395" t="str">
        <x:v>Carried forward. us-gaap:DebtInstrumentCarryingAmount context C_a743ec6f-8eeb-46ab-9053-3f4f619edb0e; maturity context C_4ed1ffae-e627-4ff0-9e73-62f4d4831289; 0001193125-26-277521.</x:v>
      </x:c>
      <x:c r="E96" s="388" t="n">
        <x:f>C96</x:f>
        <x:v>2250000000</x:v>
      </x:c>
      <x:c r="F96" s="389" t="str">
        <x:v>Senior notes</x:v>
      </x:c>
      <x:c r="G96" s="1"/>
      <x:c r="H96" s="535" t="str">
        <x:v>FY2061</x:v>
      </x:c>
      <x:c r="I96" s="536" t="n">
        <x:f>SUMIFS($E$95:$E$152,$B$95:$B$152,"&gt;="&amp;DATE(2060,6,1),$B$95:$B$152,"&lt;="&amp;DATE(2061,5,31),$F$95:$F$152,"&lt;&gt;Term loan")+SUMIFS($C$78:$C$90,$B$78:$B$90,"&gt;="&amp;DATE(2060,6,1),$B$78:$B$90,"&lt;="&amp;DATE(2061,5,31))</x:f>
        <x:v>1500000000</x:v>
      </x:c>
    </x:row>
    <x:row r="97" ht="42" customHeight="1">
      <x:c r="A97" s="386" t="str">
        <x:v>$2,750M, 3.25%, due November 2027</x:v>
      </x:c>
      <x:c r="B97" s="387" t="d">
        <x:v>2027-11-15T00:00:00.000Z</x:v>
      </x:c>
      <x:c r="C97" s="393" t="n">
        <x:v>2750000000</x:v>
      </x:c>
      <x:c r="D97" s="395" t="str">
        <x:v>Carried forward. us-gaap:DebtInstrumentCarryingAmount context C_4c58a11e-87b8-42bf-abc3-7205aad3686f; maturity context C_1c95f548-9457-4d15-a314-5846d57f51bb; 0001193125-26-277521.</x:v>
      </x:c>
      <x:c r="E97" s="388" t="n">
        <x:f>C97</x:f>
        <x:v>2750000000</x:v>
      </x:c>
      <x:c r="F97" s="389" t="str">
        <x:v>Senior notes</x:v>
      </x:c>
      <x:c r="G97" s="1"/>
      <x:c r="H97" s="535" t="str">
        <x:v>FY2062</x:v>
      </x:c>
      <x:c r="I97" s="536" t="n">
        <x:f>SUMIFS($E$95:$E$152,$B$95:$B$152,"&gt;="&amp;DATE(2061,6,1),$B$95:$B$152,"&lt;="&amp;DATE(2062,5,31),$F$95:$F$152,"&lt;&gt;Term loan")+SUMIFS($C$78:$C$90,$B$78:$B$90,"&gt;="&amp;DATE(2061,6,1),$B$78:$B$90,"&lt;="&amp;DATE(2062,5,31))</x:f>
        <x:v>0</x:v>
      </x:c>
    </x:row>
    <x:row r="98" ht="42" customHeight="1">
      <x:c r="A98" s="386" t="str">
        <x:v>$2,000M, 2.30%, due March 2028</x:v>
      </x:c>
      <x:c r="B98" s="387" t="d">
        <x:v>2028-03-25T00:00:00.000Z</x:v>
      </x:c>
      <x:c r="C98" s="393" t="n">
        <x:v>2000000000</x:v>
      </x:c>
      <x:c r="D98" s="395" t="str">
        <x:v>Carried forward. us-gaap:DebtInstrumentCarryingAmount context C_4a760de7-ba70-4c1c-ac7b-173b0770c81c; maturity context C_41995800-b301-4bca-aa8e-d3d7891b9a21; 0001193125-26-277521.</x:v>
      </x:c>
      <x:c r="E98" s="388" t="n">
        <x:f>C98</x:f>
        <x:v>2000000000</x:v>
      </x:c>
      <x:c r="F98" s="389" t="str">
        <x:v>Senior notes</x:v>
      </x:c>
      <x:c r="G98" s="1"/>
      <x:c r="H98" s="535" t="str">
        <x:v>FY2063</x:v>
      </x:c>
      <x:c r="I98" s="536" t="n">
        <x:f>SUMIFS($E$95:$E$152,$B$95:$B$152,"&gt;="&amp;DATE(2062,6,1),$B$95:$B$152,"&lt;="&amp;DATE(2063,5,31),$F$95:$F$152,"&lt;&gt;Term loan")+SUMIFS($C$78:$C$90,$B$78:$B$90,"&gt;="&amp;DATE(2062,6,1),$B$78:$B$90,"&lt;="&amp;DATE(2063,5,31))</x:f>
        <x:v>0</x:v>
      </x:c>
    </x:row>
    <x:row r="99" ht="42" customHeight="1">
      <x:c r="A99" s="386" t="str">
        <x:v>$750M, 4.50%, due May 2028</x:v>
      </x:c>
      <x:c r="B99" s="387" t="d">
        <x:v>2028-05-31T00:00:00.000Z</x:v>
      </x:c>
      <x:c r="C99" s="393" t="n">
        <x:v>750000000</x:v>
      </x:c>
      <x:c r="D99" s="395" t="str">
        <x:v>Carried forward. us-gaap:DebtInstrumentCarryingAmount context C_9142af28-1adb-4c96-b444-3af20bbae4be; maturity context C_ee007d6d-25d3-45c9-b6db-c8e95861832f; 0001193125-26-277521.</x:v>
      </x:c>
      <x:c r="E99" s="388" t="n">
        <x:f>C99</x:f>
        <x:v>750000000</x:v>
      </x:c>
      <x:c r="F99" s="389" t="str">
        <x:v>Senior notes</x:v>
      </x:c>
      <x:c r="G99" s="1"/>
      <x:c r="H99" s="535" t="str">
        <x:v>FY2064</x:v>
      </x:c>
      <x:c r="I99" s="536" t="n">
        <x:f>SUMIFS($E$95:$E$152,$B$95:$B$152,"&gt;="&amp;DATE(2063,6,1),$B$95:$B$152,"&lt;="&amp;DATE(2064,5,31),$F$95:$F$152,"&lt;&gt;Term loan")+SUMIFS($C$78:$C$90,$B$78:$B$90,"&gt;="&amp;DATE(2063,6,1),$B$78:$B$90,"&lt;="&amp;DATE(2064,5,31))</x:f>
        <x:v>0</x:v>
      </x:c>
    </x:row>
    <x:row r="100" ht="42" customHeight="1">
      <x:c r="A100" s="386" t="str">
        <x:v>$1,500M, 4.80%, due August 2028</x:v>
      </x:c>
      <x:c r="B100" s="387" t="d">
        <x:v>2028-08-03T00:00:00.000Z</x:v>
      </x:c>
      <x:c r="C100" s="393" t="n">
        <x:v>1500000000</x:v>
      </x:c>
      <x:c r="D100" s="395" t="str">
        <x:v>Carried forward. us-gaap:DebtInstrumentCarryingAmount context C_6d6ee105-8c7d-4446-b600-b6b3bf8abe98; maturity context C_b0308845-53c8-4e78-84f0-632a05942478; 0001193125-26-277521.</x:v>
      </x:c>
      <x:c r="E100" s="388" t="n">
        <x:f>C100</x:f>
        <x:v>1500000000</x:v>
      </x:c>
      <x:c r="F100" s="389" t="str">
        <x:v>Senior notes</x:v>
      </x:c>
      <x:c r="G100" s="1"/>
      <x:c r="H100" s="535" t="str">
        <x:v>FY2065</x:v>
      </x:c>
      <x:c r="I100" s="536" t="n">
        <x:f>SUMIFS($E$95:$E$152,$B$95:$B$152,"&gt;="&amp;DATE(2064,6,1),$B$95:$B$152,"&lt;="&amp;DATE(2065,5,31),$F$95:$F$152,"&lt;&gt;Term loan")+SUMIFS($C$78:$C$90,$B$78:$B$90,"&gt;="&amp;DATE(2064,6,1),$B$78:$B$90,"&lt;="&amp;DATE(2065,5,31))</x:f>
        <x:v>1250000000</x:v>
      </x:c>
    </x:row>
    <x:row r="101" ht="42" customHeight="1">
      <x:c r="A101" s="386" t="str">
        <x:v>$3,000M, 4.55%, due February 2029</x:v>
      </x:c>
      <x:c r="B101" s="387" t="d">
        <x:v>2029-02-04T00:00:00.000Z</x:v>
      </x:c>
      <x:c r="C101" s="393" t="n">
        <x:v>3000000000</x:v>
      </x:c>
      <x:c r="D101" s="395" t="str">
        <x:v>Carried forward. us-gaap:DebtInstrumentCarryingAmount context C_65c60c9a-dbfb-41bd-abf8-5f20f2aaba3f; maturity context C_60faf990-bab5-4720-a6bb-473674f3409b; 0001193125-26-277521.</x:v>
      </x:c>
      <x:c r="E101" s="388" t="n">
        <x:f>C101</x:f>
        <x:v>3000000000</x:v>
      </x:c>
      <x:c r="F101" s="389" t="str">
        <x:v>Senior notes</x:v>
      </x:c>
      <x:c r="G101" s="1"/>
      <x:c r="H101" s="537" t="str">
        <x:v>FY2066</x:v>
      </x:c>
      <x:c r="I101" s="538" t="n">
        <x:f>SUMIFS($E$95:$E$152,$B$95:$B$152,"&gt;="&amp;DATE(2065,6,1),$B$95:$B$152,"&lt;="&amp;DATE(2066,5,31),$F$95:$F$152,"&lt;&gt;Term loan")+SUMIFS($C$78:$C$90,$B$78:$B$90,"&gt;="&amp;DATE(2065,6,1),$B$78:$B$90,"&lt;="&amp;DATE(2066,5,31))</x:f>
        <x:v>5750000000</x:v>
      </x:c>
    </x:row>
    <x:row r="102" ht="42" customHeight="1">
      <x:c r="A102" s="386" t="str">
        <x:v>$1,500M, 4.20%, due September 2029</x:v>
      </x:c>
      <x:c r="B102" s="387" t="d">
        <x:v>2029-09-27T00:00:00.000Z</x:v>
      </x:c>
      <x:c r="C102" s="393" t="n">
        <x:v>1500000000</x:v>
      </x:c>
      <x:c r="D102" s="395" t="str">
        <x:v>Carried forward. us-gaap:DebtInstrumentCarryingAmount context C_4b945cce-a91e-4713-8804-16879a87ff5b; maturity context C_284f12f2-49cc-4919-9bfe-565b7cb11da3; 0001193125-26-277521.</x:v>
      </x:c>
      <x:c r="E102" s="388" t="n">
        <x:f>C102</x:f>
        <x:v>1500000000</x:v>
      </x:c>
      <x:c r="F102" s="389" t="str">
        <x:v>Senior notes</x:v>
      </x:c>
      <x:c r="G102" s="1"/>
      <x:c r="H102" s="1"/>
      <x:c r="I102" s="1"/>
    </x:row>
    <x:row r="103" ht="42" customHeight="1">
      <x:c r="A103" s="386" t="str">
        <x:v>$1,250M, 6.15%, due November 2029</x:v>
      </x:c>
      <x:c r="B103" s="387" t="d">
        <x:v>2029-11-09T00:00:00.000Z</x:v>
      </x:c>
      <x:c r="C103" s="393" t="n">
        <x:v>1250000000</x:v>
      </x:c>
      <x:c r="D103" s="395" t="str">
        <x:v>Carried forward. us-gaap:DebtInstrumentCarryingAmount context C_8aa7e201-edc6-4920-8256-35f8ee18f4b8; maturity context C_4973fb3e-333f-477a-ba61-72a554e14e74; 0001193125-26-277521.</x:v>
      </x:c>
      <x:c r="E103" s="388" t="n">
        <x:f>C103</x:f>
        <x:v>1250000000</x:v>
      </x:c>
      <x:c r="F103" s="389" t="str">
        <x:v>Senior notes</x:v>
      </x:c>
      <x:c r="G103" s="1"/>
      <x:c r="H103" s="1"/>
      <x:c r="I103" s="1"/>
    </x:row>
    <x:row r="104" ht="42" customHeight="1">
      <x:c r="A104" s="386" t="str">
        <x:v>$3,250M, 2.95%, due April 2030</x:v>
      </x:c>
      <x:c r="B104" s="387" t="d">
        <x:v>2030-04-01T00:00:00.000Z</x:v>
      </x:c>
      <x:c r="C104" s="393" t="n">
        <x:v>3250000000</x:v>
      </x:c>
      <x:c r="D104" s="395" t="str">
        <x:v>Carried forward. us-gaap:DebtInstrumentCarryingAmount context C_b19b50e6-b222-456d-9fea-1bca5e3fb634; maturity context C_e5ce1dde-2e13-478e-abdb-bcf96493f139; 0001193125-26-277521.</x:v>
      </x:c>
      <x:c r="E104" s="388" t="n">
        <x:f>C104</x:f>
        <x:v>3250000000</x:v>
      </x:c>
      <x:c r="F104" s="389" t="str">
        <x:v>Senior notes</x:v>
      </x:c>
      <x:c r="G104" s="1"/>
      <x:c r="H104" s="1"/>
      <x:c r="I104" s="1"/>
    </x:row>
    <x:row r="105" ht="42" customHeight="1">
      <x:c r="A105" s="386" t="str">
        <x:v>$750M, 4.65%, due May 2030</x:v>
      </x:c>
      <x:c r="B105" s="387" t="d">
        <x:v>2030-05-31T00:00:00.000Z</x:v>
      </x:c>
      <x:c r="C105" s="393" t="n">
        <x:v>750000000</x:v>
      </x:c>
      <x:c r="D105" s="395" t="str">
        <x:v>Carried forward. us-gaap:DebtInstrumentCarryingAmount context C_c76136cd-2797-4fef-883c-79d66d5a2837; maturity context C_59ec280a-ba89-4433-a4e5-ee4f403f9184; 0001193125-26-277521.</x:v>
      </x:c>
      <x:c r="E105" s="388" t="n">
        <x:f>C105</x:f>
        <x:v>750000000</x:v>
      </x:c>
      <x:c r="F105" s="389" t="str">
        <x:v>Senior notes</x:v>
      </x:c>
      <x:c r="G105" s="1"/>
      <x:c r="H105" s="1"/>
      <x:c r="I105" s="1"/>
    </x:row>
    <x:row r="106" ht="42" customHeight="1">
      <x:c r="A106" s="386" t="str">
        <x:v>$500M, 3.25%, due May 2030</x:v>
      </x:c>
      <x:c r="B106" s="387" t="d">
        <x:v>2030-05-15T00:00:00.000Z</x:v>
      </x:c>
      <x:c r="C106" s="393" t="n">
        <x:v>500000000</x:v>
      </x:c>
      <x:c r="D106" s="395" t="str">
        <x:v>Carried forward. us-gaap:DebtInstrumentCarryingAmount context C_70c2256f-1f16-4e15-bc5c-53c1fc629421; maturity context C_c0d2d8c5-4432-486a-8154-4b567f4506b1; 0001193125-26-277521.</x:v>
      </x:c>
      <x:c r="E106" s="388" t="n">
        <x:f>C106</x:f>
        <x:v>500000000</x:v>
      </x:c>
      <x:c r="F106" s="389" t="str">
        <x:v>Senior notes</x:v>
      </x:c>
      <x:c r="G106" s="1"/>
      <x:c r="H106" s="1"/>
      <x:c r="I106" s="1"/>
    </x:row>
    <x:row r="107" ht="42" customHeight="1">
      <x:c r="A107" s="386" t="str">
        <x:v>$3,000M, 4.45%, due September 2030</x:v>
      </x:c>
      <x:c r="B107" s="387" t="d">
        <x:v>2030-09-26T00:00:00.000Z</x:v>
      </x:c>
      <x:c r="C107" s="393" t="n">
        <x:v>3000000000</x:v>
      </x:c>
      <x:c r="D107" s="395" t="str">
        <x:v>Carried forward. us-gaap:DebtInstrumentCarryingAmount context C_113e803d-da69-4c22-a39c-a109d7514b35; maturity context C_450fa2a2-ef57-465e-8c9a-60b4dc366c86; 0001193125-26-277521.</x:v>
      </x:c>
      <x:c r="E107" s="388" t="n">
        <x:f>C107</x:f>
        <x:v>3000000000</x:v>
      </x:c>
      <x:c r="F107" s="389" t="str">
        <x:v>Senior notes</x:v>
      </x:c>
      <x:c r="G107" s="1"/>
      <x:c r="H107" s="1"/>
      <x:c r="I107" s="1"/>
    </x:row>
    <x:row r="108" ht="42" customHeight="1">
      <x:c r="A108" s="386" t="str">
        <x:v>$3,500M, 4.95%, due February 2031</x:v>
      </x:c>
      <x:c r="B108" s="387" t="d">
        <x:v>2031-02-04T00:00:00.000Z</x:v>
      </x:c>
      <x:c r="C108" s="393" t="n">
        <x:v>3500000000</x:v>
      </x:c>
      <x:c r="D108" s="395" t="str">
        <x:v>Carried forward. us-gaap:DebtInstrumentCarryingAmount context C_87f6716e-b1b9-4a3d-9ba1-858589593ee3; maturity context C_0929a12e-be9c-4351-bfcf-c9898bf10fa9; 0001193125-26-277521.</x:v>
      </x:c>
      <x:c r="E108" s="388" t="n">
        <x:f>C108</x:f>
        <x:v>3500000000</x:v>
      </x:c>
      <x:c r="F108" s="389" t="str">
        <x:v>Senior notes</x:v>
      </x:c>
      <x:c r="G108" s="1"/>
      <x:c r="H108" s="1"/>
      <x:c r="I108" s="1"/>
    </x:row>
    <x:row r="109" ht="42" customHeight="1">
      <x:c r="A109" s="386" t="str">
        <x:v>$3,250M, 2.875%, due March 2031</x:v>
      </x:c>
      <x:c r="B109" s="387" t="d">
        <x:v>2031-03-31T00:00:00.000Z</x:v>
      </x:c>
      <x:c r="C109" s="393" t="n">
        <x:v>3250000000</x:v>
      </x:c>
      <x:c r="D109" s="395" t="str">
        <x:v>Carried forward. us-gaap:DebtInstrumentCarryingAmount context C_48f76007-8b8f-482c-ae4e-cc2d13f4241b; maturity context C_011cb79f-6e74-4a91-be76-d4061500e549; 0001193125-26-277521.</x:v>
      </x:c>
      <x:c r="E109" s="388" t="n">
        <x:f>C109</x:f>
        <x:v>3250000000</x:v>
      </x:c>
      <x:c r="F109" s="389" t="str">
        <x:v>Senior notes</x:v>
      </x:c>
      <x:c r="G109" s="1"/>
      <x:c r="H109" s="1"/>
      <x:c r="I109" s="1"/>
    </x:row>
    <x:row r="110" ht="42" customHeight="1">
      <x:c r="A110" s="386" t="str">
        <x:v>$1,250M, 5.25%, due February 2032</x:v>
      </x:c>
      <x:c r="B110" s="387" t="d">
        <x:v>2032-02-03T00:00:00.000Z</x:v>
      </x:c>
      <x:c r="C110" s="393" t="n">
        <x:v>1250000000</x:v>
      </x:c>
      <x:c r="D110" s="395" t="str">
        <x:v>Carried forward. us-gaap:DebtInstrumentCarryingAmount context C_e42f7f37-e8c5-46a8-90f7-e218c66724e4; maturity context C_0ee767cf-95d4-47fb-b863-88f4b4296910; 0001193125-26-277521.</x:v>
      </x:c>
      <x:c r="E110" s="388" t="n">
        <x:f>C110</x:f>
        <x:v>1250000000</x:v>
      </x:c>
      <x:c r="F110" s="389" t="str">
        <x:v>Senior notes</x:v>
      </x:c>
      <x:c r="G110" s="1"/>
      <x:c r="H110" s="1"/>
      <x:c r="I110" s="1"/>
    </x:row>
    <x:row r="111" ht="42" customHeight="1">
      <x:c r="A111" s="386" t="str">
        <x:v>$3,000M, 4.80%, due September 2032</x:v>
      </x:c>
      <x:c r="B111" s="387" t="d">
        <x:v>2032-09-26T00:00:00.000Z</x:v>
      </x:c>
      <x:c r="C111" s="393" t="n">
        <x:v>3000000000</x:v>
      </x:c>
      <x:c r="D111" s="395" t="str">
        <x:v>Carried forward. us-gaap:DebtInstrumentCarryingAmount context C_50527f49-e9c6-4c52-a8ec-b1c2a0068c55; maturity context C_1703a636-7c7e-455b-9aad-037fbbaacc99; 0001193125-26-277521.</x:v>
      </x:c>
      <x:c r="E111" s="388" t="n">
        <x:f>C111</x:f>
        <x:v>3000000000</x:v>
      </x:c>
      <x:c r="F111" s="389" t="str">
        <x:v>Senior notes</x:v>
      </x:c>
      <x:c r="G111" s="1"/>
      <x:c r="H111" s="1"/>
      <x:c r="I111" s="1"/>
    </x:row>
    <x:row r="112" ht="42" customHeight="1">
      <x:c r="A112" s="386" t="str">
        <x:v>$2,250M, 6.25%, due November 2032</x:v>
      </x:c>
      <x:c r="B112" s="387" t="d">
        <x:v>2032-11-09T00:00:00.000Z</x:v>
      </x:c>
      <x:c r="C112" s="393" t="n">
        <x:v>2250000000</x:v>
      </x:c>
      <x:c r="D112" s="395" t="str">
        <x:v>Carried forward. us-gaap:DebtInstrumentCarryingAmount context C_3baaf4b5-05a7-4e95-a2c7-fdbbde90234a; maturity context C_cecd92ce-5eb3-4ec8-94f1-e313e35dd75e; 0001193125-26-277521.</x:v>
      </x:c>
      <x:c r="E112" s="388" t="n">
        <x:f>C112</x:f>
        <x:v>2250000000</x:v>
      </x:c>
      <x:c r="F112" s="389" t="str">
        <x:v>Senior notes</x:v>
      </x:c>
      <x:c r="G112" s="1"/>
      <x:c r="H112" s="1"/>
      <x:c r="I112" s="1"/>
    </x:row>
    <x:row r="113" ht="42" customHeight="1">
      <x:c r="A113" s="386" t="str">
        <x:v>$1,500M, 4.90%, due February 2033</x:v>
      </x:c>
      <x:c r="B113" s="387" t="d">
        <x:v>2033-02-28T00:00:00.000Z</x:v>
      </x:c>
      <x:c r="C113" s="393" t="n">
        <x:v>1500000000</x:v>
      </x:c>
      <x:c r="D113" s="395" t="str">
        <x:v>Carried forward. us-gaap:DebtInstrumentCarryingAmount context C_532c52db-e3a7-41dc-a1d8-5abc4267e4d1; maturity context C_8c69b03d-1853-45b2-905e-31a465a92f7e; 0001193125-26-277521.</x:v>
      </x:c>
      <x:c r="E113" s="388" t="n">
        <x:f>C113</x:f>
        <x:v>1500000000</x:v>
      </x:c>
      <x:c r="F113" s="389" t="str">
        <x:v>Senior notes</x:v>
      </x:c>
      <x:c r="G113" s="1"/>
      <x:c r="H113" s="1"/>
      <x:c r="I113" s="1"/>
    </x:row>
    <x:row r="114" ht="42" customHeight="1">
      <x:c r="A114" s="386" t="str">
        <x:v>$3,000M, 5.35%, due May 2033</x:v>
      </x:c>
      <x:c r="B114" s="387" t="d">
        <x:v>2033-05-04T00:00:00.000Z</x:v>
      </x:c>
      <x:c r="C114" s="393" t="n">
        <x:v>3000000000</x:v>
      </x:c>
      <x:c r="D114" s="395" t="str">
        <x:v>Carried forward. us-gaap:DebtInstrumentCarryingAmount context C_b9924291-37c4-4597-bf81-6b6f7148423e; maturity context C_2bf90733-de25-4675-b8ec-f0cae3262cec; 0001193125-26-277521.</x:v>
      </x:c>
      <x:c r="E114" s="388" t="n">
        <x:f>C114</x:f>
        <x:v>3000000000</x:v>
      </x:c>
      <x:c r="F114" s="389" t="str">
        <x:v>Senior notes</x:v>
      </x:c>
      <x:c r="G114" s="1"/>
      <x:c r="H114" s="1"/>
      <x:c r="I114" s="1"/>
    </x:row>
    <x:row r="115" ht="42" customHeight="1">
      <x:c r="A115" s="386" t="str">
        <x:v>$1,750M, 4.30%, due July 2034</x:v>
      </x:c>
      <x:c r="B115" s="387" t="d">
        <x:v>2034-07-08T00:00:00.000Z</x:v>
      </x:c>
      <x:c r="C115" s="393" t="n">
        <x:v>1750000000</x:v>
      </x:c>
      <x:c r="D115" s="395" t="str">
        <x:v>Carried forward. us-gaap:DebtInstrumentCarryingAmount context C_f735565f-4060-4ea6-9a9b-a17b4d097aca; maturity context C_fdd0efc7-2a44-4070-96c8-a22a2e9be324; 0001193125-26-277521.</x:v>
      </x:c>
      <x:c r="E115" s="388" t="n">
        <x:f>C115</x:f>
        <x:v>1750000000</x:v>
      </x:c>
      <x:c r="F115" s="389" t="str">
        <x:v>Senior notes</x:v>
      </x:c>
      <x:c r="G115" s="1"/>
      <x:c r="H115" s="1"/>
      <x:c r="I115" s="1"/>
    </x:row>
    <x:row r="116" ht="42" customHeight="1">
      <x:c r="A116" s="386" t="str">
        <x:v>$1,750M, 4.70%, due September 2034</x:v>
      </x:c>
      <x:c r="B116" s="387" t="d">
        <x:v>2034-09-27T00:00:00.000Z</x:v>
      </x:c>
      <x:c r="C116" s="393" t="n">
        <x:v>1750000000</x:v>
      </x:c>
      <x:c r="D116" s="395" t="str">
        <x:v>Carried forward. us-gaap:DebtInstrumentCarryingAmount context C_15416320-28ee-45bd-9193-de9adecf8103; maturity context C_5494947c-d4aa-4925-ace3-a65e708e5657; 0001193125-26-277521.</x:v>
      </x:c>
      <x:c r="E116" s="388" t="n">
        <x:f>C116</x:f>
        <x:v>1750000000</x:v>
      </x:c>
      <x:c r="F116" s="389" t="str">
        <x:v>Senior notes</x:v>
      </x:c>
      <x:c r="G116" s="1"/>
      <x:c r="H116" s="1"/>
      <x:c r="I116" s="1"/>
    </x:row>
    <x:row r="117" ht="42" customHeight="1">
      <x:c r="A117" s="386" t="str">
        <x:v>$1,250M, 3.90%, due May 2035</x:v>
      </x:c>
      <x:c r="B117" s="387" t="d">
        <x:v>2035-05-15T00:00:00.000Z</x:v>
      </x:c>
      <x:c r="C117" s="393" t="n">
        <x:v>1250000000</x:v>
      </x:c>
      <x:c r="D117" s="395" t="str">
        <x:v>Carried forward. us-gaap:DebtInstrumentCarryingAmount context C_01f50072-c7e6-47ea-9b91-24a078772c62; maturity context C_7ca11f63-9a19-4daa-bfdc-20512d930ab7; 0001193125-26-277521.</x:v>
      </x:c>
      <x:c r="E117" s="388" t="n">
        <x:f>C117</x:f>
        <x:v>1250000000</x:v>
      </x:c>
      <x:c r="F117" s="389" t="str">
        <x:v>Senior notes</x:v>
      </x:c>
      <x:c r="G117" s="1"/>
      <x:c r="H117" s="1"/>
      <x:c r="I117" s="1"/>
    </x:row>
    <x:row r="118" ht="42" customHeight="1">
      <x:c r="A118" s="386" t="str">
        <x:v>$1,750M, 5.50%, due August 2035</x:v>
      </x:c>
      <x:c r="B118" s="387" t="d">
        <x:v>2035-08-03T00:00:00.000Z</x:v>
      </x:c>
      <x:c r="C118" s="393" t="n">
        <x:v>1750000000</x:v>
      </x:c>
      <x:c r="D118" s="395" t="str">
        <x:v>Carried forward. us-gaap:DebtInstrumentCarryingAmount context C_aac57422-340d-4fbf-b85b-5fcc96306c34; maturity context C_828d1f7b-6c6e-40f0-b4d5-f8bb3835de34; 0001193125-26-277521.</x:v>
      </x:c>
      <x:c r="E118" s="388" t="n">
        <x:f>C118</x:f>
        <x:v>1750000000</x:v>
      </x:c>
      <x:c r="F118" s="389" t="str">
        <x:v>Senior notes</x:v>
      </x:c>
      <x:c r="G118" s="1"/>
      <x:c r="H118" s="1"/>
      <x:c r="I118" s="1"/>
    </x:row>
    <x:row r="119" ht="42" customHeight="1">
      <x:c r="A119" s="386" t="str">
        <x:v>$4,000M, 5.20%, due September 2035</x:v>
      </x:c>
      <x:c r="B119" s="387" t="d">
        <x:v>2035-09-26T00:00:00.000Z</x:v>
      </x:c>
      <x:c r="C119" s="393" t="n">
        <x:v>4000000000</x:v>
      </x:c>
      <x:c r="D119" s="395" t="str">
        <x:v>Carried forward. us-gaap:DebtInstrumentCarryingAmount context C_573df544-be68-4729-878f-dc0c4d603869; maturity context C_3ddf21c1-db22-40ae-ab21-78484efaa8f6; 0001193125-26-277521.</x:v>
      </x:c>
      <x:c r="E119" s="388" t="n">
        <x:f>C119</x:f>
        <x:v>4000000000</x:v>
      </x:c>
      <x:c r="F119" s="389" t="str">
        <x:v>Senior notes</x:v>
      </x:c>
      <x:c r="G119" s="1"/>
      <x:c r="H119" s="1"/>
      <x:c r="I119" s="1"/>
    </x:row>
    <x:row r="120" ht="42" customHeight="1">
      <x:c r="A120" s="386" t="str">
        <x:v>$5,000M, 5.70%, due February 2036</x:v>
      </x:c>
      <x:c r="B120" s="387" t="d">
        <x:v>2036-02-04T00:00:00.000Z</x:v>
      </x:c>
      <x:c r="C120" s="393" t="n">
        <x:v>5000000000</x:v>
      </x:c>
      <x:c r="D120" s="395" t="str">
        <x:v>Carried forward. us-gaap:DebtInstrumentCarryingAmount context C_eb11f4ee-c98c-405c-9c32-8f9b81fee1fa; maturity context C_89b9516f-1cdf-4f51-89cd-0a963c57d0de; 0001193125-26-277521.</x:v>
      </x:c>
      <x:c r="E120" s="388" t="n">
        <x:f>C120</x:f>
        <x:v>5000000000</x:v>
      </x:c>
      <x:c r="F120" s="389" t="str">
        <x:v>Senior notes</x:v>
      </x:c>
      <x:c r="G120" s="1"/>
      <x:c r="H120" s="1"/>
      <x:c r="I120" s="1"/>
    </x:row>
    <x:row r="121" ht="42" customHeight="1">
      <x:c r="A121" s="386" t="str">
        <x:v>$1,250M, 3.85%, due July 2036</x:v>
      </x:c>
      <x:c r="B121" s="387" t="d">
        <x:v>2036-07-15T00:00:00.000Z</x:v>
      </x:c>
      <x:c r="C121" s="393" t="n">
        <x:v>1250000000</x:v>
      </x:c>
      <x:c r="D121" s="395" t="str">
        <x:v>Carried forward. us-gaap:DebtInstrumentCarryingAmount context C_72fff26c-c6a0-4942-9b20-5d70cc2c444c; maturity context C_ef573705-b08a-40a1-807a-7491d13bfcc8; 0001193125-26-277521.</x:v>
      </x:c>
      <x:c r="E121" s="388" t="n">
        <x:f>C121</x:f>
        <x:v>1250000000</x:v>
      </x:c>
      <x:c r="F121" s="389" t="str">
        <x:v>Senior notes</x:v>
      </x:c>
      <x:c r="G121" s="1"/>
      <x:c r="H121" s="1"/>
      <x:c r="I121" s="1"/>
    </x:row>
    <x:row r="122" ht="42" customHeight="1">
      <x:c r="A122" s="386" t="str">
        <x:v>$1,750M, 3.80%, due November 2037</x:v>
      </x:c>
      <x:c r="B122" s="387" t="d">
        <x:v>2037-11-15T00:00:00.000Z</x:v>
      </x:c>
      <x:c r="C122" s="393" t="n">
        <x:v>1750000000</x:v>
      </x:c>
      <x:c r="D122" s="395" t="str">
        <x:v>Carried forward. us-gaap:DebtInstrumentCarryingAmount context C_7f258c62-3faa-4ff0-8ea7-70a73c3c6b74; maturity context C_a2306cc6-35b8-453c-ab02-0b0e5b0493be; 0001193125-26-277521.</x:v>
      </x:c>
      <x:c r="E122" s="388" t="n">
        <x:f>C122</x:f>
        <x:v>1750000000</x:v>
      </x:c>
      <x:c r="F122" s="389" t="str">
        <x:v>Senior notes</x:v>
      </x:c>
      <x:c r="G122" s="1"/>
      <x:c r="H122" s="1"/>
      <x:c r="I122" s="1"/>
    </x:row>
    <x:row r="123" ht="42" customHeight="1">
      <x:c r="A123" s="386" t="str">
        <x:v>$1,250M, 6.50%, due April 2038</x:v>
      </x:c>
      <x:c r="B123" s="387" t="d">
        <x:v>2038-04-15T00:00:00.000Z</x:v>
      </x:c>
      <x:c r="C123" s="393" t="n">
        <x:v>1250000000</x:v>
      </x:c>
      <x:c r="D123" s="395" t="str">
        <x:v>Carried forward. us-gaap:DebtInstrumentCarryingAmount context C_3f89c9fc-6e68-4cc6-83e1-9c86b63ce9de; maturity context C_f4141e79-31ec-4605-98b2-166f8d73bb5e; 0001193125-26-277521.</x:v>
      </x:c>
      <x:c r="E123" s="388" t="n">
        <x:f>C123</x:f>
        <x:v>1250000000</x:v>
      </x:c>
      <x:c r="F123" s="389" t="str">
        <x:v>Senior notes</x:v>
      </x:c>
      <x:c r="G123" s="1"/>
      <x:c r="H123" s="1"/>
      <x:c r="I123" s="1"/>
    </x:row>
    <x:row r="124" ht="42" customHeight="1">
      <x:c r="A124" s="386" t="str">
        <x:v>$1,250M, 6.125%, due July 2039</x:v>
      </x:c>
      <x:c r="B124" s="387" t="d">
        <x:v>2039-07-08T00:00:00.000Z</x:v>
      </x:c>
      <x:c r="C124" s="393" t="n">
        <x:v>1250000000</x:v>
      </x:c>
      <x:c r="D124" s="395" t="str">
        <x:v>Carried forward. us-gaap:DebtInstrumentCarryingAmount context C_ac987fd5-0ebc-4b0b-acd6-cb559c89ce69; maturity context C_9c891068-4ae1-4cd3-971b-255cf7a9da34; 0001193125-26-277521.</x:v>
      </x:c>
      <x:c r="E124" s="388" t="n">
        <x:f>C124</x:f>
        <x:v>1250000000</x:v>
      </x:c>
      <x:c r="F124" s="389" t="str">
        <x:v>Senior notes</x:v>
      </x:c>
      <x:c r="G124" s="1"/>
      <x:c r="H124" s="1"/>
      <x:c r="I124" s="1"/>
    </x:row>
    <x:row r="125" ht="42" customHeight="1">
      <x:c r="A125" s="386" t="str">
        <x:v>$3,000M, 3.60%, due April 2040</x:v>
      </x:c>
      <x:c r="B125" s="387" t="d">
        <x:v>2040-04-01T00:00:00.000Z</x:v>
      </x:c>
      <x:c r="C125" s="393" t="n">
        <x:v>3000000000</x:v>
      </x:c>
      <x:c r="D125" s="395" t="str">
        <x:v>Carried forward. us-gaap:DebtInstrumentCarryingAmount context C_edacb177-150a-440a-8eab-3b1f65db82ab; maturity context C_3cafaf53-01fa-4115-9e1b-0c641b079928; 0001193125-26-277521.</x:v>
      </x:c>
      <x:c r="E125" s="388" t="n">
        <x:f>C125</x:f>
        <x:v>3000000000</x:v>
      </x:c>
      <x:c r="F125" s="389" t="str">
        <x:v>Senior notes</x:v>
      </x:c>
      <x:c r="G125" s="1"/>
      <x:c r="H125" s="1"/>
      <x:c r="I125" s="1"/>
    </x:row>
    <x:row r="126" ht="42" customHeight="1">
      <x:c r="A126" s="386" t="str">
        <x:v>$2,250M, 5.375%, due July 2040</x:v>
      </x:c>
      <x:c r="B126" s="387" t="d">
        <x:v>2040-07-15T00:00:00.000Z</x:v>
      </x:c>
      <x:c r="C126" s="393" t="n">
        <x:v>2250000000</x:v>
      </x:c>
      <x:c r="D126" s="395" t="str">
        <x:v>Carried forward. us-gaap:DebtInstrumentCarryingAmount context C_ea9fb0e1-e7f4-43bd-9646-a319ee8e1fad; maturity context C_868ab625-7743-4f27-9158-b00ca8c5c651; 0001193125-26-277521.</x:v>
      </x:c>
      <x:c r="E126" s="388" t="n">
        <x:f>C126</x:f>
        <x:v>2250000000</x:v>
      </x:c>
      <x:c r="F126" s="389" t="str">
        <x:v>Senior notes</x:v>
      </x:c>
      <x:c r="G126" s="1"/>
      <x:c r="H126" s="1"/>
      <x:c r="I126" s="1"/>
    </x:row>
    <x:row r="127" ht="42" customHeight="1">
      <x:c r="A127" s="386" t="str">
        <x:v>$2,250M, 3.65%, due March 2041</x:v>
      </x:c>
      <x:c r="B127" s="387" t="d">
        <x:v>2041-03-25T00:00:00.000Z</x:v>
      </x:c>
      <x:c r="C127" s="393" t="n">
        <x:v>2250000000</x:v>
      </x:c>
      <x:c r="D127" s="395" t="str">
        <x:v>Carried forward. us-gaap:DebtInstrumentCarryingAmount context C_0279d3a4-1e75-4ad5-847d-0aae45a2dc5a; maturity context C_7b023360-6988-496f-b647-79d8dc671c30; 0001193125-26-277521.</x:v>
      </x:c>
      <x:c r="E127" s="388" t="n">
        <x:f>C127</x:f>
        <x:v>2250000000</x:v>
      </x:c>
      <x:c r="F127" s="389" t="str">
        <x:v>Senior notes</x:v>
      </x:c>
      <x:c r="G127" s="1"/>
      <x:c r="H127" s="1"/>
      <x:c r="I127" s="1"/>
    </x:row>
    <x:row r="128" ht="42" customHeight="1">
      <x:c r="A128" s="386" t="str">
        <x:v>$1,000M, 4.50%, due July 2044</x:v>
      </x:c>
      <x:c r="B128" s="387" t="d">
        <x:v>2044-07-08T00:00:00.000Z</x:v>
      </x:c>
      <x:c r="C128" s="393" t="n">
        <x:v>1000000000</x:v>
      </x:c>
      <x:c r="D128" s="395" t="str">
        <x:v>Carried forward. us-gaap:DebtInstrumentCarryingAmount context C_fbf167a2-b1f8-4f0a-9421-2691f6ee52e0; maturity context C_d4da1d90-accf-45e8-8a72-555d0018fa4b; 0001193125-26-277521.</x:v>
      </x:c>
      <x:c r="E128" s="388" t="n">
        <x:f>C128</x:f>
        <x:v>1000000000</x:v>
      </x:c>
      <x:c r="F128" s="389" t="str">
        <x:v>Senior notes</x:v>
      </x:c>
      <x:c r="G128" s="1"/>
      <x:c r="H128" s="1"/>
      <x:c r="I128" s="1"/>
    </x:row>
    <x:row r="129" ht="42" customHeight="1">
      <x:c r="A129" s="386" t="str">
        <x:v>$2,000M, 4.125%, due May 2045</x:v>
      </x:c>
      <x:c r="B129" s="387" t="d">
        <x:v>2045-05-15T00:00:00.000Z</x:v>
      </x:c>
      <x:c r="C129" s="393" t="n">
        <x:v>2000000000</x:v>
      </x:c>
      <x:c r="D129" s="395" t="str">
        <x:v>Carried forward. us-gaap:DebtInstrumentCarryingAmount context C_659e0314-4b26-4b16-98b4-e72d8c61f734; maturity context C_726b02be-7017-4cd7-946a-0a4fb85cad4d; 0001193125-26-277521.</x:v>
      </x:c>
      <x:c r="E129" s="388" t="n">
        <x:f>C129</x:f>
        <x:v>2000000000</x:v>
      </x:c>
      <x:c r="F129" s="389" t="str">
        <x:v>Senior notes</x:v>
      </x:c>
      <x:c r="G129" s="1"/>
      <x:c r="H129" s="1"/>
      <x:c r="I129" s="1"/>
    </x:row>
    <x:row r="130" ht="42" customHeight="1">
      <x:c r="A130" s="386" t="str">
        <x:v>$2,500M, 5.875%, due September 2045</x:v>
      </x:c>
      <x:c r="B130" s="387" t="d">
        <x:v>2045-09-26T00:00:00.000Z</x:v>
      </x:c>
      <x:c r="C130" s="393" t="n">
        <x:v>2500000000</x:v>
      </x:c>
      <x:c r="D130" s="395" t="str">
        <x:v>Carried forward. us-gaap:DebtInstrumentCarryingAmount context C_988fd38e-d5f3-4fa1-b1de-787d7b61a453; maturity context C_c7fadca5-29db-4521-ba7d-9fb916fbb3e0; 0001193125-26-277521.</x:v>
      </x:c>
      <x:c r="E130" s="388" t="n">
        <x:f>C130</x:f>
        <x:v>2500000000</x:v>
      </x:c>
      <x:c r="F130" s="389" t="str">
        <x:v>Senior notes</x:v>
      </x:c>
      <x:c r="G130" s="1"/>
      <x:c r="H130" s="1"/>
      <x:c r="I130" s="1"/>
    </x:row>
    <x:row r="131" ht="42" customHeight="1">
      <x:c r="A131" s="386" t="str">
        <x:v>$2,250M, 6.55%, due February 2046</x:v>
      </x:c>
      <x:c r="B131" s="387" t="d">
        <x:v>2046-02-04T00:00:00.000Z</x:v>
      </x:c>
      <x:c r="C131" s="393" t="n">
        <x:v>2250000000</x:v>
      </x:c>
      <x:c r="D131" s="395" t="str">
        <x:v>Carried forward. us-gaap:DebtInstrumentCarryingAmount context C_eaaaba69-f386-49f6-9dbc-4f5720b4ffcc; maturity context C_e88e6562-aa5b-4c1c-96c1-2ec27cdce992; 0001193125-26-277521.</x:v>
      </x:c>
      <x:c r="E131" s="388" t="n">
        <x:f>C131</x:f>
        <x:v>2250000000</x:v>
      </x:c>
      <x:c r="F131" s="389" t="str">
        <x:v>Senior notes</x:v>
      </x:c>
      <x:c r="G131" s="1"/>
      <x:c r="H131" s="1"/>
      <x:c r="I131" s="1"/>
    </x:row>
    <x:row r="132" ht="42" customHeight="1">
      <x:c r="A132" s="386" t="str">
        <x:v>$3,000M, 4.00%, due July 2046</x:v>
      </x:c>
      <x:c r="B132" s="387" t="d">
        <x:v>2046-07-15T00:00:00.000Z</x:v>
      </x:c>
      <x:c r="C132" s="393" t="n">
        <x:v>3000000000</x:v>
      </x:c>
      <x:c r="D132" s="395" t="str">
        <x:v>Carried forward. us-gaap:DebtInstrumentCarryingAmount context C_01a106fb-d1a5-45eb-aea5-1d2c1f806db3; maturity context C_e2302914-4319-4cc7-8ca6-ad70894e7492; 0001193125-26-277521.</x:v>
      </x:c>
      <x:c r="E132" s="388" t="n">
        <x:f>C132</x:f>
        <x:v>3000000000</x:v>
      </x:c>
      <x:c r="F132" s="389" t="str">
        <x:v>Senior notes</x:v>
      </x:c>
      <x:c r="G132" s="1"/>
      <x:c r="H132" s="1"/>
      <x:c r="I132" s="1"/>
    </x:row>
    <x:row r="133" ht="42" customHeight="1">
      <x:c r="A133" s="386" t="str">
        <x:v>$2,250M, 4.00%, due November 2047</x:v>
      </x:c>
      <x:c r="B133" s="387" t="d">
        <x:v>2047-11-15T00:00:00.000Z</x:v>
      </x:c>
      <x:c r="C133" s="393" t="n">
        <x:v>2250000000</x:v>
      </x:c>
      <x:c r="D133" s="395" t="str">
        <x:v>Carried forward. us-gaap:DebtInstrumentCarryingAmount context C_c028290f-556a-41ee-891d-a0580570969c; maturity context C_d746ab53-93c3-44f7-a9bc-1c5270381f53; 0001193125-26-277521.</x:v>
      </x:c>
      <x:c r="E133" s="388" t="n">
        <x:f>C133</x:f>
        <x:v>2250000000</x:v>
      </x:c>
      <x:c r="F133" s="389" t="str">
        <x:v>Senior notes</x:v>
      </x:c>
      <x:c r="G133" s="1"/>
      <x:c r="H133" s="1"/>
      <x:c r="I133" s="1"/>
    </x:row>
    <x:row r="134" ht="42" customHeight="1">
      <x:c r="A134" s="386" t="str">
        <x:v>$4,500M, 3.60%, due April 2050</x:v>
      </x:c>
      <x:c r="B134" s="387" t="d">
        <x:v>2050-04-01T00:00:00.000Z</x:v>
      </x:c>
      <x:c r="C134" s="393" t="n">
        <x:v>4500000000</x:v>
      </x:c>
      <x:c r="D134" s="395" t="str">
        <x:v>Carried forward. us-gaap:DebtInstrumentCarryingAmount context C_93d974de-69a0-4d66-8685-9c10b38c70e4; maturity context C_6e65a72f-e02d-4176-92a6-7eefd37f75f2; 0001193125-26-277521.</x:v>
      </x:c>
      <x:c r="E134" s="388" t="n">
        <x:f>C134</x:f>
        <x:v>4500000000</x:v>
      </x:c>
      <x:c r="F134" s="389" t="str">
        <x:v>Senior notes</x:v>
      </x:c>
      <x:c r="G134" s="1"/>
      <x:c r="H134" s="1"/>
      <x:c r="I134" s="1"/>
    </x:row>
    <x:row r="135" ht="42" customHeight="1">
      <x:c r="A135" s="386" t="str">
        <x:v>$3,250M, 3.95%, due March 2051</x:v>
      </x:c>
      <x:c r="B135" s="387" t="d">
        <x:v>2051-03-25T00:00:00.000Z</x:v>
      </x:c>
      <x:c r="C135" s="393" t="n">
        <x:v>3250000000</x:v>
      </x:c>
      <x:c r="D135" s="395" t="str">
        <x:v>Carried forward. us-gaap:DebtInstrumentCarryingAmount context C_78c45de9-3a45-4a24-9a9d-682f75245066; maturity context C_120132e4-48c1-40ef-83dd-831bd42b4eb1; 0001193125-26-277521.</x:v>
      </x:c>
      <x:c r="E135" s="388" t="n">
        <x:f>C135</x:f>
        <x:v>3250000000</x:v>
      </x:c>
      <x:c r="F135" s="389" t="str">
        <x:v>Senior notes</x:v>
      </x:c>
      <x:c r="G135" s="1"/>
      <x:c r="H135" s="1"/>
      <x:c r="I135" s="1"/>
    </x:row>
    <x:row r="136" ht="42" customHeight="1">
      <x:c r="A136" s="386" t="str">
        <x:v>$2,500M, 6.90%, due November 2052</x:v>
      </x:c>
      <x:c r="B136" s="387" t="d">
        <x:v>2052-11-09T00:00:00.000Z</x:v>
      </x:c>
      <x:c r="C136" s="393" t="n">
        <x:v>2500000000</x:v>
      </x:c>
      <x:c r="D136" s="395" t="str">
        <x:v>Carried forward. us-gaap:DebtInstrumentCarryingAmount context C_1c2c1ccf-88f9-44b3-bbba-88d5b66222e1; maturity context C_146f6555-e8fd-473f-8010-7c66bd216c1f; 0001193125-26-277521.</x:v>
      </x:c>
      <x:c r="E136" s="388" t="n">
        <x:f>C136</x:f>
        <x:v>2500000000</x:v>
      </x:c>
      <x:c r="F136" s="389" t="str">
        <x:v>Senior notes</x:v>
      </x:c>
      <x:c r="G136" s="1"/>
      <x:c r="H136" s="1"/>
      <x:c r="I136" s="1"/>
    </x:row>
    <x:row r="137" ht="42" customHeight="1">
      <x:c r="A137" s="386" t="str">
        <x:v>$2,250M, 5.55%, due February 2053</x:v>
      </x:c>
      <x:c r="B137" s="387" t="d">
        <x:v>2053-02-28T00:00:00.000Z</x:v>
      </x:c>
      <x:c r="C137" s="393" t="n">
        <x:v>2250000000</x:v>
      </x:c>
      <x:c r="D137" s="395" t="str">
        <x:v>Carried forward. us-gaap:DebtInstrumentCarryingAmount context C_275ee10c-5579-4b7f-9db6-d0c32731214a; maturity context C_62b6d4a9-c2ea-4b4d-b819-f72896383839; 0001193125-26-277521.</x:v>
      </x:c>
      <x:c r="E137" s="388" t="n">
        <x:f>C137</x:f>
        <x:v>2250000000</x:v>
      </x:c>
      <x:c r="F137" s="389" t="str">
        <x:v>Senior notes</x:v>
      </x:c>
      <x:c r="G137" s="1"/>
      <x:c r="H137" s="1"/>
      <x:c r="I137" s="1"/>
    </x:row>
    <x:row r="138" ht="42" customHeight="1">
      <x:c r="A138" s="386" t="str">
        <x:v>$1,750M, 5.375%, due September 2054</x:v>
      </x:c>
      <x:c r="B138" s="387" t="d">
        <x:v>2054-09-27T00:00:00.000Z</x:v>
      </x:c>
      <x:c r="C138" s="393" t="n">
        <x:v>1750000000</x:v>
      </x:c>
      <x:c r="D138" s="395" t="str">
        <x:v>Carried forward. us-gaap:DebtInstrumentCarryingAmount context C_d6db44a5-2cc2-45f8-b9bb-750ce5701802; maturity context C_1a315a33-dba8-456f-82c3-9319c7cd9395; 0001193125-26-277521.</x:v>
      </x:c>
      <x:c r="E138" s="388" t="n">
        <x:f>C138</x:f>
        <x:v>1750000000</x:v>
      </x:c>
      <x:c r="F138" s="389" t="str">
        <x:v>Senior notes</x:v>
      </x:c>
      <x:c r="G138" s="1"/>
      <x:c r="H138" s="1"/>
      <x:c r="I138" s="1"/>
    </x:row>
    <x:row r="139" ht="42" customHeight="1">
      <x:c r="A139" s="386" t="str">
        <x:v>$1,250M, 4.375%, due May 2055</x:v>
      </x:c>
      <x:c r="B139" s="387" t="d">
        <x:v>2055-05-15T00:00:00.000Z</x:v>
      </x:c>
      <x:c r="C139" s="393" t="n">
        <x:v>1250000000</x:v>
      </x:c>
      <x:c r="D139" s="395" t="str">
        <x:v>Carried forward. us-gaap:DebtInstrumentCarryingAmount context C_10f379d0-eecf-4d69-9526-2a2acfd8110f; maturity context C_79912715-0f0b-407c-8bb5-ea595417b273; 0001193125-26-277521.</x:v>
      </x:c>
      <x:c r="E139" s="388" t="n">
        <x:f>C139</x:f>
        <x:v>1250000000</x:v>
      </x:c>
      <x:c r="F139" s="389" t="str">
        <x:v>Senior notes</x:v>
      </x:c>
      <x:c r="G139" s="1"/>
      <x:c r="H139" s="1"/>
      <x:c r="I139" s="1"/>
    </x:row>
    <x:row r="140" ht="42" customHeight="1">
      <x:c r="A140" s="386" t="str">
        <x:v>$1,750M, 6.00%, due August 2055</x:v>
      </x:c>
      <x:c r="B140" s="387" t="d">
        <x:v>2055-08-03T00:00:00.000Z</x:v>
      </x:c>
      <x:c r="C140" s="393" t="n">
        <x:v>1750000000</x:v>
      </x:c>
      <x:c r="D140" s="395" t="str">
        <x:v>Carried forward. us-gaap:DebtInstrumentCarryingAmount context C_6c16cb24-86ff-434f-9d08-118161063c4e; maturity context C_46150084-c548-4ab3-84f5-ffa591c5a25c; 0001193125-26-277521.</x:v>
      </x:c>
      <x:c r="E140" s="388" t="n">
        <x:f>C140</x:f>
        <x:v>1750000000</x:v>
      </x:c>
      <x:c r="F140" s="389" t="str">
        <x:v>Senior notes</x:v>
      </x:c>
      <x:c r="G140" s="1"/>
      <x:c r="H140" s="1"/>
      <x:c r="I140" s="1"/>
    </x:row>
    <x:row r="141" ht="42" customHeight="1">
      <x:c r="A141" s="386" t="str">
        <x:v>$3,500M, 5.95%, due September 2055</x:v>
      </x:c>
      <x:c r="B141" s="387" t="d">
        <x:v>2055-09-26T00:00:00.000Z</x:v>
      </x:c>
      <x:c r="C141" s="393" t="n">
        <x:v>3500000000</x:v>
      </x:c>
      <x:c r="D141" s="395" t="str">
        <x:v>Carried forward. us-gaap:DebtInstrumentCarryingAmount context C_2dd1f035-9a29-4212-8137-0ffb70bc95f9; maturity context C_da3ca40f-780f-4922-894e-76bc8a6687b3; 0001193125-26-277521.</x:v>
      </x:c>
      <x:c r="E141" s="388" t="n">
        <x:f>C141</x:f>
        <x:v>3500000000</x:v>
      </x:c>
      <x:c r="F141" s="389" t="str">
        <x:v>Senior notes</x:v>
      </x:c>
      <x:c r="G141" s="1"/>
      <x:c r="H141" s="1"/>
      <x:c r="I141" s="1"/>
    </x:row>
    <x:row r="142" ht="42" customHeight="1">
      <x:c r="A142" s="386" t="str">
        <x:v>$5,000M, 6.70%, due February 2056</x:v>
      </x:c>
      <x:c r="B142" s="387" t="d">
        <x:v>2056-02-04T00:00:00.000Z</x:v>
      </x:c>
      <x:c r="C142" s="393" t="n">
        <x:v>5000000000</x:v>
      </x:c>
      <x:c r="D142" s="395" t="str">
        <x:v>Carried forward. us-gaap:DebtInstrumentCarryingAmount context C_470c4dd1-b044-4c06-b569-b9f227d4bcc6; maturity context C_17f2b8e7-9a87-429f-8403-253cf5f9c9a8; 0001193125-26-277521.</x:v>
      </x:c>
      <x:c r="E142" s="388" t="n">
        <x:f>C142</x:f>
        <x:v>5000000000</x:v>
      </x:c>
      <x:c r="F142" s="389" t="str">
        <x:v>Senior notes</x:v>
      </x:c>
      <x:c r="G142" s="1"/>
      <x:c r="H142" s="1"/>
      <x:c r="I142" s="1"/>
    </x:row>
    <x:row r="143" ht="42" customHeight="1">
      <x:c r="A143" s="386" t="str">
        <x:v>$3,500M, 3.85%, due April 2060</x:v>
      </x:c>
      <x:c r="B143" s="387" t="d">
        <x:v>2060-04-01T00:00:00.000Z</x:v>
      </x:c>
      <x:c r="C143" s="393" t="n">
        <x:v>3500000000</x:v>
      </x:c>
      <x:c r="D143" s="395" t="str">
        <x:v>Carried forward. us-gaap:DebtInstrumentCarryingAmount context C_72ade28f-8b47-4d01-b51d-ad50b6ab1306; maturity context C_790e7099-f510-4774-a45b-d9e57868a823; 0001193125-26-277521.</x:v>
      </x:c>
      <x:c r="E143" s="388" t="n">
        <x:f>C143</x:f>
        <x:v>3500000000</x:v>
      </x:c>
      <x:c r="F143" s="389" t="str">
        <x:v>Senior notes</x:v>
      </x:c>
      <x:c r="G143" s="1"/>
      <x:c r="H143" s="1"/>
      <x:c r="I143" s="1"/>
    </x:row>
    <x:row r="144" ht="42" customHeight="1">
      <x:c r="A144" s="386" t="str">
        <x:v>$1,500M, 4.10%, due March 2061</x:v>
      </x:c>
      <x:c r="B144" s="387" t="d">
        <x:v>2061-03-25T00:00:00.000Z</x:v>
      </x:c>
      <x:c r="C144" s="393" t="n">
        <x:v>1500000000</x:v>
      </x:c>
      <x:c r="D144" s="395" t="str">
        <x:v>Carried forward. us-gaap:DebtInstrumentCarryingAmount context C_b75cf642-988f-4748-9e3d-32020e3a1e6e; maturity context C_e0ba123f-367d-4f6f-9ffd-691244072749; 0001193125-26-277521.</x:v>
      </x:c>
      <x:c r="E144" s="388" t="n">
        <x:f>C144</x:f>
        <x:v>1500000000</x:v>
      </x:c>
      <x:c r="F144" s="389" t="str">
        <x:v>Senior notes</x:v>
      </x:c>
      <x:c r="G144" s="1"/>
      <x:c r="H144" s="1"/>
      <x:c r="I144" s="1"/>
    </x:row>
    <x:row r="145" ht="42" customHeight="1">
      <x:c r="A145" s="386" t="str">
        <x:v>$1,250M, 5.50%, due September 2064</x:v>
      </x:c>
      <x:c r="B145" s="387" t="d">
        <x:v>2064-09-27T00:00:00.000Z</x:v>
      </x:c>
      <x:c r="C145" s="393" t="n">
        <x:v>1250000000</x:v>
      </x:c>
      <x:c r="D145" s="395" t="str">
        <x:v>Carried forward. us-gaap:DebtInstrumentCarryingAmount context C_0d59a7d6-884c-46a0-8e28-22708f737f7d; maturity context C_64c8ab8d-57ef-492f-be3c-e8912a104b57; 0001193125-26-277521.</x:v>
      </x:c>
      <x:c r="E145" s="388" t="n">
        <x:f>C145</x:f>
        <x:v>1250000000</x:v>
      </x:c>
      <x:c r="F145" s="389" t="str">
        <x:v>Senior notes</x:v>
      </x:c>
      <x:c r="G145" s="1"/>
      <x:c r="H145" s="1"/>
      <x:c r="I145" s="1"/>
    </x:row>
    <x:row r="146" ht="42" customHeight="1">
      <x:c r="A146" s="386" t="str">
        <x:v>$1,000M, 6.125%, due August 2065</x:v>
      </x:c>
      <x:c r="B146" s="387" t="d">
        <x:v>2065-08-03T00:00:00.000Z</x:v>
      </x:c>
      <x:c r="C146" s="393" t="n">
        <x:v>1000000000</x:v>
      </x:c>
      <x:c r="D146" s="395" t="str">
        <x:v>Carried forward. us-gaap:DebtInstrumentCarryingAmount context C_e4423b6e-8f9e-4ed3-b891-83bcb06a00e7; maturity context C_6e18b720-3a24-49ec-95ec-71ab641f6ef4; 0001193125-26-277521.</x:v>
      </x:c>
      <x:c r="E146" s="388" t="n">
        <x:f>C146</x:f>
        <x:v>1000000000</x:v>
      </x:c>
      <x:c r="F146" s="389" t="str">
        <x:v>Senior notes</x:v>
      </x:c>
      <x:c r="G146" s="1"/>
      <x:c r="H146" s="1"/>
      <x:c r="I146" s="1"/>
    </x:row>
    <x:row r="147" ht="42" customHeight="1">
      <x:c r="A147" s="386" t="str">
        <x:v>$2,000M, 6.10%, due September 2065</x:v>
      </x:c>
      <x:c r="B147" s="387" t="d">
        <x:v>2065-09-26T00:00:00.000Z</x:v>
      </x:c>
      <x:c r="C147" s="393" t="n">
        <x:v>2000000000</x:v>
      </x:c>
      <x:c r="D147" s="395" t="str">
        <x:v>Carried forward. us-gaap:DebtInstrumentCarryingAmount context C_b1d66ac5-86bb-48a1-9fd7-0f91b2f20166; maturity context C_943d857f-6e7c-4ab1-9392-17b23efb7b1d; 0001193125-26-277521.</x:v>
      </x:c>
      <x:c r="E147" s="388" t="n">
        <x:f>C147</x:f>
        <x:v>2000000000</x:v>
      </x:c>
      <x:c r="F147" s="389" t="str">
        <x:v>Senior notes</x:v>
      </x:c>
      <x:c r="G147" s="1"/>
      <x:c r="H147" s="1"/>
      <x:c r="I147" s="1"/>
    </x:row>
    <x:row r="148" ht="42" customHeight="1">
      <x:c r="A148" s="386" t="str">
        <x:v>$2,750M, 6.85%, due February 2066</x:v>
      </x:c>
      <x:c r="B148" s="387" t="d">
        <x:v>2066-02-04T00:00:00.000Z</x:v>
      </x:c>
      <x:c r="C148" s="393" t="n">
        <x:v>2750000000</x:v>
      </x:c>
      <x:c r="D148" s="395" t="str">
        <x:v>Carried forward. us-gaap:DebtInstrumentCarryingAmount context C_9d3c0b91-ca57-49e8-bcd6-845c7dd4a592; maturity context C_f8ced8f8-0d46-4063-9333-4d5cc1a62965; 0001193125-26-277521.</x:v>
      </x:c>
      <x:c r="E148" s="388" t="n">
        <x:f>C148</x:f>
        <x:v>2750000000</x:v>
      </x:c>
      <x:c r="F148" s="389" t="str">
        <x:v>Senior notes</x:v>
      </x:c>
      <x:c r="G148" s="1"/>
      <x:c r="H148" s="1"/>
      <x:c r="I148" s="1"/>
    </x:row>
    <x:row r="149" ht="42" customHeight="1">
      <x:c r="A149" s="386" t="str">
        <x:v>$500M, Compounded SOFR plus 0.76%, due August 2028</x:v>
      </x:c>
      <x:c r="B149" s="387" t="d">
        <x:v>2028-08-03T00:00:00.000Z</x:v>
      </x:c>
      <x:c r="C149" s="393" t="n">
        <x:v>500000000</x:v>
      </x:c>
      <x:c r="D149" s="395" t="str">
        <x:v>Carried forward. us-gaap:DebtInstrumentCarryingAmount context C_54708843-a4f7-43fe-9847-c4ee0f1d5918; maturity context C_160561d2-d537-4b08-9c61-e9bf09b0220e; 0001193125-26-277521.</x:v>
      </x:c>
      <x:c r="E149" s="388" t="n">
        <x:f>C149</x:f>
        <x:v>500000000</x:v>
      </x:c>
      <x:c r="F149" s="389" t="str">
        <x:v>Senior notes</x:v>
      </x:c>
      <x:c r="G149" s="1"/>
      <x:c r="H149" s="1"/>
      <x:c r="I149" s="1"/>
    </x:row>
    <x:row r="150" ht="42" customHeight="1">
      <x:c r="A150" s="386" t="str">
        <x:v>$500M, Compounded SOFR plus 1.11%, due February 2029</x:v>
      </x:c>
      <x:c r="B150" s="387" t="d">
        <x:v>2029-02-04T00:00:00.000Z</x:v>
      </x:c>
      <x:c r="C150" s="393" t="n">
        <x:v>500000000</x:v>
      </x:c>
      <x:c r="D150" s="395" t="str">
        <x:v>Carried forward. us-gaap:DebtInstrumentCarryingAmount context C_9811b0d3-b168-4ae6-851d-5a1318806b6f; maturity context C_0baaa79b-3295-410a-8222-728290e56f24; 0001193125-26-277521.</x:v>
      </x:c>
      <x:c r="E150" s="388" t="n">
        <x:f>C150</x:f>
        <x:v>500000000</x:v>
      </x:c>
      <x:c r="F150" s="389" t="str">
        <x:v>Senior notes</x:v>
      </x:c>
      <x:c r="G150" s="1"/>
      <x:c r="H150" s="1"/>
      <x:c r="I150" s="1"/>
    </x:row>
    <x:row r="151" ht="42" customHeight="1">
      <x:c r="A151" s="386" t="str">
        <x:v>Term loan, $5,630M borrowed, SOFR plus 1.35%, due August 2027</x:v>
      </x:c>
      <x:c r="B151" s="387" t="d">
        <x:v>2027-08-16T00:00:00.000Z</x:v>
      </x:c>
      <x:c r="C151" s="393" t="n">
        <x:v>5137000000</x:v>
      </x:c>
      <x:c r="D151" s="395" t="str">
        <x:v>Calculated. us-gaap:DebtInstrumentCarryingAmount context C_735501c9-1d1a-4130-ba00-a733b80c0778; maturity context C_9e0297a1-5ed4-45fd-ad02-62d67decad58; 0001193125-26-277521.</x:v>
      </x:c>
      <x:c r="E151" s="388" t="n">
        <x:f>C91</x:f>
        <x:v>5067000000</x:v>
      </x:c>
      <x:c r="F151" s="389" t="str">
        <x:v>Term loan</x:v>
      </x:c>
      <x:c r="G151" s="1"/>
      <x:c r="H151" s="1"/>
      <x:c r="I151" s="1"/>
    </x:row>
    <x:row r="152" ht="42" customHeight="1">
      <x:c r="A152" s="390" t="str">
        <x:v>Commercial paper notes</x:v>
      </x:c>
      <x:c r="B152" s="206"/>
      <x:c r="C152" s="396" t="n">
        <x:v>1468000000</x:v>
      </x:c>
      <x:c r="D152" s="397" t="str">
        <x:v>Unavailable at August 31: no balance or maturity dates reported. Unavailable. us-gaap:DebtInstrumentCarryingAmount context C_1acf7181-6e63-4dc3-9576-4189cc4bc531; 0001193125-26-277521.</x:v>
      </x:c>
      <x:c r="E152" s="206" t="str">
        <x:v>Unavailable</x:v>
      </x:c>
      <x:c r="F152" s="394" t="str">
        <x:v>Commercial paper</x:v>
      </x:c>
      <x:c r="G152" s="1"/>
      <x:c r="H152" s="1"/>
      <x:c r="I152" s="1"/>
    </x:row>
    <x:row r="153" ht="38" customHeight="1">
      <x:c r="A153" s="366" t="str">
        <x:v>Source: https://www.sec.gov/Archives/edgar/data/1341439/000119312526277521/orcl-20260531.htm</x:v>
      </x:c>
      <x:c r="B153" s="4"/>
      <x:c r="C153" s="4"/>
      <x:c r="D153" s="4"/>
      <x:c r="E153" s="4"/>
      <x:c r="F153" s="4"/>
      <x:c r="G153" s="1"/>
      <x:c r="H153" s="1"/>
      <x:c r="I153" s="1"/>
    </x:row>
  </x:sheetData>
  <x:hyperlinks xmlns:r="http://schemas.openxmlformats.org/officeDocument/2006/relationships">
    <x:hyperlink ref="E85" r:id="rIdSource1"/>
    <x:hyperlink ref="A153" r:id="rIdSource2"/>
  </x:hyperlinks>
  <x:pageMargins left="0.7" right="0.7" top="0.75" bottom="0.75" header="0.3" footer="0.3"/>
  <x:drawing xmlns:r="http://schemas.openxmlformats.org/officeDocument/2006/relationships" r:id="R10c3e758673d40f6"/>
</x:worksheet>
</file>

<file path=xl/worksheets/sheet10.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6" hidden="0" customWidth="1"/>
    <x:col min="2" max="2" width="13"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1" max="21" width="13" hidden="0" customWidth="1"/>
    <x:col min="22" max="22" width="13" hidden="0" customWidth="1"/>
    <x:col min="23" max="23" width="13" hidden="0" customWidth="1"/>
    <x:col min="24" max="24" width="13" hidden="0" customWidth="1"/>
    <x:col min="25" max="25" width="13" hidden="0" customWidth="1"/>
    <x:col min="26" max="26" width="13" hidden="0" customWidth="1"/>
    <x:col min="27" max="27" width="13" hidden="0" customWidth="1"/>
    <x:col min="28" max="28" width="13" hidden="0" customWidth="1"/>
    <x:col min="29" max="29" width="13" hidden="0" customWidth="1"/>
    <x:col min="30" max="30" width="13" hidden="0" customWidth="1"/>
    <x:col min="31" max="31" width="13" hidden="0" customWidth="1"/>
    <x:col min="32" max="32" width="13" hidden="0" customWidth="1"/>
    <x:col min="33" max="33" width="13" hidden="0" customWidth="1"/>
    <x:col min="34" max="34" width="13" hidden="0" customWidth="1"/>
    <x:col min="35" max="35" width="13" hidden="0" customWidth="1"/>
    <x:col min="36" max="36" width="13" hidden="0" customWidth="1"/>
    <x:col min="37" max="37" width="13" hidden="0" customWidth="1"/>
    <x:col min="38" max="38" width="13" hidden="0" customWidth="1"/>
    <x:col min="39" max="39" width="13" hidden="0" customWidth="1"/>
    <x:col min="40" max="40" width="13" hidden="0" customWidth="1"/>
    <x:col min="41" max="41" width="13" hidden="0" customWidth="1"/>
  </x:cols>
  <x:sheetData>
    <x:row r="1" ht="26"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c r="AH1" s="2"/>
      <x:c r="AI1" s="2"/>
      <x:c r="AJ1" s="2"/>
      <x:c r="AK1" s="2"/>
      <x:c r="AL1" s="2"/>
      <x:c r="AM1" s="2"/>
      <x:c r="AN1" s="2"/>
      <x:c r="AO1" s="2"/>
    </x:row>
    <x:row r="2" ht="26" customHeight="1">
      <x:c r="A2" s="409" t="str">
        <x:v>Oracle principal detail at August 31, 2026</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c r="AO2" s="2"/>
    </x:row>
    <x:row r="3" ht="26" customHeight="1">
      <x:c r="A3" s="2" t="str">
        <x:v>At August 31, 2026. Known note and term-loan principal only; commercial paper is Unavailable and excluded. Excludes interest and leases. Term-loan maturity assumes no optional extension. Not funding coverage.</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c r="AH3" s="2"/>
      <x:c r="AI3" s="2"/>
      <x:c r="AJ3" s="2"/>
      <x:c r="AK3" s="2"/>
      <x:c r="AL3" s="2"/>
      <x:c r="AM3" s="2"/>
      <x:c r="AN3" s="2"/>
      <x:c r="AO3" s="2"/>
    </x:row>
    <x:row r="4" ht="26"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c r="AF4" s="2"/>
      <x:c r="AG4" s="2"/>
      <x:c r="AH4" s="2"/>
      <x:c r="AI4" s="2"/>
      <x:c r="AJ4" s="2"/>
      <x:c r="AK4" s="2"/>
      <x:c r="AL4" s="2"/>
      <x:c r="AM4" s="2"/>
      <x:c r="AN4" s="2"/>
      <x:c r="AO4" s="2"/>
    </x:row>
    <x:row r="5" ht="26" customHeight="1">
      <x:c r="A5" s="423" t="str">
        <x:v>Principal due (USD billions)</x:v>
      </x:c>
      <x:c r="B5" s="424" t="str">
        <x:v>Rem. FY2027</x:v>
      </x:c>
      <x:c r="C5" s="424" t="str">
        <x:v>FY2028</x:v>
      </x:c>
      <x:c r="D5" s="424" t="str">
        <x:v>FY2029</x:v>
      </x:c>
      <x:c r="E5" s="424" t="str">
        <x:v>FY2030</x:v>
      </x:c>
      <x:c r="F5" s="424" t="str">
        <x:v>FY2031</x:v>
      </x:c>
      <x:c r="G5" s="424" t="str">
        <x:v>FY2032</x:v>
      </x:c>
      <x:c r="H5" s="424" t="str">
        <x:v>FY2033</x:v>
      </x:c>
      <x:c r="I5" s="424" t="str">
        <x:v>FY2034</x:v>
      </x:c>
      <x:c r="J5" s="424" t="str">
        <x:v>FY2035</x:v>
      </x:c>
      <x:c r="K5" s="424" t="str">
        <x:v>FY2036</x:v>
      </x:c>
      <x:c r="L5" s="424" t="str">
        <x:v>FY2037</x:v>
      </x:c>
      <x:c r="M5" s="424" t="str">
        <x:v>FY2038</x:v>
      </x:c>
      <x:c r="N5" s="424" t="str">
        <x:v>FY2039</x:v>
      </x:c>
      <x:c r="O5" s="424" t="str">
        <x:v>FY2040</x:v>
      </x:c>
      <x:c r="P5" s="424" t="str">
        <x:v>FY2041</x:v>
      </x:c>
      <x:c r="Q5" s="424" t="str">
        <x:v>FY2042</x:v>
      </x:c>
      <x:c r="R5" s="424" t="str">
        <x:v>FY2043</x:v>
      </x:c>
      <x:c r="S5" s="424" t="str">
        <x:v>FY2044</x:v>
      </x:c>
      <x:c r="T5" s="424" t="str">
        <x:v>FY2045</x:v>
      </x:c>
      <x:c r="U5" s="424" t="str">
        <x:v>FY2046</x:v>
      </x:c>
      <x:c r="V5" s="424" t="str">
        <x:v>FY2047</x:v>
      </x:c>
      <x:c r="W5" s="424" t="str">
        <x:v>FY2048</x:v>
      </x:c>
      <x:c r="X5" s="424" t="str">
        <x:v>FY2049</x:v>
      </x:c>
      <x:c r="Y5" s="424" t="str">
        <x:v>FY2050</x:v>
      </x:c>
      <x:c r="Z5" s="424" t="str">
        <x:v>FY2051</x:v>
      </x:c>
      <x:c r="AA5" s="424" t="str">
        <x:v>FY2052</x:v>
      </x:c>
      <x:c r="AB5" s="424" t="str">
        <x:v>FY2053</x:v>
      </x:c>
      <x:c r="AC5" s="424" t="str">
        <x:v>FY2054</x:v>
      </x:c>
      <x:c r="AD5" s="424" t="str">
        <x:v>FY2055</x:v>
      </x:c>
      <x:c r="AE5" s="424" t="str">
        <x:v>FY2056</x:v>
      </x:c>
      <x:c r="AF5" s="424" t="str">
        <x:v>FY2057</x:v>
      </x:c>
      <x:c r="AG5" s="424" t="str">
        <x:v>FY2058</x:v>
      </x:c>
      <x:c r="AH5" s="424" t="str">
        <x:v>FY2059</x:v>
      </x:c>
      <x:c r="AI5" s="424" t="str">
        <x:v>FY2060</x:v>
      </x:c>
      <x:c r="AJ5" s="424" t="str">
        <x:v>FY2061</x:v>
      </x:c>
      <x:c r="AK5" s="424" t="str">
        <x:v>FY2062</x:v>
      </x:c>
      <x:c r="AL5" s="424" t="str">
        <x:v>FY2063</x:v>
      </x:c>
      <x:c r="AM5" s="424" t="str">
        <x:v>FY2064</x:v>
      </x:c>
      <x:c r="AN5" s="424" t="str">
        <x:v>FY2065</x:v>
      </x:c>
      <x:c r="AO5" s="425" t="str">
        <x:v>FY2066</x:v>
      </x:c>
    </x:row>
    <x:row r="6" ht="26" customHeight="1">
      <x:c r="A6" s="426" t="str">
        <x:v>Fixed-rate notes</x:v>
      </x:c>
      <x:c r="B6" s="427" t="n">
        <x:f>SUMIFS($D$120:$D$179,$B$120:$B$179,2027,$C$120:$C$179,$A6)</x:f>
        <x:v>2250000000</x:v>
      </x:c>
      <x:c r="C6" s="428" t="n">
        <x:f>SUMIFS($D$120:$D$179,$B$120:$B$179,2028,$C$120:$C$179,$A6)</x:f>
        <x:v>5500000000</x:v>
      </x:c>
      <x:c r="D6" s="428" t="n">
        <x:f>SUMIFS($D$120:$D$179,$B$120:$B$179,2029,$C$120:$C$179,$A6)</x:f>
        <x:v>4500000000</x:v>
      </x:c>
      <x:c r="E6" s="428" t="n">
        <x:f>SUMIFS($D$120:$D$179,$B$120:$B$179,2030,$C$120:$C$179,$A6)</x:f>
        <x:v>7250000000</x:v>
      </x:c>
      <x:c r="F6" s="429" t="n">
        <x:f>SUMIFS($D$120:$D$179,$B$120:$B$179,2031,$C$120:$C$179,$A6)</x:f>
        <x:v>9750000000</x:v>
      </x:c>
      <x:c r="G6" s="427" t="n">
        <x:f>SUMIFS($D$120:$D$179,$B$120:$B$179,2032,$C$120:$C$179,$A6)</x:f>
        <x:v>1250000000</x:v>
      </x:c>
      <x:c r="H6" s="429" t="n">
        <x:f>SUMIFS($D$120:$D$179,$B$120:$B$179,2033,$C$120:$C$179,$A6)</x:f>
        <x:v>9750000000</x:v>
      </x:c>
      <x:c r="I6" s="430" t="n">
        <x:f>SUMIFS($D$120:$D$179,$B$120:$B$179,2034,$C$120:$C$179,$A6)</x:f>
        <x:v>0</x:v>
      </x:c>
      <x:c r="J6" s="428" t="n">
        <x:f>SUMIFS($D$120:$D$179,$B$120:$B$179,2035,$C$120:$C$179,$A6)</x:f>
        <x:v>4750000000</x:v>
      </x:c>
      <x:c r="K6" s="429" t="n">
        <x:f>SUMIFS($D$120:$D$179,$B$120:$B$179,2036,$C$120:$C$179,$A6)</x:f>
        <x:v>10750000000</x:v>
      </x:c>
      <x:c r="L6" s="427" t="n">
        <x:f>SUMIFS($D$120:$D$179,$B$120:$B$179,2037,$C$120:$C$179,$A6)</x:f>
        <x:v>1250000000</x:v>
      </x:c>
      <x:c r="M6" s="427" t="n">
        <x:f>SUMIFS($D$120:$D$179,$B$120:$B$179,2038,$C$120:$C$179,$A6)</x:f>
        <x:v>3000000000</x:v>
      </x:c>
      <x:c r="N6" s="430" t="n">
        <x:f>SUMIFS($D$120:$D$179,$B$120:$B$179,2039,$C$120:$C$179,$A6)</x:f>
        <x:v>0</x:v>
      </x:c>
      <x:c r="O6" s="427" t="n">
        <x:f>SUMIFS($D$120:$D$179,$B$120:$B$179,2040,$C$120:$C$179,$A6)</x:f>
        <x:v>4250000000</x:v>
      </x:c>
      <x:c r="P6" s="428" t="n">
        <x:f>SUMIFS($D$120:$D$179,$B$120:$B$179,2041,$C$120:$C$179,$A6)</x:f>
        <x:v>4500000000</x:v>
      </x:c>
      <x:c r="Q6" s="430" t="n">
        <x:f>SUMIFS($D$120:$D$179,$B$120:$B$179,2042,$C$120:$C$179,$A6)</x:f>
        <x:v>0</x:v>
      </x:c>
      <x:c r="R6" s="430" t="n">
        <x:f>SUMIFS($D$120:$D$179,$B$120:$B$179,2043,$C$120:$C$179,$A6)</x:f>
        <x:v>0</x:v>
      </x:c>
      <x:c r="S6" s="430" t="n">
        <x:f>SUMIFS($D$120:$D$179,$B$120:$B$179,2044,$C$120:$C$179,$A6)</x:f>
        <x:v>0</x:v>
      </x:c>
      <x:c r="T6" s="427" t="n">
        <x:f>SUMIFS($D$120:$D$179,$B$120:$B$179,2045,$C$120:$C$179,$A6)</x:f>
        <x:v>3000000000</x:v>
      </x:c>
      <x:c r="U6" s="428" t="n">
        <x:f>SUMIFS($D$120:$D$179,$B$120:$B$179,2046,$C$120:$C$179,$A6)</x:f>
        <x:v>4750000000</x:v>
      </x:c>
      <x:c r="V6" s="427" t="n">
        <x:f>SUMIFS($D$120:$D$179,$B$120:$B$179,2047,$C$120:$C$179,$A6)</x:f>
        <x:v>3000000000</x:v>
      </x:c>
      <x:c r="W6" s="427" t="n">
        <x:f>SUMIFS($D$120:$D$179,$B$120:$B$179,2048,$C$120:$C$179,$A6)</x:f>
        <x:v>2250000000</x:v>
      </x:c>
      <x:c r="X6" s="430" t="n">
        <x:f>SUMIFS($D$120:$D$179,$B$120:$B$179,2049,$C$120:$C$179,$A6)</x:f>
        <x:v>0</x:v>
      </x:c>
      <x:c r="Y6" s="428" t="n">
        <x:f>SUMIFS($D$120:$D$179,$B$120:$B$179,2050,$C$120:$C$179,$A6)</x:f>
        <x:v>4500000000</x:v>
      </x:c>
      <x:c r="Z6" s="427" t="n">
        <x:f>SUMIFS($D$120:$D$179,$B$120:$B$179,2051,$C$120:$C$179,$A6)</x:f>
        <x:v>3250000000</x:v>
      </x:c>
      <x:c r="AA6" s="430" t="n">
        <x:f>SUMIFS($D$120:$D$179,$B$120:$B$179,2052,$C$120:$C$179,$A6)</x:f>
        <x:v>0</x:v>
      </x:c>
      <x:c r="AB6" s="428" t="n">
        <x:f>SUMIFS($D$120:$D$179,$B$120:$B$179,2053,$C$120:$C$179,$A6)</x:f>
        <x:v>4750000000</x:v>
      </x:c>
      <x:c r="AC6" s="430" t="n">
        <x:f>SUMIFS($D$120:$D$179,$B$120:$B$179,2054,$C$120:$C$179,$A6)</x:f>
        <x:v>0</x:v>
      </x:c>
      <x:c r="AD6" s="427" t="n">
        <x:f>SUMIFS($D$120:$D$179,$B$120:$B$179,2055,$C$120:$C$179,$A6)</x:f>
        <x:v>3000000000</x:v>
      </x:c>
      <x:c r="AE6" s="429" t="n">
        <x:f>SUMIFS($D$120:$D$179,$B$120:$B$179,2056,$C$120:$C$179,$A6)</x:f>
        <x:v>10250000000</x:v>
      </x:c>
      <x:c r="AF6" s="430" t="n">
        <x:f>SUMIFS($D$120:$D$179,$B$120:$B$179,2057,$C$120:$C$179,$A6)</x:f>
        <x:v>0</x:v>
      </x:c>
      <x:c r="AG6" s="430" t="n">
        <x:f>SUMIFS($D$120:$D$179,$B$120:$B$179,2058,$C$120:$C$179,$A6)</x:f>
        <x:v>0</x:v>
      </x:c>
      <x:c r="AH6" s="430" t="n">
        <x:f>SUMIFS($D$120:$D$179,$B$120:$B$179,2059,$C$120:$C$179,$A6)</x:f>
        <x:v>0</x:v>
      </x:c>
      <x:c r="AI6" s="427" t="n">
        <x:f>SUMIFS($D$120:$D$179,$B$120:$B$179,2060,$C$120:$C$179,$A6)</x:f>
        <x:v>3500000000</x:v>
      </x:c>
      <x:c r="AJ6" s="427" t="n">
        <x:f>SUMIFS($D$120:$D$179,$B$120:$B$179,2061,$C$120:$C$179,$A6)</x:f>
        <x:v>1500000000</x:v>
      </x:c>
      <x:c r="AK6" s="430" t="n">
        <x:f>SUMIFS($D$120:$D$179,$B$120:$B$179,2062,$C$120:$C$179,$A6)</x:f>
        <x:v>0</x:v>
      </x:c>
      <x:c r="AL6" s="430" t="n">
        <x:f>SUMIFS($D$120:$D$179,$B$120:$B$179,2063,$C$120:$C$179,$A6)</x:f>
        <x:v>0</x:v>
      </x:c>
      <x:c r="AM6" s="430" t="n">
        <x:f>SUMIFS($D$120:$D$179,$B$120:$B$179,2064,$C$120:$C$179,$A6)</x:f>
        <x:v>0</x:v>
      </x:c>
      <x:c r="AN6" s="427" t="n">
        <x:f>SUMIFS($D$120:$D$179,$B$120:$B$179,2065,$C$120:$C$179,$A6)</x:f>
        <x:v>1250000000</x:v>
      </x:c>
      <x:c r="AO6" s="431" t="n">
        <x:f>SUMIFS($D$120:$D$179,$B$120:$B$179,2066,$C$120:$C$179,$A6)</x:f>
        <x:v>5750000000</x:v>
      </x:c>
    </x:row>
    <x:row r="7" ht="26" customHeight="1">
      <x:c r="A7" s="426" t="str">
        <x:v>Floating-rate notes</x:v>
      </x:c>
      <x:c r="B7" s="430" t="n">
        <x:f>SUMIFS($D$120:$D$179,$B$120:$B$179,2027,$C$120:$C$179,$A7)</x:f>
        <x:v>0</x:v>
      </x:c>
      <x:c r="C7" s="430" t="n">
        <x:f>SUMIFS($D$120:$D$179,$B$120:$B$179,2028,$C$120:$C$179,$A7)</x:f>
        <x:v>0</x:v>
      </x:c>
      <x:c r="D7" s="427" t="n">
        <x:f>SUMIFS($D$120:$D$179,$B$120:$B$179,2029,$C$120:$C$179,$A7)</x:f>
        <x:v>1000000000</x:v>
      </x:c>
      <x:c r="E7" s="430" t="n">
        <x:f>SUMIFS($D$120:$D$179,$B$120:$B$179,2030,$C$120:$C$179,$A7)</x:f>
        <x:v>0</x:v>
      </x:c>
      <x:c r="F7" s="430" t="n">
        <x:f>SUMIFS($D$120:$D$179,$B$120:$B$179,2031,$C$120:$C$179,$A7)</x:f>
        <x:v>0</x:v>
      </x:c>
      <x:c r="G7" s="430" t="n">
        <x:f>SUMIFS($D$120:$D$179,$B$120:$B$179,2032,$C$120:$C$179,$A7)</x:f>
        <x:v>0</x:v>
      </x:c>
      <x:c r="H7" s="430" t="n">
        <x:f>SUMIFS($D$120:$D$179,$B$120:$B$179,2033,$C$120:$C$179,$A7)</x:f>
        <x:v>0</x:v>
      </x:c>
      <x:c r="I7" s="430" t="n">
        <x:f>SUMIFS($D$120:$D$179,$B$120:$B$179,2034,$C$120:$C$179,$A7)</x:f>
        <x:v>0</x:v>
      </x:c>
      <x:c r="J7" s="430" t="n">
        <x:f>SUMIFS($D$120:$D$179,$B$120:$B$179,2035,$C$120:$C$179,$A7)</x:f>
        <x:v>0</x:v>
      </x:c>
      <x:c r="K7" s="430" t="n">
        <x:f>SUMIFS($D$120:$D$179,$B$120:$B$179,2036,$C$120:$C$179,$A7)</x:f>
        <x:v>0</x:v>
      </x:c>
      <x:c r="L7" s="430" t="n">
        <x:f>SUMIFS($D$120:$D$179,$B$120:$B$179,2037,$C$120:$C$179,$A7)</x:f>
        <x:v>0</x:v>
      </x:c>
      <x:c r="M7" s="430" t="n">
        <x:f>SUMIFS($D$120:$D$179,$B$120:$B$179,2038,$C$120:$C$179,$A7)</x:f>
        <x:v>0</x:v>
      </x:c>
      <x:c r="N7" s="430" t="n">
        <x:f>SUMIFS($D$120:$D$179,$B$120:$B$179,2039,$C$120:$C$179,$A7)</x:f>
        <x:v>0</x:v>
      </x:c>
      <x:c r="O7" s="430" t="n">
        <x:f>SUMIFS($D$120:$D$179,$B$120:$B$179,2040,$C$120:$C$179,$A7)</x:f>
        <x:v>0</x:v>
      </x:c>
      <x:c r="P7" s="430" t="n">
        <x:f>SUMIFS($D$120:$D$179,$B$120:$B$179,2041,$C$120:$C$179,$A7)</x:f>
        <x:v>0</x:v>
      </x:c>
      <x:c r="Q7" s="430" t="n">
        <x:f>SUMIFS($D$120:$D$179,$B$120:$B$179,2042,$C$120:$C$179,$A7)</x:f>
        <x:v>0</x:v>
      </x:c>
      <x:c r="R7" s="430" t="n">
        <x:f>SUMIFS($D$120:$D$179,$B$120:$B$179,2043,$C$120:$C$179,$A7)</x:f>
        <x:v>0</x:v>
      </x:c>
      <x:c r="S7" s="430" t="n">
        <x:f>SUMIFS($D$120:$D$179,$B$120:$B$179,2044,$C$120:$C$179,$A7)</x:f>
        <x:v>0</x:v>
      </x:c>
      <x:c r="T7" s="430" t="n">
        <x:f>SUMIFS($D$120:$D$179,$B$120:$B$179,2045,$C$120:$C$179,$A7)</x:f>
        <x:v>0</x:v>
      </x:c>
      <x:c r="U7" s="430" t="n">
        <x:f>SUMIFS($D$120:$D$179,$B$120:$B$179,2046,$C$120:$C$179,$A7)</x:f>
        <x:v>0</x:v>
      </x:c>
      <x:c r="V7" s="430" t="n">
        <x:f>SUMIFS($D$120:$D$179,$B$120:$B$179,2047,$C$120:$C$179,$A7)</x:f>
        <x:v>0</x:v>
      </x:c>
      <x:c r="W7" s="430" t="n">
        <x:f>SUMIFS($D$120:$D$179,$B$120:$B$179,2048,$C$120:$C$179,$A7)</x:f>
        <x:v>0</x:v>
      </x:c>
      <x:c r="X7" s="430" t="n">
        <x:f>SUMIFS($D$120:$D$179,$B$120:$B$179,2049,$C$120:$C$179,$A7)</x:f>
        <x:v>0</x:v>
      </x:c>
      <x:c r="Y7" s="430" t="n">
        <x:f>SUMIFS($D$120:$D$179,$B$120:$B$179,2050,$C$120:$C$179,$A7)</x:f>
        <x:v>0</x:v>
      </x:c>
      <x:c r="Z7" s="430" t="n">
        <x:f>SUMIFS($D$120:$D$179,$B$120:$B$179,2051,$C$120:$C$179,$A7)</x:f>
        <x:v>0</x:v>
      </x:c>
      <x:c r="AA7" s="430" t="n">
        <x:f>SUMIFS($D$120:$D$179,$B$120:$B$179,2052,$C$120:$C$179,$A7)</x:f>
        <x:v>0</x:v>
      </x:c>
      <x:c r="AB7" s="430" t="n">
        <x:f>SUMIFS($D$120:$D$179,$B$120:$B$179,2053,$C$120:$C$179,$A7)</x:f>
        <x:v>0</x:v>
      </x:c>
      <x:c r="AC7" s="430" t="n">
        <x:f>SUMIFS($D$120:$D$179,$B$120:$B$179,2054,$C$120:$C$179,$A7)</x:f>
        <x:v>0</x:v>
      </x:c>
      <x:c r="AD7" s="430" t="n">
        <x:f>SUMIFS($D$120:$D$179,$B$120:$B$179,2055,$C$120:$C$179,$A7)</x:f>
        <x:v>0</x:v>
      </x:c>
      <x:c r="AE7" s="430" t="n">
        <x:f>SUMIFS($D$120:$D$179,$B$120:$B$179,2056,$C$120:$C$179,$A7)</x:f>
        <x:v>0</x:v>
      </x:c>
      <x:c r="AF7" s="430" t="n">
        <x:f>SUMIFS($D$120:$D$179,$B$120:$B$179,2057,$C$120:$C$179,$A7)</x:f>
        <x:v>0</x:v>
      </x:c>
      <x:c r="AG7" s="430" t="n">
        <x:f>SUMIFS($D$120:$D$179,$B$120:$B$179,2058,$C$120:$C$179,$A7)</x:f>
        <x:v>0</x:v>
      </x:c>
      <x:c r="AH7" s="430" t="n">
        <x:f>SUMIFS($D$120:$D$179,$B$120:$B$179,2059,$C$120:$C$179,$A7)</x:f>
        <x:v>0</x:v>
      </x:c>
      <x:c r="AI7" s="430" t="n">
        <x:f>SUMIFS($D$120:$D$179,$B$120:$B$179,2060,$C$120:$C$179,$A7)</x:f>
        <x:v>0</x:v>
      </x:c>
      <x:c r="AJ7" s="430" t="n">
        <x:f>SUMIFS($D$120:$D$179,$B$120:$B$179,2061,$C$120:$C$179,$A7)</x:f>
        <x:v>0</x:v>
      </x:c>
      <x:c r="AK7" s="430" t="n">
        <x:f>SUMIFS($D$120:$D$179,$B$120:$B$179,2062,$C$120:$C$179,$A7)</x:f>
        <x:v>0</x:v>
      </x:c>
      <x:c r="AL7" s="430" t="n">
        <x:f>SUMIFS($D$120:$D$179,$B$120:$B$179,2063,$C$120:$C$179,$A7)</x:f>
        <x:v>0</x:v>
      </x:c>
      <x:c r="AM7" s="430" t="n">
        <x:f>SUMIFS($D$120:$D$179,$B$120:$B$179,2064,$C$120:$C$179,$A7)</x:f>
        <x:v>0</x:v>
      </x:c>
      <x:c r="AN7" s="430" t="n">
        <x:f>SUMIFS($D$120:$D$179,$B$120:$B$179,2065,$C$120:$C$179,$A7)</x:f>
        <x:v>0</x:v>
      </x:c>
      <x:c r="AO7" s="432" t="n">
        <x:f>SUMIFS($D$120:$D$179,$B$120:$B$179,2066,$C$120:$C$179,$A7)</x:f>
        <x:v>0</x:v>
      </x:c>
    </x:row>
    <x:row r="8" ht="26" customHeight="1">
      <x:c r="A8" s="433" t="str">
        <x:v>Term loan</x:v>
      </x:c>
      <x:c r="B8" s="434" t="n">
        <x:f>SUMIFS($D$120:$D$179,$B$120:$B$179,2027,$C$120:$C$179,$A8)</x:f>
        <x:v>422250000</x:v>
      </x:c>
      <x:c r="C8" s="435" t="n">
        <x:f>SUMIFS($D$120:$D$179,$B$120:$B$179,2028,$C$120:$C$179,$A8)</x:f>
        <x:v>4644750000</x:v>
      </x:c>
      <x:c r="D8" s="436" t="n">
        <x:f>SUMIFS($D$120:$D$179,$B$120:$B$179,2029,$C$120:$C$179,$A8)</x:f>
        <x:v>0</x:v>
      </x:c>
      <x:c r="E8" s="436" t="n">
        <x:f>SUMIFS($D$120:$D$179,$B$120:$B$179,2030,$C$120:$C$179,$A8)</x:f>
        <x:v>0</x:v>
      </x:c>
      <x:c r="F8" s="436" t="n">
        <x:f>SUMIFS($D$120:$D$179,$B$120:$B$179,2031,$C$120:$C$179,$A8)</x:f>
        <x:v>0</x:v>
      </x:c>
      <x:c r="G8" s="436" t="n">
        <x:f>SUMIFS($D$120:$D$179,$B$120:$B$179,2032,$C$120:$C$179,$A8)</x:f>
        <x:v>0</x:v>
      </x:c>
      <x:c r="H8" s="436" t="n">
        <x:f>SUMIFS($D$120:$D$179,$B$120:$B$179,2033,$C$120:$C$179,$A8)</x:f>
        <x:v>0</x:v>
      </x:c>
      <x:c r="I8" s="436" t="n">
        <x:f>SUMIFS($D$120:$D$179,$B$120:$B$179,2034,$C$120:$C$179,$A8)</x:f>
        <x:v>0</x:v>
      </x:c>
      <x:c r="J8" s="436" t="n">
        <x:f>SUMIFS($D$120:$D$179,$B$120:$B$179,2035,$C$120:$C$179,$A8)</x:f>
        <x:v>0</x:v>
      </x:c>
      <x:c r="K8" s="436" t="n">
        <x:f>SUMIFS($D$120:$D$179,$B$120:$B$179,2036,$C$120:$C$179,$A8)</x:f>
        <x:v>0</x:v>
      </x:c>
      <x:c r="L8" s="436" t="n">
        <x:f>SUMIFS($D$120:$D$179,$B$120:$B$179,2037,$C$120:$C$179,$A8)</x:f>
        <x:v>0</x:v>
      </x:c>
      <x:c r="M8" s="436" t="n">
        <x:f>SUMIFS($D$120:$D$179,$B$120:$B$179,2038,$C$120:$C$179,$A8)</x:f>
        <x:v>0</x:v>
      </x:c>
      <x:c r="N8" s="436" t="n">
        <x:f>SUMIFS($D$120:$D$179,$B$120:$B$179,2039,$C$120:$C$179,$A8)</x:f>
        <x:v>0</x:v>
      </x:c>
      <x:c r="O8" s="436" t="n">
        <x:f>SUMIFS($D$120:$D$179,$B$120:$B$179,2040,$C$120:$C$179,$A8)</x:f>
        <x:v>0</x:v>
      </x:c>
      <x:c r="P8" s="436" t="n">
        <x:f>SUMIFS($D$120:$D$179,$B$120:$B$179,2041,$C$120:$C$179,$A8)</x:f>
        <x:v>0</x:v>
      </x:c>
      <x:c r="Q8" s="436" t="n">
        <x:f>SUMIFS($D$120:$D$179,$B$120:$B$179,2042,$C$120:$C$179,$A8)</x:f>
        <x:v>0</x:v>
      </x:c>
      <x:c r="R8" s="436" t="n">
        <x:f>SUMIFS($D$120:$D$179,$B$120:$B$179,2043,$C$120:$C$179,$A8)</x:f>
        <x:v>0</x:v>
      </x:c>
      <x:c r="S8" s="436" t="n">
        <x:f>SUMIFS($D$120:$D$179,$B$120:$B$179,2044,$C$120:$C$179,$A8)</x:f>
        <x:v>0</x:v>
      </x:c>
      <x:c r="T8" s="436" t="n">
        <x:f>SUMIFS($D$120:$D$179,$B$120:$B$179,2045,$C$120:$C$179,$A8)</x:f>
        <x:v>0</x:v>
      </x:c>
      <x:c r="U8" s="436" t="n">
        <x:f>SUMIFS($D$120:$D$179,$B$120:$B$179,2046,$C$120:$C$179,$A8)</x:f>
        <x:v>0</x:v>
      </x:c>
      <x:c r="V8" s="436" t="n">
        <x:f>SUMIFS($D$120:$D$179,$B$120:$B$179,2047,$C$120:$C$179,$A8)</x:f>
        <x:v>0</x:v>
      </x:c>
      <x:c r="W8" s="436" t="n">
        <x:f>SUMIFS($D$120:$D$179,$B$120:$B$179,2048,$C$120:$C$179,$A8)</x:f>
        <x:v>0</x:v>
      </x:c>
      <x:c r="X8" s="436" t="n">
        <x:f>SUMIFS($D$120:$D$179,$B$120:$B$179,2049,$C$120:$C$179,$A8)</x:f>
        <x:v>0</x:v>
      </x:c>
      <x:c r="Y8" s="436" t="n">
        <x:f>SUMIFS($D$120:$D$179,$B$120:$B$179,2050,$C$120:$C$179,$A8)</x:f>
        <x:v>0</x:v>
      </x:c>
      <x:c r="Z8" s="436" t="n">
        <x:f>SUMIFS($D$120:$D$179,$B$120:$B$179,2051,$C$120:$C$179,$A8)</x:f>
        <x:v>0</x:v>
      </x:c>
      <x:c r="AA8" s="436" t="n">
        <x:f>SUMIFS($D$120:$D$179,$B$120:$B$179,2052,$C$120:$C$179,$A8)</x:f>
        <x:v>0</x:v>
      </x:c>
      <x:c r="AB8" s="436" t="n">
        <x:f>SUMIFS($D$120:$D$179,$B$120:$B$179,2053,$C$120:$C$179,$A8)</x:f>
        <x:v>0</x:v>
      </x:c>
      <x:c r="AC8" s="436" t="n">
        <x:f>SUMIFS($D$120:$D$179,$B$120:$B$179,2054,$C$120:$C$179,$A8)</x:f>
        <x:v>0</x:v>
      </x:c>
      <x:c r="AD8" s="436" t="n">
        <x:f>SUMIFS($D$120:$D$179,$B$120:$B$179,2055,$C$120:$C$179,$A8)</x:f>
        <x:v>0</x:v>
      </x:c>
      <x:c r="AE8" s="436" t="n">
        <x:f>SUMIFS($D$120:$D$179,$B$120:$B$179,2056,$C$120:$C$179,$A8)</x:f>
        <x:v>0</x:v>
      </x:c>
      <x:c r="AF8" s="436" t="n">
        <x:f>SUMIFS($D$120:$D$179,$B$120:$B$179,2057,$C$120:$C$179,$A8)</x:f>
        <x:v>0</x:v>
      </x:c>
      <x:c r="AG8" s="436" t="n">
        <x:f>SUMIFS($D$120:$D$179,$B$120:$B$179,2058,$C$120:$C$179,$A8)</x:f>
        <x:v>0</x:v>
      </x:c>
      <x:c r="AH8" s="436" t="n">
        <x:f>SUMIFS($D$120:$D$179,$B$120:$B$179,2059,$C$120:$C$179,$A8)</x:f>
        <x:v>0</x:v>
      </x:c>
      <x:c r="AI8" s="436" t="n">
        <x:f>SUMIFS($D$120:$D$179,$B$120:$B$179,2060,$C$120:$C$179,$A8)</x:f>
        <x:v>0</x:v>
      </x:c>
      <x:c r="AJ8" s="436" t="n">
        <x:f>SUMIFS($D$120:$D$179,$B$120:$B$179,2061,$C$120:$C$179,$A8)</x:f>
        <x:v>0</x:v>
      </x:c>
      <x:c r="AK8" s="436" t="n">
        <x:f>SUMIFS($D$120:$D$179,$B$120:$B$179,2062,$C$120:$C$179,$A8)</x:f>
        <x:v>0</x:v>
      </x:c>
      <x:c r="AL8" s="436" t="n">
        <x:f>SUMIFS($D$120:$D$179,$B$120:$B$179,2063,$C$120:$C$179,$A8)</x:f>
        <x:v>0</x:v>
      </x:c>
      <x:c r="AM8" s="436" t="n">
        <x:f>SUMIFS($D$120:$D$179,$B$120:$B$179,2064,$C$120:$C$179,$A8)</x:f>
        <x:v>0</x:v>
      </x:c>
      <x:c r="AN8" s="436" t="n">
        <x:f>SUMIFS($D$120:$D$179,$B$120:$B$179,2065,$C$120:$C$179,$A8)</x:f>
        <x:v>0</x:v>
      </x:c>
      <x:c r="AO8" s="437" t="n">
        <x:f>SUMIFS($D$120:$D$179,$B$120:$B$179,2066,$C$120:$C$179,$A8)</x:f>
        <x:v>0</x:v>
      </x:c>
    </x:row>
    <x:row r="9" ht="26" customHeight="1">
      <x:c r="A9" s="2"/>
      <x:c r="B9" s="2"/>
      <x:c r="C9" s="2"/>
      <x:c r="D9" s="2"/>
      <x:c r="E9" s="2"/>
      <x:c r="F9" s="2"/>
      <x:c r="G9" s="2"/>
      <x:c r="H9" s="2"/>
      <x:c r="I9" s="2"/>
      <x:c r="J9" s="2"/>
      <x:c r="K9" s="2"/>
      <x:c r="L9" s="2"/>
      <x:c r="M9" s="2"/>
      <x:c r="N9" s="2"/>
      <x:c r="O9" s="2"/>
      <x:c r="P9" s="2"/>
      <x:c r="Q9" s="2"/>
      <x:c r="R9" s="2"/>
      <x:c r="S9" s="2"/>
      <x:c r="T9" s="2"/>
      <x:c r="U9" s="2"/>
      <x:c r="V9" s="2"/>
      <x:c r="W9" s="2"/>
      <x:c r="X9" s="2"/>
      <x:c r="Y9" s="2"/>
      <x:c r="Z9" s="2"/>
      <x:c r="AA9" s="2"/>
      <x:c r="AB9" s="2"/>
      <x:c r="AC9" s="2"/>
      <x:c r="AD9" s="2"/>
      <x:c r="AE9" s="2"/>
      <x:c r="AF9" s="2"/>
      <x:c r="AG9" s="2"/>
      <x:c r="AH9" s="2"/>
      <x:c r="AI9" s="2"/>
      <x:c r="AJ9" s="2"/>
      <x:c r="AK9" s="2"/>
      <x:c r="AL9" s="2"/>
      <x:c r="AM9" s="2"/>
      <x:c r="AN9" s="2"/>
      <x:c r="AO9" s="2"/>
    </x:row>
    <x:row r="10" ht="26" customHeight="1">
      <x:c r="A10" s="2" t="str">
        <x:v>Darker = more principal, not a risk grade. Zero cells mean no known principal in that category/year. Unknown CP is excluded.</x:v>
      </x:c>
      <x:c r="B10" s="2"/>
      <x:c r="C10" s="2"/>
      <x:c r="D10" s="2"/>
      <x:c r="E10" s="2"/>
      <x:c r="F10" s="2"/>
      <x:c r="G10" s="2"/>
      <x:c r="H10" s="2"/>
      <x:c r="I10" s="2"/>
      <x:c r="J10" s="2"/>
      <x:c r="K10" s="2"/>
      <x:c r="L10" s="2"/>
      <x:c r="M10" s="2"/>
      <x:c r="N10" s="2"/>
      <x:c r="O10" s="2"/>
      <x:c r="P10" s="2"/>
      <x:c r="Q10" s="2"/>
      <x:c r="R10" s="2"/>
      <x:c r="S10" s="2"/>
      <x:c r="T10" s="2"/>
      <x:c r="U10" s="2"/>
      <x:c r="V10" s="2"/>
      <x:c r="W10" s="2"/>
      <x:c r="X10" s="2"/>
      <x:c r="Y10" s="2"/>
      <x:c r="Z10" s="2"/>
      <x:c r="AA10" s="2"/>
      <x:c r="AB10" s="2"/>
      <x:c r="AC10" s="2"/>
      <x:c r="AD10" s="2"/>
      <x:c r="AE10" s="2"/>
      <x:c r="AF10" s="2"/>
      <x:c r="AG10" s="2"/>
      <x:c r="AH10" s="2"/>
      <x:c r="AI10" s="2"/>
      <x:c r="AJ10" s="2"/>
      <x:c r="AK10" s="2"/>
      <x:c r="AL10" s="2"/>
      <x:c r="AM10" s="2"/>
      <x:c r="AN10" s="2"/>
      <x:c r="AO10" s="2"/>
    </x:row>
    <x:row r="11" ht="26" customHeight="1">
      <x:c r="A11" s="2"/>
      <x:c r="B11" s="2"/>
      <x:c r="C11" s="2"/>
      <x:c r="D11" s="2"/>
      <x:c r="E11" s="2"/>
      <x:c r="F11" s="2"/>
      <x:c r="G11" s="2"/>
      <x:c r="H11" s="2"/>
      <x:c r="I11" s="2"/>
      <x:c r="J11" s="2"/>
      <x:c r="K11" s="2"/>
      <x:c r="L11" s="2"/>
      <x:c r="M11" s="2"/>
      <x:c r="N11" s="2"/>
      <x:c r="O11" s="2"/>
      <x:c r="P11" s="2"/>
      <x:c r="Q11" s="2"/>
      <x:c r="R11" s="2"/>
      <x:c r="S11" s="2"/>
      <x:c r="T11" s="2"/>
      <x:c r="U11" s="2"/>
      <x:c r="V11" s="2"/>
      <x:c r="W11" s="2"/>
      <x:c r="X11" s="2"/>
      <x:c r="Y11" s="2"/>
      <x:c r="Z11" s="2"/>
      <x:c r="AA11" s="2"/>
      <x:c r="AB11" s="2"/>
      <x:c r="AC11" s="2"/>
      <x:c r="AD11" s="2"/>
      <x:c r="AE11" s="2"/>
      <x:c r="AF11" s="2"/>
      <x:c r="AG11" s="2"/>
      <x:c r="AH11" s="2"/>
      <x:c r="AI11" s="2"/>
      <x:c r="AJ11" s="2"/>
      <x:c r="AK11" s="2"/>
      <x:c r="AL11" s="2"/>
      <x:c r="AM11" s="2"/>
      <x:c r="AN11" s="2"/>
      <x:c r="AO11" s="2"/>
    </x:row>
    <x:row r="12" ht="26" customHeight="1">
      <x:c r="A12" s="2"/>
      <x:c r="B12" s="2"/>
      <x:c r="C12" s="2"/>
      <x:c r="D12" s="2"/>
      <x:c r="E12" s="2"/>
      <x:c r="F12" s="2"/>
      <x:c r="G12" s="2"/>
      <x:c r="H12" s="2"/>
      <x:c r="I12" s="2"/>
      <x:c r="J12" s="2"/>
      <x:c r="K12" s="2"/>
      <x:c r="L12" s="2"/>
      <x:c r="M12" s="2"/>
      <x:c r="N12" s="2"/>
      <x:c r="O12" s="2"/>
      <x:c r="P12" s="2"/>
      <x:c r="Q12" s="2"/>
      <x:c r="R12" s="2"/>
      <x:c r="S12" s="2"/>
      <x:c r="T12" s="2"/>
      <x:c r="U12" s="2"/>
      <x:c r="V12" s="2"/>
      <x:c r="W12" s="2"/>
      <x:c r="X12" s="2"/>
      <x:c r="Y12" s="2"/>
      <x:c r="Z12" s="2"/>
      <x:c r="AA12" s="2"/>
      <x:c r="AB12" s="2"/>
      <x:c r="AC12" s="2"/>
      <x:c r="AD12" s="2"/>
      <x:c r="AE12" s="2"/>
      <x:c r="AF12" s="2"/>
      <x:c r="AG12" s="2"/>
      <x:c r="AH12" s="2"/>
      <x:c r="AI12" s="2"/>
      <x:c r="AJ12" s="2"/>
      <x:c r="AK12" s="2"/>
      <x:c r="AL12" s="2"/>
      <x:c r="AM12" s="2"/>
      <x:c r="AN12" s="2"/>
      <x:c r="AO12" s="2"/>
    </x:row>
    <x:row r="13" ht="26" customHeight="1">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c r="AA13" s="2"/>
      <x:c r="AB13" s="2"/>
      <x:c r="AC13" s="2"/>
      <x:c r="AD13" s="2"/>
      <x:c r="AE13" s="2"/>
      <x:c r="AF13" s="2"/>
      <x:c r="AG13" s="2"/>
      <x:c r="AH13" s="2"/>
      <x:c r="AI13" s="2"/>
      <x:c r="AJ13" s="2"/>
      <x:c r="AK13" s="2"/>
      <x:c r="AL13" s="2"/>
      <x:c r="AM13" s="2"/>
      <x:c r="AN13" s="2"/>
      <x:c r="AO13" s="2"/>
    </x:row>
    <x:row r="14" ht="50" customHeight="1">
      <x:c r="A14" s="463" t="str">
        <x:v>Fixed coupon bucket</x:v>
      </x:c>
      <x:c r="B14" s="464" t="str">
        <x:v>Principal (USD B)</x:v>
      </x:c>
      <x:c r="C14" s="464" t="str">
        <x:v>Tranche count</x:v>
      </x:c>
      <x:c r="D14" s="464" t="str">
        <x:v>Weighted coupon %</x:v>
      </x:c>
      <x:c r="E14" s="465" t="str">
        <x:v>Upper bound (exclusive)</x:v>
      </x:c>
      <x:c r="F14" s="2"/>
      <x:c r="G14" s="2"/>
      <x:c r="H14" s="2"/>
      <x:c r="I14" s="2"/>
      <x:c r="J14" s="2"/>
      <x:c r="K14" s="2"/>
      <x:c r="L14" s="2"/>
      <x:c r="M14" s="2"/>
      <x:c r="N14" s="2"/>
      <x:c r="O14" s="2"/>
      <x:c r="P14" s="2"/>
      <x:c r="Q14" s="2"/>
      <x:c r="R14" s="2"/>
      <x:c r="S14" s="2"/>
      <x:c r="T14" s="2"/>
      <x:c r="U14" s="2"/>
      <x:c r="V14" s="2"/>
      <x:c r="W14" s="2"/>
      <x:c r="X14" s="2"/>
      <x:c r="Y14" s="2"/>
      <x:c r="Z14" s="2"/>
      <x:c r="AA14" s="2"/>
      <x:c r="AB14" s="2"/>
      <x:c r="AC14" s="2"/>
      <x:c r="AD14" s="2"/>
      <x:c r="AE14" s="2"/>
      <x:c r="AF14" s="2"/>
      <x:c r="AG14" s="2"/>
      <x:c r="AH14" s="2"/>
      <x:c r="AI14" s="2"/>
      <x:c r="AJ14" s="2"/>
      <x:c r="AK14" s="2"/>
      <x:c r="AL14" s="2"/>
      <x:c r="AM14" s="2"/>
      <x:c r="AN14" s="2"/>
      <x:c r="AO14" s="2"/>
    </x:row>
    <x:row r="15" ht="26" customHeight="1">
      <x:c r="A15" s="444" t="str">
        <x:v>0–&lt;1%</x:v>
      </x:c>
      <x:c r="B15" s="445" t="n">
        <x:f>SUMIFS($D$54:$D$106,$C$54:$C$106,"&gt;="&amp;(0),$C$54:$C$106,"&lt;"&amp;E15)</x:f>
        <x:v>0</x:v>
      </x:c>
      <x:c r="C15" s="446" t="n">
        <x:f>COUNTIFS($C$54:$C$106,"&gt;="&amp;(0),$C$54:$C$106,"&lt;"&amp;E15)</x:f>
        <x:v>0</x:v>
      </x:c>
      <x:c r="D15" s="447" t="str">
        <x:v>No tranches</x:v>
      </x:c>
      <x:c r="E15" s="448" t="n">
        <x:v>0.01</x:v>
      </x:c>
      <x:c r="F15" s="2"/>
      <x:c r="G15" s="2"/>
      <x:c r="H15" s="2"/>
      <x:c r="I15" s="2"/>
      <x:c r="J15" s="2"/>
      <x:c r="K15" s="2"/>
      <x:c r="L15" s="2"/>
      <x:c r="M15" s="2"/>
      <x:c r="N15" s="2"/>
      <x:c r="O15" s="2"/>
      <x:c r="P15" s="2"/>
      <x:c r="Q15" s="2"/>
      <x:c r="R15" s="2"/>
      <x:c r="S15" s="2"/>
      <x:c r="T15" s="2"/>
      <x:c r="U15" s="2"/>
      <x:c r="V15" s="2"/>
      <x:c r="W15" s="2"/>
      <x:c r="X15" s="2"/>
      <x:c r="Y15" s="2"/>
      <x:c r="Z15" s="2"/>
      <x:c r="AA15" s="2"/>
      <x:c r="AB15" s="2"/>
      <x:c r="AC15" s="2"/>
      <x:c r="AD15" s="2"/>
      <x:c r="AE15" s="2"/>
      <x:c r="AF15" s="2"/>
      <x:c r="AG15" s="2"/>
      <x:c r="AH15" s="2"/>
      <x:c r="AI15" s="2"/>
      <x:c r="AJ15" s="2"/>
      <x:c r="AK15" s="2"/>
      <x:c r="AL15" s="2"/>
      <x:c r="AM15" s="2"/>
      <x:c r="AN15" s="2"/>
      <x:c r="AO15" s="2"/>
    </x:row>
    <x:row r="16" ht="26" customHeight="1">
      <x:c r="A16" s="444" t="str">
        <x:v>1–&lt;2%</x:v>
      </x:c>
      <x:c r="B16" s="445" t="n">
        <x:f>SUMIFS($D$54:$D$106,$C$54:$C$106,"&gt;="&amp;(0.01),$C$54:$C$106,"&lt;"&amp;E16)</x:f>
        <x:v>0</x:v>
      </x:c>
      <x:c r="C16" s="446" t="n">
        <x:f>COUNTIFS($C$54:$C$106,"&gt;="&amp;(0.01),$C$54:$C$106,"&lt;"&amp;E16)</x:f>
        <x:v>0</x:v>
      </x:c>
      <x:c r="D16" s="447" t="str">
        <x:v>No tranches</x:v>
      </x:c>
      <x:c r="E16" s="448" t="n">
        <x:v>0.02</x:v>
      </x:c>
      <x:c r="F16" s="2"/>
      <x:c r="G16" s="2"/>
      <x:c r="H16" s="2"/>
      <x:c r="I16" s="2"/>
      <x:c r="J16" s="2"/>
      <x:c r="K16" s="2"/>
      <x:c r="L16" s="2"/>
      <x:c r="M16" s="2"/>
      <x:c r="N16" s="2"/>
      <x:c r="O16" s="2"/>
      <x:c r="P16" s="2"/>
      <x:c r="Q16" s="2"/>
      <x:c r="R16" s="2"/>
      <x:c r="S16" s="2"/>
      <x:c r="T16" s="2"/>
      <x:c r="U16" s="2"/>
      <x:c r="V16" s="2"/>
      <x:c r="W16" s="2"/>
      <x:c r="X16" s="2"/>
      <x:c r="Y16" s="2"/>
      <x:c r="Z16" s="2"/>
      <x:c r="AA16" s="2"/>
      <x:c r="AB16" s="2"/>
      <x:c r="AC16" s="2"/>
      <x:c r="AD16" s="2"/>
      <x:c r="AE16" s="2"/>
      <x:c r="AF16" s="2"/>
      <x:c r="AG16" s="2"/>
      <x:c r="AH16" s="2"/>
      <x:c r="AI16" s="2"/>
      <x:c r="AJ16" s="2"/>
      <x:c r="AK16" s="2"/>
      <x:c r="AL16" s="2"/>
      <x:c r="AM16" s="2"/>
      <x:c r="AN16" s="2"/>
      <x:c r="AO16" s="2"/>
    </x:row>
    <x:row r="17" ht="26" customHeight="1">
      <x:c r="A17" s="444" t="str">
        <x:v>2–&lt;3%</x:v>
      </x:c>
      <x:c r="B17" s="445" t="n">
        <x:f>SUMIFS($D$54:$D$106,$C$54:$C$106,"&gt;="&amp;(0.02),$C$54:$C$106,"&lt;"&amp;E17)</x:f>
        <x:v>10750000000</x:v>
      </x:c>
      <x:c r="C17" s="446" t="n">
        <x:f>COUNTIFS($C$54:$C$106,"&gt;="&amp;(0.02),$C$54:$C$106,"&lt;"&amp;E17)</x:f>
        <x:v>4</x:v>
      </x:c>
      <x:c r="D17" s="447" t="n">
        <x:f>SUMIFS($F$54:$F$106,$C$54:$C$106,"&gt;="&amp;(0.02),$C$54:$C$106,"&lt;"&amp;E17)/B17</x:f>
        <x:v>0.02775</x:v>
      </x:c>
      <x:c r="E17" s="448" t="n">
        <x:v>0.03</x:v>
      </x:c>
      <x:c r="F17" s="2"/>
      <x:c r="G17" s="2"/>
      <x:c r="H17" s="2"/>
      <x:c r="I17" s="2"/>
      <x:c r="J17" s="2"/>
      <x:c r="K17" s="2"/>
      <x:c r="L17" s="2"/>
      <x:c r="M17" s="2"/>
      <x:c r="N17" s="2"/>
      <x:c r="O17" s="2"/>
      <x:c r="P17" s="2"/>
      <x:c r="Q17" s="2"/>
      <x:c r="R17" s="2"/>
      <x:c r="S17" s="2"/>
      <x:c r="T17" s="2"/>
      <x:c r="U17" s="2"/>
      <x:c r="V17" s="2"/>
      <x:c r="W17" s="2"/>
      <x:c r="X17" s="2"/>
      <x:c r="Y17" s="2"/>
      <x:c r="Z17" s="2"/>
      <x:c r="AA17" s="2"/>
      <x:c r="AB17" s="2"/>
      <x:c r="AC17" s="2"/>
      <x:c r="AD17" s="2"/>
      <x:c r="AE17" s="2"/>
      <x:c r="AF17" s="2"/>
      <x:c r="AG17" s="2"/>
      <x:c r="AH17" s="2"/>
      <x:c r="AI17" s="2"/>
      <x:c r="AJ17" s="2"/>
      <x:c r="AK17" s="2"/>
      <x:c r="AL17" s="2"/>
      <x:c r="AM17" s="2"/>
      <x:c r="AN17" s="2"/>
      <x:c r="AO17" s="2"/>
    </x:row>
    <x:row r="18" ht="26" customHeight="1">
      <x:c r="A18" s="444" t="str">
        <x:v>3–&lt;4%</x:v>
      </x:c>
      <x:c r="B18" s="445" t="n">
        <x:f>SUMIFS($D$54:$D$106,$C$54:$C$106,"&gt;="&amp;(0.03),$C$54:$C$106,"&lt;"&amp;E18)</x:f>
        <x:v>24000000000</x:v>
      </x:c>
      <x:c r="C18" s="446" t="n">
        <x:f>COUNTIFS($C$54:$C$106,"&gt;="&amp;(0.03),$C$54:$C$106,"&lt;"&amp;E18)</x:f>
        <x:v>10</x:v>
      </x:c>
      <x:c r="D18" s="447" t="n">
        <x:f>SUMIFS($F$54:$F$106,$C$54:$C$106,"&gt;="&amp;(0.03),$C$54:$C$106,"&lt;"&amp;E18)/B18</x:f>
        <x:v>0.03684375</x:v>
      </x:c>
      <x:c r="E18" s="448" t="n">
        <x:v>0.04</x:v>
      </x:c>
      <x:c r="F18" s="2"/>
      <x:c r="G18" s="2"/>
      <x:c r="H18" s="2"/>
      <x:c r="I18" s="2"/>
      <x:c r="J18" s="2"/>
      <x:c r="K18" s="2"/>
      <x:c r="L18" s="2"/>
      <x:c r="M18" s="2"/>
      <x:c r="N18" s="2"/>
      <x:c r="O18" s="2"/>
      <x:c r="P18" s="2"/>
      <x:c r="Q18" s="2"/>
      <x:c r="R18" s="2"/>
      <x:c r="S18" s="2"/>
      <x:c r="T18" s="2"/>
      <x:c r="U18" s="2"/>
      <x:c r="V18" s="2"/>
      <x:c r="W18" s="2"/>
      <x:c r="X18" s="2"/>
      <x:c r="Y18" s="2"/>
      <x:c r="Z18" s="2"/>
      <x:c r="AA18" s="2"/>
      <x:c r="AB18" s="2"/>
      <x:c r="AC18" s="2"/>
      <x:c r="AD18" s="2"/>
      <x:c r="AE18" s="2"/>
      <x:c r="AF18" s="2"/>
      <x:c r="AG18" s="2"/>
      <x:c r="AH18" s="2"/>
      <x:c r="AI18" s="2"/>
      <x:c r="AJ18" s="2"/>
      <x:c r="AK18" s="2"/>
      <x:c r="AL18" s="2"/>
      <x:c r="AM18" s="2"/>
      <x:c r="AN18" s="2"/>
      <x:c r="AO18" s="2"/>
    </x:row>
    <x:row r="19" ht="26" customHeight="1">
      <x:c r="A19" s="444" t="str">
        <x:v>4–&lt;5%</x:v>
      </x:c>
      <x:c r="B19" s="445" t="n">
        <x:f>SUMIFS($D$54:$D$106,$C$54:$C$106,"&gt;="&amp;(0.04),$C$54:$C$106,"&lt;"&amp;E19)</x:f>
        <x:v>33000000000</x:v>
      </x:c>
      <x:c r="C19" s="446" t="n">
        <x:f>COUNTIFS($C$54:$C$106,"&gt;="&amp;(0.04),$C$54:$C$106,"&lt;"&amp;E19)</x:f>
        <x:v>17</x:v>
      </x:c>
      <x:c r="D19" s="447" t="n">
        <x:f>SUMIFS($F$54:$F$106,$C$54:$C$106,"&gt;="&amp;(0.04),$C$54:$C$106,"&lt;"&amp;E19)/B19</x:f>
        <x:v>0.04471401515151515</x:v>
      </x:c>
      <x:c r="E19" s="448" t="n">
        <x:v>0.05</x:v>
      </x:c>
      <x:c r="F19" s="2"/>
      <x:c r="G19" s="2"/>
      <x:c r="H19" s="2"/>
      <x:c r="I19" s="2"/>
      <x:c r="J19" s="2"/>
      <x:c r="K19" s="2"/>
      <x:c r="L19" s="2"/>
      <x:c r="M19" s="2"/>
      <x:c r="N19" s="2"/>
      <x:c r="O19" s="2"/>
      <x:c r="P19" s="2"/>
      <x:c r="Q19" s="2"/>
      <x:c r="R19" s="2"/>
      <x:c r="S19" s="2"/>
      <x:c r="T19" s="2"/>
      <x:c r="U19" s="2"/>
      <x:c r="V19" s="2"/>
      <x:c r="W19" s="2"/>
      <x:c r="X19" s="2"/>
      <x:c r="Y19" s="2"/>
      <x:c r="Z19" s="2"/>
      <x:c r="AA19" s="2"/>
      <x:c r="AB19" s="2"/>
      <x:c r="AC19" s="2"/>
      <x:c r="AD19" s="2"/>
      <x:c r="AE19" s="2"/>
      <x:c r="AF19" s="2"/>
      <x:c r="AG19" s="2"/>
      <x:c r="AH19" s="2"/>
      <x:c r="AI19" s="2"/>
      <x:c r="AJ19" s="2"/>
      <x:c r="AK19" s="2"/>
      <x:c r="AL19" s="2"/>
      <x:c r="AM19" s="2"/>
      <x:c r="AN19" s="2"/>
      <x:c r="AO19" s="2"/>
    </x:row>
    <x:row r="20" ht="26" customHeight="1">
      <x:c r="A20" s="444" t="str">
        <x:v>5–&lt;6%</x:v>
      </x:c>
      <x:c r="B20" s="445" t="n">
        <x:f>SUMIFS($D$54:$D$106,$C$54:$C$106,"&gt;="&amp;(0.05),$C$54:$C$106,"&lt;"&amp;E20)</x:f>
        <x:v>28500000000</x:v>
      </x:c>
      <x:c r="C20" s="446" t="n">
        <x:f>COUNTIFS($C$54:$C$106,"&gt;="&amp;(0.05),$C$54:$C$106,"&lt;"&amp;E20)</x:f>
        <x:v>11</x:v>
      </x:c>
      <x:c r="D20" s="447" t="n">
        <x:f>SUMIFS($F$54:$F$106,$C$54:$C$106,"&gt;="&amp;(0.05),$C$54:$C$106,"&lt;"&amp;E20)/B20</x:f>
        <x:v>0.05540789473684211</x:v>
      </x:c>
      <x:c r="E20" s="448" t="n">
        <x:v>0.06</x:v>
      </x:c>
      <x:c r="F20" s="2"/>
      <x:c r="G20" s="2"/>
      <x:c r="H20" s="2"/>
      <x:c r="I20" s="2"/>
      <x:c r="J20" s="2"/>
      <x:c r="K20" s="2"/>
      <x:c r="L20" s="2"/>
      <x:c r="M20" s="2"/>
      <x:c r="N20" s="2"/>
      <x:c r="O20" s="2"/>
      <x:c r="P20" s="2"/>
      <x:c r="Q20" s="2"/>
      <x:c r="R20" s="2"/>
      <x:c r="S20" s="2"/>
      <x:c r="T20" s="2"/>
      <x:c r="U20" s="2"/>
      <x:c r="V20" s="2"/>
      <x:c r="W20" s="2"/>
      <x:c r="X20" s="2"/>
      <x:c r="Y20" s="2"/>
      <x:c r="Z20" s="2"/>
      <x:c r="AA20" s="2"/>
      <x:c r="AB20" s="2"/>
      <x:c r="AC20" s="2"/>
      <x:c r="AD20" s="2"/>
      <x:c r="AE20" s="2"/>
      <x:c r="AF20" s="2"/>
      <x:c r="AG20" s="2"/>
      <x:c r="AH20" s="2"/>
      <x:c r="AI20" s="2"/>
      <x:c r="AJ20" s="2"/>
      <x:c r="AK20" s="2"/>
      <x:c r="AL20" s="2"/>
      <x:c r="AM20" s="2"/>
      <x:c r="AN20" s="2"/>
      <x:c r="AO20" s="2"/>
    </x:row>
    <x:row r="21" ht="26" customHeight="1">
      <x:c r="A21" s="444" t="str">
        <x:v>6–&lt;7%</x:v>
      </x:c>
      <x:c r="B21" s="445" t="n">
        <x:f>SUMIFS($D$54:$D$106,$C$54:$C$106,"&gt;="&amp;(0.06),$C$54:$C$106,"&lt;"&amp;E21)</x:f>
        <x:v>23250000000</x:v>
      </x:c>
      <x:c r="C21" s="446" t="n">
        <x:f>COUNTIFS($C$54:$C$106,"&gt;="&amp;(0.06),$C$54:$C$106,"&lt;"&amp;E21)</x:f>
        <x:v>11</x:v>
      </x:c>
      <x:c r="D21" s="447" t="n">
        <x:f>SUMIFS($F$54:$F$106,$C$54:$C$106,"&gt;="&amp;(0.06),$C$54:$C$106,"&lt;"&amp;E21)/B21</x:f>
        <x:v>0.06480913978494623</x:v>
      </x:c>
      <x:c r="E21" s="448" t="n">
        <x:v>0.07</x:v>
      </x:c>
      <x:c r="F21" s="2"/>
      <x:c r="G21" s="2"/>
      <x:c r="H21" s="2"/>
      <x:c r="I21" s="2"/>
      <x:c r="J21" s="2"/>
      <x:c r="K21" s="2"/>
      <x:c r="L21" s="2"/>
      <x:c r="M21" s="2"/>
      <x:c r="N21" s="2"/>
      <x:c r="O21" s="2"/>
      <x:c r="P21" s="2"/>
      <x:c r="Q21" s="2"/>
      <x:c r="R21" s="2"/>
      <x:c r="S21" s="2"/>
      <x:c r="T21" s="2"/>
      <x:c r="U21" s="2"/>
      <x:c r="V21" s="2"/>
      <x:c r="W21" s="2"/>
      <x:c r="X21" s="2"/>
      <x:c r="Y21" s="2"/>
      <x:c r="Z21" s="2"/>
      <x:c r="AA21" s="2"/>
      <x:c r="AB21" s="2"/>
      <x:c r="AC21" s="2"/>
      <x:c r="AD21" s="2"/>
      <x:c r="AE21" s="2"/>
      <x:c r="AF21" s="2"/>
      <x:c r="AG21" s="2"/>
      <x:c r="AH21" s="2"/>
      <x:c r="AI21" s="2"/>
      <x:c r="AJ21" s="2"/>
      <x:c r="AK21" s="2"/>
      <x:c r="AL21" s="2"/>
      <x:c r="AM21" s="2"/>
      <x:c r="AN21" s="2"/>
      <x:c r="AO21" s="2"/>
    </x:row>
    <x:row r="22" ht="26" customHeight="1">
      <x:c r="A22" s="444" t="str">
        <x:v>7–&lt;8%</x:v>
      </x:c>
      <x:c r="B22" s="445" t="n">
        <x:f>SUMIFS($D$54:$D$106,$C$54:$C$106,"&gt;="&amp;(0.07),$C$54:$C$106,"&lt;"&amp;E22)</x:f>
        <x:v>0</x:v>
      </x:c>
      <x:c r="C22" s="446" t="n">
        <x:f>COUNTIFS($C$54:$C$106,"&gt;="&amp;(0.07),$C$54:$C$106,"&lt;"&amp;E22)</x:f>
        <x:v>0</x:v>
      </x:c>
      <x:c r="D22" s="447" t="str">
        <x:v>No tranches</x:v>
      </x:c>
      <x:c r="E22" s="448" t="n">
        <x:v>0.08</x:v>
      </x:c>
      <x:c r="F22" s="2"/>
      <x:c r="G22" s="2"/>
      <x:c r="H22" s="2"/>
      <x:c r="I22" s="2"/>
      <x:c r="J22" s="2"/>
      <x:c r="K22" s="2"/>
      <x:c r="L22" s="2"/>
      <x:c r="M22" s="2"/>
      <x:c r="N22" s="2"/>
      <x:c r="O22" s="2"/>
      <x:c r="P22" s="2"/>
      <x:c r="Q22" s="2"/>
      <x:c r="R22" s="2"/>
      <x:c r="S22" s="2"/>
      <x:c r="T22" s="2"/>
      <x:c r="U22" s="2"/>
      <x:c r="V22" s="2"/>
      <x:c r="W22" s="2"/>
      <x:c r="X22" s="2"/>
      <x:c r="Y22" s="2"/>
      <x:c r="Z22" s="2"/>
      <x:c r="AA22" s="2"/>
      <x:c r="AB22" s="2"/>
      <x:c r="AC22" s="2"/>
      <x:c r="AD22" s="2"/>
      <x:c r="AE22" s="2"/>
      <x:c r="AF22" s="2"/>
      <x:c r="AG22" s="2"/>
      <x:c r="AH22" s="2"/>
      <x:c r="AI22" s="2"/>
      <x:c r="AJ22" s="2"/>
      <x:c r="AK22" s="2"/>
      <x:c r="AL22" s="2"/>
      <x:c r="AM22" s="2"/>
      <x:c r="AN22" s="2"/>
      <x:c r="AO22" s="2"/>
    </x:row>
    <x:row r="23" ht="26" customHeight="1">
      <x:c r="A23" s="444" t="str">
        <x:v>8–&lt;9%</x:v>
      </x:c>
      <x:c r="B23" s="445" t="n">
        <x:f>SUMIFS($D$54:$D$106,$C$54:$C$106,"&gt;="&amp;(0.08),$C$54:$C$106,"&lt;"&amp;E23)</x:f>
        <x:v>0</x:v>
      </x:c>
      <x:c r="C23" s="446" t="n">
        <x:f>COUNTIFS($C$54:$C$106,"&gt;="&amp;(0.08),$C$54:$C$106,"&lt;"&amp;E23)</x:f>
        <x:v>0</x:v>
      </x:c>
      <x:c r="D23" s="447" t="str">
        <x:v>No tranches</x:v>
      </x:c>
      <x:c r="E23" s="448" t="n">
        <x:v>0.09</x:v>
      </x:c>
      <x:c r="F23" s="2"/>
      <x:c r="G23" s="2"/>
      <x:c r="H23" s="2"/>
      <x:c r="I23" s="2"/>
      <x:c r="J23" s="2"/>
      <x:c r="K23" s="2"/>
      <x:c r="L23" s="2"/>
      <x:c r="M23" s="2"/>
      <x:c r="N23" s="2"/>
      <x:c r="O23" s="2"/>
      <x:c r="P23" s="2"/>
      <x:c r="Q23" s="2"/>
      <x:c r="R23" s="2"/>
      <x:c r="S23" s="2"/>
      <x:c r="T23" s="2"/>
      <x:c r="U23" s="2"/>
      <x:c r="V23" s="2"/>
      <x:c r="W23" s="2"/>
      <x:c r="X23" s="2"/>
      <x:c r="Y23" s="2"/>
      <x:c r="Z23" s="2"/>
      <x:c r="AA23" s="2"/>
      <x:c r="AB23" s="2"/>
      <x:c r="AC23" s="2"/>
      <x:c r="AD23" s="2"/>
      <x:c r="AE23" s="2"/>
      <x:c r="AF23" s="2"/>
      <x:c r="AG23" s="2"/>
      <x:c r="AH23" s="2"/>
      <x:c r="AI23" s="2"/>
      <x:c r="AJ23" s="2"/>
      <x:c r="AK23" s="2"/>
      <x:c r="AL23" s="2"/>
      <x:c r="AM23" s="2"/>
      <x:c r="AN23" s="2"/>
      <x:c r="AO23" s="2"/>
    </x:row>
    <x:row r="24" ht="26" customHeight="1">
      <x:c r="A24" s="444" t="str">
        <x:v>9–&lt;10%</x:v>
      </x:c>
      <x:c r="B24" s="445" t="n">
        <x:f>SUMIFS($D$54:$D$106,$C$54:$C$106,"&gt;="&amp;(0.09),$C$54:$C$106,"&lt;"&amp;E24)</x:f>
        <x:v>0</x:v>
      </x:c>
      <x:c r="C24" s="446" t="n">
        <x:f>COUNTIFS($C$54:$C$106,"&gt;="&amp;(0.09),$C$54:$C$106,"&lt;"&amp;E24)</x:f>
        <x:v>0</x:v>
      </x:c>
      <x:c r="D24" s="447" t="str">
        <x:v>No tranches</x:v>
      </x:c>
      <x:c r="E24" s="448" t="n">
        <x:v>0.1</x:v>
      </x:c>
      <x:c r="F24" s="2"/>
      <x:c r="G24" s="2"/>
      <x:c r="H24" s="2"/>
      <x:c r="I24" s="2"/>
      <x:c r="J24" s="2"/>
      <x:c r="K24" s="2"/>
      <x:c r="L24" s="2"/>
      <x:c r="M24" s="2"/>
      <x:c r="N24" s="2"/>
      <x:c r="O24" s="2"/>
      <x:c r="P24" s="2"/>
      <x:c r="Q24" s="2"/>
      <x:c r="R24" s="2"/>
      <x:c r="S24" s="2"/>
      <x:c r="T24" s="2"/>
      <x:c r="U24" s="2"/>
      <x:c r="V24" s="2"/>
      <x:c r="W24" s="2"/>
      <x:c r="X24" s="2"/>
      <x:c r="Y24" s="2"/>
      <x:c r="Z24" s="2"/>
      <x:c r="AA24" s="2"/>
      <x:c r="AB24" s="2"/>
      <x:c r="AC24" s="2"/>
      <x:c r="AD24" s="2"/>
      <x:c r="AE24" s="2"/>
      <x:c r="AF24" s="2"/>
      <x:c r="AG24" s="2"/>
      <x:c r="AH24" s="2"/>
      <x:c r="AI24" s="2"/>
      <x:c r="AJ24" s="2"/>
      <x:c r="AK24" s="2"/>
      <x:c r="AL24" s="2"/>
      <x:c r="AM24" s="2"/>
      <x:c r="AN24" s="2"/>
      <x:c r="AO24" s="2"/>
    </x:row>
    <x:row r="25" ht="26" customHeight="1">
      <x:c r="A25" s="449" t="str">
        <x:v>10–&lt;11%</x:v>
      </x:c>
      <x:c r="B25" s="450" t="n">
        <x:f>SUMIFS($D$54:$D$106,$C$54:$C$106,"&gt;="&amp;(0.1),$C$54:$C$106,"&lt;"&amp;E25)</x:f>
        <x:v>0</x:v>
      </x:c>
      <x:c r="C25" s="451" t="n">
        <x:f>COUNTIFS($C$54:$C$106,"&gt;="&amp;(0.1),$C$54:$C$106,"&lt;"&amp;E25)</x:f>
        <x:v>0</x:v>
      </x:c>
      <x:c r="D25" s="452" t="str">
        <x:v>No tranches</x:v>
      </x:c>
      <x:c r="E25" s="453" t="n">
        <x:v>0.11</x:v>
      </x:c>
      <x:c r="F25" s="2"/>
      <x:c r="G25" s="2"/>
      <x:c r="H25" s="2"/>
      <x:c r="I25" s="2"/>
      <x:c r="J25" s="2"/>
      <x:c r="K25" s="2"/>
      <x:c r="L25" s="2"/>
      <x:c r="M25" s="2"/>
      <x:c r="N25" s="2"/>
      <x:c r="O25" s="2"/>
      <x:c r="P25" s="2"/>
      <x:c r="Q25" s="2"/>
      <x:c r="R25" s="2"/>
      <x:c r="S25" s="2"/>
      <x:c r="T25" s="2"/>
      <x:c r="U25" s="2"/>
      <x:c r="V25" s="2"/>
      <x:c r="W25" s="2"/>
      <x:c r="X25" s="2"/>
      <x:c r="Y25" s="2"/>
      <x:c r="Z25" s="2"/>
      <x:c r="AA25" s="2"/>
      <x:c r="AB25" s="2"/>
      <x:c r="AC25" s="2"/>
      <x:c r="AD25" s="2"/>
      <x:c r="AE25" s="2"/>
      <x:c r="AF25" s="2"/>
      <x:c r="AG25" s="2"/>
      <x:c r="AH25" s="2"/>
      <x:c r="AI25" s="2"/>
      <x:c r="AJ25" s="2"/>
      <x:c r="AK25" s="2"/>
      <x:c r="AL25" s="2"/>
      <x:c r="AM25" s="2"/>
      <x:c r="AN25" s="2"/>
      <x:c r="AO25" s="2"/>
    </x:row>
    <x:row r="26" ht="26"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c r="AA26" s="2"/>
      <x:c r="AB26" s="2"/>
      <x:c r="AC26" s="2"/>
      <x:c r="AD26" s="2"/>
      <x:c r="AE26" s="2"/>
      <x:c r="AF26" s="2"/>
      <x:c r="AG26" s="2"/>
      <x:c r="AH26" s="2"/>
      <x:c r="AI26" s="2"/>
      <x:c r="AJ26" s="2"/>
      <x:c r="AK26" s="2"/>
      <x:c r="AL26" s="2"/>
      <x:c r="AM26" s="2"/>
      <x:c r="AN26" s="2"/>
      <x:c r="AO26" s="2"/>
    </x:row>
    <x:row r="27" ht="26"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c r="AA27" s="2"/>
      <x:c r="AB27" s="2"/>
      <x:c r="AC27" s="2"/>
      <x:c r="AD27" s="2"/>
      <x:c r="AE27" s="2"/>
      <x:c r="AF27" s="2"/>
      <x:c r="AG27" s="2"/>
      <x:c r="AH27" s="2"/>
      <x:c r="AI27" s="2"/>
      <x:c r="AJ27" s="2"/>
      <x:c r="AK27" s="2"/>
      <x:c r="AL27" s="2"/>
      <x:c r="AM27" s="2"/>
      <x:c r="AN27" s="2"/>
      <x:c r="AO27" s="2"/>
    </x:row>
    <x:row r="28" ht="26" customHeight="1">
      <x:c r="A28" s="2" t="str">
        <x:v>Only fixed-rate notes. Floating spreads and term-loan amortization rates excluded. Height is principal, not tranche count.</x:v>
      </x:c>
      <x:c r="B28" s="2"/>
      <x:c r="C28" s="2"/>
      <x:c r="D28" s="2"/>
      <x:c r="E28" s="2"/>
      <x:c r="F28" s="2"/>
      <x:c r="G28" s="2"/>
      <x:c r="H28" s="2"/>
      <x:c r="I28" s="2"/>
      <x:c r="J28" s="2"/>
      <x:c r="K28" s="2"/>
      <x:c r="L28" s="2"/>
      <x:c r="M28" s="2"/>
      <x:c r="N28" s="2"/>
      <x:c r="O28" s="2"/>
      <x:c r="P28" s="2"/>
      <x:c r="Q28" s="2"/>
      <x:c r="R28" s="2"/>
      <x:c r="S28" s="2"/>
      <x:c r="T28" s="2"/>
      <x:c r="U28" s="2"/>
      <x:c r="V28" s="2"/>
      <x:c r="W28" s="2"/>
      <x:c r="X28" s="2"/>
      <x:c r="Y28" s="2"/>
      <x:c r="Z28" s="2"/>
      <x:c r="AA28" s="2"/>
      <x:c r="AB28" s="2"/>
      <x:c r="AC28" s="2"/>
      <x:c r="AD28" s="2"/>
      <x:c r="AE28" s="2"/>
      <x:c r="AF28" s="2"/>
      <x:c r="AG28" s="2"/>
      <x:c r="AH28" s="2"/>
      <x:c r="AI28" s="2"/>
      <x:c r="AJ28" s="2"/>
      <x:c r="AK28" s="2"/>
      <x:c r="AL28" s="2"/>
      <x:c r="AM28" s="2"/>
      <x:c r="AN28" s="2"/>
      <x:c r="AO28" s="2"/>
    </x:row>
    <x:row r="29" ht="26"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c r="AA29" s="2"/>
      <x:c r="AB29" s="2"/>
      <x:c r="AC29" s="2"/>
      <x:c r="AD29" s="2"/>
      <x:c r="AE29" s="2"/>
      <x:c r="AF29" s="2"/>
      <x:c r="AG29" s="2"/>
      <x:c r="AH29" s="2"/>
      <x:c r="AI29" s="2"/>
      <x:c r="AJ29" s="2"/>
      <x:c r="AK29" s="2"/>
      <x:c r="AL29" s="2"/>
      <x:c r="AM29" s="2"/>
      <x:c r="AN29" s="2"/>
      <x:c r="AO29" s="2"/>
    </x:row>
    <x:row r="30" ht="26" customHeight="1">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c r="AA30" s="2"/>
      <x:c r="AB30" s="2"/>
      <x:c r="AC30" s="2"/>
      <x:c r="AD30" s="2"/>
      <x:c r="AE30" s="2"/>
      <x:c r="AF30" s="2"/>
      <x:c r="AG30" s="2"/>
      <x:c r="AH30" s="2"/>
      <x:c r="AI30" s="2"/>
      <x:c r="AJ30" s="2"/>
      <x:c r="AK30" s="2"/>
      <x:c r="AL30" s="2"/>
      <x:c r="AM30" s="2"/>
      <x:c r="AN30" s="2"/>
      <x:c r="AO30" s="2"/>
    </x:row>
    <x:row r="31" ht="26" customHeight="1">
      <x:c r="A31" s="423" t="str">
        <x:v>Instrument type</x:v>
      </x:c>
      <x:c r="B31" s="425" t="str">
        <x:v>Principal (USD B)</x:v>
      </x:c>
      <x:c r="C31" s="2"/>
      <x:c r="D31" s="2"/>
      <x:c r="E31" s="2"/>
      <x:c r="F31" s="2"/>
      <x:c r="G31" s="2"/>
      <x:c r="H31" s="2"/>
      <x:c r="I31" s="2"/>
      <x:c r="J31" s="2"/>
      <x:c r="K31" s="2"/>
      <x:c r="L31" s="2"/>
      <x:c r="M31" s="2"/>
      <x:c r="N31" s="2"/>
      <x:c r="O31" s="2"/>
      <x:c r="P31" s="2"/>
      <x:c r="Q31" s="2"/>
      <x:c r="R31" s="2"/>
      <x:c r="S31" s="2"/>
      <x:c r="T31" s="2"/>
      <x:c r="U31" s="2"/>
      <x:c r="V31" s="2"/>
      <x:c r="W31" s="2"/>
      <x:c r="X31" s="2"/>
      <x:c r="Y31" s="2"/>
      <x:c r="Z31" s="2"/>
      <x:c r="AA31" s="2"/>
      <x:c r="AB31" s="2"/>
      <x:c r="AC31" s="2"/>
      <x:c r="AD31" s="2"/>
      <x:c r="AE31" s="2"/>
      <x:c r="AF31" s="2"/>
      <x:c r="AG31" s="2"/>
      <x:c r="AH31" s="2"/>
      <x:c r="AI31" s="2"/>
      <x:c r="AJ31" s="2"/>
      <x:c r="AK31" s="2"/>
      <x:c r="AL31" s="2"/>
      <x:c r="AM31" s="2"/>
      <x:c r="AN31" s="2"/>
      <x:c r="AO31" s="2"/>
    </x:row>
    <x:row r="32" ht="26" customHeight="1">
      <x:c r="A32" s="426" t="str">
        <x:v>Fixed-rate notes</x:v>
      </x:c>
      <x:c r="B32" s="468" t="n">
        <x:f>SUM(B6:AO6)</x:f>
        <x:v>119500000000</x:v>
      </x:c>
      <x:c r="C32" s="2"/>
      <x:c r="D32" s="2"/>
      <x:c r="E32" s="2"/>
      <x:c r="F32" s="2"/>
      <x:c r="G32" s="2"/>
      <x:c r="H32" s="2"/>
      <x:c r="I32" s="2"/>
      <x:c r="J32" s="2"/>
      <x:c r="K32" s="2"/>
      <x:c r="L32" s="2"/>
      <x:c r="M32" s="2"/>
      <x:c r="N32" s="2"/>
      <x:c r="O32" s="2"/>
      <x:c r="P32" s="2"/>
      <x:c r="Q32" s="2"/>
      <x:c r="R32" s="2"/>
      <x:c r="S32" s="2"/>
      <x:c r="T32" s="2"/>
      <x:c r="U32" s="2"/>
      <x:c r="V32" s="2"/>
      <x:c r="W32" s="2"/>
      <x:c r="X32" s="2"/>
      <x:c r="Y32" s="2"/>
      <x:c r="Z32" s="2"/>
      <x:c r="AA32" s="2"/>
      <x:c r="AB32" s="2"/>
      <x:c r="AC32" s="2"/>
      <x:c r="AD32" s="2"/>
      <x:c r="AE32" s="2"/>
      <x:c r="AF32" s="2"/>
      <x:c r="AG32" s="2"/>
      <x:c r="AH32" s="2"/>
      <x:c r="AI32" s="2"/>
      <x:c r="AJ32" s="2"/>
      <x:c r="AK32" s="2"/>
      <x:c r="AL32" s="2"/>
      <x:c r="AM32" s="2"/>
      <x:c r="AN32" s="2"/>
      <x:c r="AO32" s="2"/>
    </x:row>
    <x:row r="33" ht="26" customHeight="1">
      <x:c r="A33" s="426" t="str">
        <x:v>Floating-rate notes</x:v>
      </x:c>
      <x:c r="B33" s="468" t="n">
        <x:f>SUM(B7:AO7)</x:f>
        <x:v>1000000000</x:v>
      </x:c>
      <x:c r="C33" s="2"/>
      <x:c r="D33" s="2"/>
      <x:c r="E33" s="2"/>
      <x:c r="F33" s="2"/>
      <x:c r="G33" s="2"/>
      <x:c r="H33" s="2"/>
      <x:c r="I33" s="2"/>
      <x:c r="J33" s="2"/>
      <x:c r="K33" s="2"/>
      <x:c r="L33" s="2"/>
      <x:c r="M33" s="2"/>
      <x:c r="N33" s="2"/>
      <x:c r="O33" s="2"/>
      <x:c r="P33" s="2"/>
      <x:c r="Q33" s="2"/>
      <x:c r="R33" s="2"/>
      <x:c r="S33" s="2"/>
      <x:c r="T33" s="2"/>
      <x:c r="U33" s="2"/>
      <x:c r="V33" s="2"/>
      <x:c r="W33" s="2"/>
      <x:c r="X33" s="2"/>
      <x:c r="Y33" s="2"/>
      <x:c r="Z33" s="2"/>
      <x:c r="AA33" s="2"/>
      <x:c r="AB33" s="2"/>
      <x:c r="AC33" s="2"/>
      <x:c r="AD33" s="2"/>
      <x:c r="AE33" s="2"/>
      <x:c r="AF33" s="2"/>
      <x:c r="AG33" s="2"/>
      <x:c r="AH33" s="2"/>
      <x:c r="AI33" s="2"/>
      <x:c r="AJ33" s="2"/>
      <x:c r="AK33" s="2"/>
      <x:c r="AL33" s="2"/>
      <x:c r="AM33" s="2"/>
      <x:c r="AN33" s="2"/>
      <x:c r="AO33" s="2"/>
    </x:row>
    <x:row r="34" ht="26" customHeight="1">
      <x:c r="A34" s="433" t="str">
        <x:v>Term loan</x:v>
      </x:c>
      <x:c r="B34" s="469" t="n">
        <x:f>SUM(B8:AO8)</x:f>
        <x:v>5067000000</x:v>
      </x:c>
      <x:c r="C34" s="2"/>
      <x:c r="D34" s="2"/>
      <x:c r="E34" s="2"/>
      <x:c r="F34" s="2"/>
      <x:c r="G34" s="2"/>
      <x:c r="H34" s="2"/>
      <x:c r="I34" s="2"/>
      <x:c r="J34" s="2"/>
      <x:c r="K34" s="2"/>
      <x:c r="L34" s="2"/>
      <x:c r="M34" s="2"/>
      <x:c r="N34" s="2"/>
      <x:c r="O34" s="2"/>
      <x:c r="P34" s="2"/>
      <x:c r="Q34" s="2"/>
      <x:c r="R34" s="2"/>
      <x:c r="S34" s="2"/>
      <x:c r="T34" s="2"/>
      <x:c r="U34" s="2"/>
      <x:c r="V34" s="2"/>
      <x:c r="W34" s="2"/>
      <x:c r="X34" s="2"/>
      <x:c r="Y34" s="2"/>
      <x:c r="Z34" s="2"/>
      <x:c r="AA34" s="2"/>
      <x:c r="AB34" s="2"/>
      <x:c r="AC34" s="2"/>
      <x:c r="AD34" s="2"/>
      <x:c r="AE34" s="2"/>
      <x:c r="AF34" s="2"/>
      <x:c r="AG34" s="2"/>
      <x:c r="AH34" s="2"/>
      <x:c r="AI34" s="2"/>
      <x:c r="AJ34" s="2"/>
      <x:c r="AK34" s="2"/>
      <x:c r="AL34" s="2"/>
      <x:c r="AM34" s="2"/>
      <x:c r="AN34" s="2"/>
      <x:c r="AO34" s="2"/>
    </x:row>
    <x:row r="35" ht="26"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c r="AA35" s="2"/>
      <x:c r="AB35" s="2"/>
      <x:c r="AC35" s="2"/>
      <x:c r="AD35" s="2"/>
      <x:c r="AE35" s="2"/>
      <x:c r="AF35" s="2"/>
      <x:c r="AG35" s="2"/>
      <x:c r="AH35" s="2"/>
      <x:c r="AI35" s="2"/>
      <x:c r="AJ35" s="2"/>
      <x:c r="AK35" s="2"/>
      <x:c r="AL35" s="2"/>
      <x:c r="AM35" s="2"/>
      <x:c r="AN35" s="2"/>
      <x:c r="AO35" s="2"/>
    </x:row>
    <x:row r="36" ht="26" customHeight="1">
      <x:c r="A36" s="2" t="str">
        <x:v>Known principal only. Percentages exclude unknown CP, leases and interest.</x:v>
      </x:c>
      <x:c r="B36" s="2"/>
      <x:c r="C36" s="2"/>
      <x:c r="D36" s="2"/>
      <x:c r="E36" s="2"/>
      <x:c r="F36" s="2"/>
      <x:c r="G36" s="2"/>
      <x:c r="H36" s="2"/>
      <x:c r="I36" s="2"/>
      <x:c r="J36" s="2"/>
      <x:c r="K36" s="2"/>
      <x:c r="L36" s="2"/>
      <x:c r="M36" s="2"/>
      <x:c r="N36" s="2"/>
      <x:c r="O36" s="2"/>
      <x:c r="P36" s="2"/>
      <x:c r="Q36" s="2"/>
      <x:c r="R36" s="2"/>
      <x:c r="S36" s="2"/>
      <x:c r="T36" s="2"/>
      <x:c r="U36" s="2"/>
      <x:c r="V36" s="2"/>
      <x:c r="W36" s="2"/>
      <x:c r="X36" s="2"/>
      <x:c r="Y36" s="2"/>
      <x:c r="Z36" s="2"/>
      <x:c r="AA36" s="2"/>
      <x:c r="AB36" s="2"/>
      <x:c r="AC36" s="2"/>
      <x:c r="AD36" s="2"/>
      <x:c r="AE36" s="2"/>
      <x:c r="AF36" s="2"/>
      <x:c r="AG36" s="2"/>
      <x:c r="AH36" s="2"/>
      <x:c r="AI36" s="2"/>
      <x:c r="AJ36" s="2"/>
      <x:c r="AK36" s="2"/>
      <x:c r="AL36" s="2"/>
      <x:c r="AM36" s="2"/>
      <x:c r="AN36" s="2"/>
      <x:c r="AO36" s="2"/>
    </x:row>
    <x:row r="37" ht="26"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c r="AA37" s="2"/>
      <x:c r="AB37" s="2"/>
      <x:c r="AC37" s="2"/>
      <x:c r="AD37" s="2"/>
      <x:c r="AE37" s="2"/>
      <x:c r="AF37" s="2"/>
      <x:c r="AG37" s="2"/>
      <x:c r="AH37" s="2"/>
      <x:c r="AI37" s="2"/>
      <x:c r="AJ37" s="2"/>
      <x:c r="AK37" s="2"/>
      <x:c r="AL37" s="2"/>
      <x:c r="AM37" s="2"/>
      <x:c r="AN37" s="2"/>
      <x:c r="AO37" s="2"/>
    </x:row>
    <x:row r="38" ht="26"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c r="AA38" s="2"/>
      <x:c r="AB38" s="2"/>
      <x:c r="AC38" s="2"/>
      <x:c r="AD38" s="2"/>
      <x:c r="AE38" s="2"/>
      <x:c r="AF38" s="2"/>
      <x:c r="AG38" s="2"/>
      <x:c r="AH38" s="2"/>
      <x:c r="AI38" s="2"/>
      <x:c r="AJ38" s="2"/>
      <x:c r="AK38" s="2"/>
      <x:c r="AL38" s="2"/>
      <x:c r="AM38" s="2"/>
      <x:c r="AN38" s="2"/>
      <x:c r="AO38" s="2"/>
    </x:row>
    <x:row r="39" ht="26"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c r="AA39" s="2"/>
      <x:c r="AB39" s="2"/>
      <x:c r="AC39" s="2"/>
      <x:c r="AD39" s="2"/>
      <x:c r="AE39" s="2"/>
      <x:c r="AF39" s="2"/>
      <x:c r="AG39" s="2"/>
      <x:c r="AH39" s="2"/>
      <x:c r="AI39" s="2"/>
      <x:c r="AJ39" s="2"/>
      <x:c r="AK39" s="2"/>
      <x:c r="AL39" s="2"/>
      <x:c r="AM39" s="2"/>
      <x:c r="AN39" s="2"/>
      <x:c r="AO39" s="2"/>
    </x:row>
    <x:row r="40" ht="26"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c r="AA40" s="2"/>
      <x:c r="AB40" s="2"/>
      <x:c r="AC40" s="2"/>
      <x:c r="AD40" s="2"/>
      <x:c r="AE40" s="2"/>
      <x:c r="AF40" s="2"/>
      <x:c r="AG40" s="2"/>
      <x:c r="AH40" s="2"/>
      <x:c r="AI40" s="2"/>
      <x:c r="AJ40" s="2"/>
      <x:c r="AK40" s="2"/>
      <x:c r="AL40" s="2"/>
      <x:c r="AM40" s="2"/>
      <x:c r="AN40" s="2"/>
      <x:c r="AO40" s="2"/>
    </x:row>
    <x:row r="41" ht="26"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c r="AA41" s="2"/>
      <x:c r="AB41" s="2"/>
      <x:c r="AC41" s="2"/>
      <x:c r="AD41" s="2"/>
      <x:c r="AE41" s="2"/>
      <x:c r="AF41" s="2"/>
      <x:c r="AG41" s="2"/>
      <x:c r="AH41" s="2"/>
      <x:c r="AI41" s="2"/>
      <x:c r="AJ41" s="2"/>
      <x:c r="AK41" s="2"/>
      <x:c r="AL41" s="2"/>
      <x:c r="AM41" s="2"/>
      <x:c r="AN41" s="2"/>
      <x:c r="AO41" s="2"/>
    </x:row>
    <x:row r="42" ht="26"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c r="AA42" s="2"/>
      <x:c r="AB42" s="2"/>
      <x:c r="AC42" s="2"/>
      <x:c r="AD42" s="2"/>
      <x:c r="AE42" s="2"/>
      <x:c r="AF42" s="2"/>
      <x:c r="AG42" s="2"/>
      <x:c r="AH42" s="2"/>
      <x:c r="AI42" s="2"/>
      <x:c r="AJ42" s="2"/>
      <x:c r="AK42" s="2"/>
      <x:c r="AL42" s="2"/>
      <x:c r="AM42" s="2"/>
      <x:c r="AN42" s="2"/>
      <x:c r="AO42" s="2"/>
    </x:row>
    <x:row r="43" ht="26"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c r="AA43" s="2"/>
      <x:c r="AB43" s="2"/>
      <x:c r="AC43" s="2"/>
      <x:c r="AD43" s="2"/>
      <x:c r="AE43" s="2"/>
      <x:c r="AF43" s="2"/>
      <x:c r="AG43" s="2"/>
      <x:c r="AH43" s="2"/>
      <x:c r="AI43" s="2"/>
      <x:c r="AJ43" s="2"/>
      <x:c r="AK43" s="2"/>
      <x:c r="AL43" s="2"/>
      <x:c r="AM43" s="2"/>
      <x:c r="AN43" s="2"/>
      <x:c r="AO43" s="2"/>
    </x:row>
    <x:row r="44" ht="26"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c r="AA44" s="2"/>
      <x:c r="AB44" s="2"/>
      <x:c r="AC44" s="2"/>
      <x:c r="AD44" s="2"/>
      <x:c r="AE44" s="2"/>
      <x:c r="AF44" s="2"/>
      <x:c r="AG44" s="2"/>
      <x:c r="AH44" s="2"/>
      <x:c r="AI44" s="2"/>
      <x:c r="AJ44" s="2"/>
      <x:c r="AK44" s="2"/>
      <x:c r="AL44" s="2"/>
      <x:c r="AM44" s="2"/>
      <x:c r="AN44" s="2"/>
      <x:c r="AO44" s="2"/>
    </x:row>
    <x:row r="45" ht="26"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c r="AA45" s="2"/>
      <x:c r="AB45" s="2"/>
      <x:c r="AC45" s="2"/>
      <x:c r="AD45" s="2"/>
      <x:c r="AE45" s="2"/>
      <x:c r="AF45" s="2"/>
      <x:c r="AG45" s="2"/>
      <x:c r="AH45" s="2"/>
      <x:c r="AI45" s="2"/>
      <x:c r="AJ45" s="2"/>
      <x:c r="AK45" s="2"/>
      <x:c r="AL45" s="2"/>
      <x:c r="AM45" s="2"/>
      <x:c r="AN45" s="2"/>
      <x:c r="AO45" s="2"/>
    </x:row>
    <x:row r="46" ht="26"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c r="AA46" s="2"/>
      <x:c r="AB46" s="2"/>
      <x:c r="AC46" s="2"/>
      <x:c r="AD46" s="2"/>
      <x:c r="AE46" s="2"/>
      <x:c r="AF46" s="2"/>
      <x:c r="AG46" s="2"/>
      <x:c r="AH46" s="2"/>
      <x:c r="AI46" s="2"/>
      <x:c r="AJ46" s="2"/>
      <x:c r="AK46" s="2"/>
      <x:c r="AL46" s="2"/>
      <x:c r="AM46" s="2"/>
      <x:c r="AN46" s="2"/>
      <x:c r="AO46" s="2"/>
    </x:row>
    <x:row r="47" ht="26"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c r="AA47" s="2"/>
      <x:c r="AB47" s="2"/>
      <x:c r="AC47" s="2"/>
      <x:c r="AD47" s="2"/>
      <x:c r="AE47" s="2"/>
      <x:c r="AF47" s="2"/>
      <x:c r="AG47" s="2"/>
      <x:c r="AH47" s="2"/>
      <x:c r="AI47" s="2"/>
      <x:c r="AJ47" s="2"/>
      <x:c r="AK47" s="2"/>
      <x:c r="AL47" s="2"/>
      <x:c r="AM47" s="2"/>
      <x:c r="AN47" s="2"/>
      <x:c r="AO47" s="2"/>
    </x:row>
    <x:row r="48" ht="26"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c r="AA48" s="2"/>
      <x:c r="AB48" s="2"/>
      <x:c r="AC48" s="2"/>
      <x:c r="AD48" s="2"/>
      <x:c r="AE48" s="2"/>
      <x:c r="AF48" s="2"/>
      <x:c r="AG48" s="2"/>
      <x:c r="AH48" s="2"/>
      <x:c r="AI48" s="2"/>
      <x:c r="AJ48" s="2"/>
      <x:c r="AK48" s="2"/>
      <x:c r="AL48" s="2"/>
      <x:c r="AM48" s="2"/>
      <x:c r="AN48" s="2"/>
      <x:c r="AO48" s="2"/>
    </x:row>
    <x:row r="49" ht="26"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c r="AA49" s="2"/>
      <x:c r="AB49" s="2"/>
      <x:c r="AC49" s="2"/>
      <x:c r="AD49" s="2"/>
      <x:c r="AE49" s="2"/>
      <x:c r="AF49" s="2"/>
      <x:c r="AG49" s="2"/>
      <x:c r="AH49" s="2"/>
      <x:c r="AI49" s="2"/>
      <x:c r="AJ49" s="2"/>
      <x:c r="AK49" s="2"/>
      <x:c r="AL49" s="2"/>
      <x:c r="AM49" s="2"/>
      <x:c r="AN49" s="2"/>
      <x:c r="AO49" s="2"/>
    </x:row>
    <x:row r="50" ht="26" customHeight="1">
      <x:c r="A50" s="2" t="str">
        <x:v>Source: https://www.sec.gov/Archives/edgar/data/1341439/000119312526277521/orcl-20260531.htm</x:v>
      </x:c>
      <x:c r="B50" s="2"/>
      <x:c r="C50" s="2"/>
      <x:c r="D50" s="2"/>
      <x:c r="E50" s="2"/>
      <x:c r="F50" s="2"/>
      <x:c r="G50" s="2"/>
      <x:c r="H50" s="2"/>
      <x:c r="I50" s="2"/>
      <x:c r="J50" s="2"/>
      <x:c r="K50" s="2"/>
      <x:c r="L50" s="2"/>
      <x:c r="M50" s="2"/>
      <x:c r="N50" s="2"/>
      <x:c r="O50" s="2"/>
      <x:c r="P50" s="2"/>
      <x:c r="Q50" s="2"/>
      <x:c r="R50" s="2"/>
      <x:c r="S50" s="2"/>
      <x:c r="T50" s="2"/>
      <x:c r="U50" s="2"/>
      <x:c r="V50" s="2"/>
      <x:c r="W50" s="2"/>
      <x:c r="X50" s="2"/>
      <x:c r="Y50" s="2"/>
      <x:c r="Z50" s="2"/>
      <x:c r="AA50" s="2"/>
      <x:c r="AB50" s="2"/>
      <x:c r="AC50" s="2"/>
      <x:c r="AD50" s="2"/>
      <x:c r="AE50" s="2"/>
      <x:c r="AF50" s="2"/>
      <x:c r="AG50" s="2"/>
      <x:c r="AH50" s="2"/>
      <x:c r="AI50" s="2"/>
      <x:c r="AJ50" s="2"/>
      <x:c r="AK50" s="2"/>
      <x:c r="AL50" s="2"/>
      <x:c r="AM50" s="2"/>
      <x:c r="AN50" s="2"/>
      <x:c r="AO50" s="2"/>
    </x:row>
    <x:row r="51" ht="26" customHeight="1">
      <x:c r="A51" s="2" t="str">
        <x:v>Inputs below link to Payment dates. Coupons are fractions displayed as percentages; weighted coupon = sum(principal × coupon) / principal.</x:v>
      </x:c>
      <x:c r="B51" s="2"/>
      <x:c r="C51" s="2"/>
      <x:c r="D51" s="2"/>
      <x:c r="E51" s="2"/>
      <x:c r="F51" s="2"/>
      <x:c r="G51" s="2"/>
      <x:c r="H51" s="2"/>
      <x:c r="I51" s="2"/>
      <x:c r="J51" s="2"/>
      <x:c r="K51" s="2"/>
      <x:c r="L51" s="2"/>
      <x:c r="M51" s="2"/>
      <x:c r="N51" s="2"/>
      <x:c r="O51" s="2"/>
      <x:c r="P51" s="2"/>
      <x:c r="Q51" s="2"/>
      <x:c r="R51" s="2"/>
      <x:c r="S51" s="2"/>
      <x:c r="T51" s="2"/>
      <x:c r="U51" s="2"/>
      <x:c r="V51" s="2"/>
      <x:c r="W51" s="2"/>
      <x:c r="X51" s="2"/>
      <x:c r="Y51" s="2"/>
      <x:c r="Z51" s="2"/>
      <x:c r="AA51" s="2"/>
      <x:c r="AB51" s="2"/>
      <x:c r="AC51" s="2"/>
      <x:c r="AD51" s="2"/>
      <x:c r="AE51" s="2"/>
      <x:c r="AF51" s="2"/>
      <x:c r="AG51" s="2"/>
      <x:c r="AH51" s="2"/>
      <x:c r="AI51" s="2"/>
      <x:c r="AJ51" s="2"/>
      <x:c r="AK51" s="2"/>
      <x:c r="AL51" s="2"/>
      <x:c r="AM51" s="2"/>
      <x:c r="AN51" s="2"/>
      <x:c r="AO51" s="2"/>
    </x:row>
    <x:row r="52" ht="26"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c r="AA52" s="2"/>
      <x:c r="AB52" s="2"/>
      <x:c r="AC52" s="2"/>
      <x:c r="AD52" s="2"/>
      <x:c r="AE52" s="2"/>
      <x:c r="AF52" s="2"/>
      <x:c r="AG52" s="2"/>
      <x:c r="AH52" s="2"/>
      <x:c r="AI52" s="2"/>
      <x:c r="AJ52" s="2"/>
      <x:c r="AK52" s="2"/>
      <x:c r="AL52" s="2"/>
      <x:c r="AM52" s="2"/>
      <x:c r="AN52" s="2"/>
      <x:c r="AO52" s="2"/>
    </x:row>
    <x:row r="53" ht="60" customHeight="1">
      <x:c r="A53" s="463" t="str">
        <x:v>Fixed-rate note</x:v>
      </x:c>
      <x:c r="B53" s="464" t="str">
        <x:v>Maturity</x:v>
      </x:c>
      <x:c r="C53" s="464" t="str">
        <x:v>Stated coupon %</x:v>
      </x:c>
      <x:c r="D53" s="464" t="str">
        <x:v>Principal USD B</x:v>
      </x:c>
      <x:c r="E53" s="464" t="str">
        <x:v>Source member</x:v>
      </x:c>
      <x:c r="F53" s="464" t="str">
        <x:v>Principal × coupon</x:v>
      </x:c>
      <x:c r="G53" s="465" t="str">
        <x:v>Principal context</x:v>
      </x:c>
      <x:c r="H53" s="2"/>
      <x:c r="I53" s="2"/>
      <x:c r="J53" s="2"/>
      <x:c r="K53" s="2"/>
      <x:c r="L53" s="2"/>
      <x:c r="M53" s="2"/>
      <x:c r="N53" s="2"/>
      <x:c r="O53" s="2"/>
      <x:c r="P53" s="2"/>
      <x:c r="Q53" s="2"/>
      <x:c r="R53" s="2"/>
      <x:c r="S53" s="2"/>
      <x:c r="T53" s="2"/>
      <x:c r="U53" s="2"/>
      <x:c r="V53" s="2"/>
      <x:c r="W53" s="2"/>
      <x:c r="X53" s="2"/>
      <x:c r="Y53" s="2"/>
      <x:c r="Z53" s="2"/>
      <x:c r="AA53" s="2"/>
      <x:c r="AB53" s="2"/>
      <x:c r="AC53" s="2"/>
      <x:c r="AD53" s="2"/>
      <x:c r="AE53" s="2"/>
      <x:c r="AF53" s="2"/>
      <x:c r="AG53" s="2"/>
      <x:c r="AH53" s="2"/>
      <x:c r="AI53" s="2"/>
      <x:c r="AJ53" s="2"/>
      <x:c r="AK53" s="2"/>
      <x:c r="AL53" s="2"/>
      <x:c r="AM53" s="2"/>
      <x:c r="AN53" s="2"/>
      <x:c r="AO53" s="2"/>
    </x:row>
    <x:row r="54" ht="60" customHeight="1">
      <x:c r="A54" s="444" t="str">
        <x:v>$2,250M, 2.80%, due April 2027</x:v>
      </x:c>
      <x:c r="B54" s="495" t="d">
        <x:v>2027-04-01T00:00:00.000Z</x:v>
      </x:c>
      <x:c r="C54" s="496" t="n">
        <x:f>'Data'!B171</x:f>
        <x:v>0.028</x:v>
      </x:c>
      <x:c r="D54" s="497" t="n">
        <x:f>'Payment dates'!E96</x:f>
        <x:v>2250000000</x:v>
      </x:c>
      <x:c r="E54" s="446" t="str">
        <x:v>orcl:FixedRateSeniorNotesDueApril2027Member</x:v>
      </x:c>
      <x:c r="F54" s="446" t="n">
        <x:f>C54*D54</x:f>
        <x:v>63000000</x:v>
      </x:c>
      <x:c r="G54" s="498" t="str">
        <x:v>C_a743ec6f-8eeb-46ab-9053-3f4f619edb0e</x:v>
      </x:c>
      <x:c r="H54" s="2"/>
      <x:c r="I54" s="2"/>
      <x:c r="J54" s="2"/>
      <x:c r="K54" s="2"/>
      <x:c r="L54" s="2"/>
      <x:c r="M54" s="2"/>
      <x:c r="N54" s="2"/>
      <x:c r="O54" s="2"/>
      <x:c r="P54" s="2"/>
      <x:c r="Q54" s="2"/>
      <x:c r="R54" s="2"/>
      <x:c r="S54" s="2"/>
      <x:c r="T54" s="2"/>
      <x:c r="U54" s="2"/>
      <x:c r="V54" s="2"/>
      <x:c r="W54" s="2"/>
      <x:c r="X54" s="2"/>
      <x:c r="Y54" s="2"/>
      <x:c r="Z54" s="2"/>
      <x:c r="AA54" s="2"/>
      <x:c r="AB54" s="2"/>
      <x:c r="AC54" s="2"/>
      <x:c r="AD54" s="2"/>
      <x:c r="AE54" s="2"/>
      <x:c r="AF54" s="2"/>
      <x:c r="AG54" s="2"/>
      <x:c r="AH54" s="2"/>
      <x:c r="AI54" s="2"/>
      <x:c r="AJ54" s="2"/>
      <x:c r="AK54" s="2"/>
      <x:c r="AL54" s="2"/>
      <x:c r="AM54" s="2"/>
      <x:c r="AN54" s="2"/>
      <x:c r="AO54" s="2"/>
    </x:row>
    <x:row r="55" ht="60" customHeight="1">
      <x:c r="A55" s="444" t="str">
        <x:v>$2,750M, 3.25%, due November 2027</x:v>
      </x:c>
      <x:c r="B55" s="495" t="d">
        <x:v>2027-11-15T00:00:00.000Z</x:v>
      </x:c>
      <x:c r="C55" s="496" t="n">
        <x:f>'Data'!B172</x:f>
        <x:v>0.0325</x:v>
      </x:c>
      <x:c r="D55" s="497" t="n">
        <x:f>'Payment dates'!E97</x:f>
        <x:v>2750000000</x:v>
      </x:c>
      <x:c r="E55" s="446" t="str">
        <x:v>orcl:FixedRateSeniorNotesDueNovember2027Member</x:v>
      </x:c>
      <x:c r="F55" s="446" t="n">
        <x:f>C55*D55</x:f>
        <x:v>89375000</x:v>
      </x:c>
      <x:c r="G55" s="498" t="str">
        <x:v>C_4c58a11e-87b8-42bf-abc3-7205aad3686f</x:v>
      </x:c>
      <x:c r="H55" s="2"/>
      <x:c r="I55" s="2"/>
      <x:c r="J55" s="2"/>
      <x:c r="K55" s="2"/>
      <x:c r="L55" s="2"/>
      <x:c r="M55" s="2"/>
      <x:c r="N55" s="2"/>
      <x:c r="O55" s="2"/>
      <x:c r="P55" s="2"/>
      <x:c r="Q55" s="2"/>
      <x:c r="R55" s="2"/>
      <x:c r="S55" s="2"/>
      <x:c r="T55" s="2"/>
      <x:c r="U55" s="2"/>
      <x:c r="V55" s="2"/>
      <x:c r="W55" s="2"/>
      <x:c r="X55" s="2"/>
      <x:c r="Y55" s="2"/>
      <x:c r="Z55" s="2"/>
      <x:c r="AA55" s="2"/>
      <x:c r="AB55" s="2"/>
      <x:c r="AC55" s="2"/>
      <x:c r="AD55" s="2"/>
      <x:c r="AE55" s="2"/>
      <x:c r="AF55" s="2"/>
      <x:c r="AG55" s="2"/>
      <x:c r="AH55" s="2"/>
      <x:c r="AI55" s="2"/>
      <x:c r="AJ55" s="2"/>
      <x:c r="AK55" s="2"/>
      <x:c r="AL55" s="2"/>
      <x:c r="AM55" s="2"/>
      <x:c r="AN55" s="2"/>
      <x:c r="AO55" s="2"/>
    </x:row>
    <x:row r="56" ht="60" customHeight="1">
      <x:c r="A56" s="444" t="str">
        <x:v>$2,000M, 2.30%, due March 2028</x:v>
      </x:c>
      <x:c r="B56" s="495" t="d">
        <x:v>2028-03-25T00:00:00.000Z</x:v>
      </x:c>
      <x:c r="C56" s="496" t="n">
        <x:f>'Data'!B173</x:f>
        <x:v>0.023</x:v>
      </x:c>
      <x:c r="D56" s="497" t="n">
        <x:f>'Payment dates'!E98</x:f>
        <x:v>2000000000</x:v>
      </x:c>
      <x:c r="E56" s="446" t="str">
        <x:v>orcl:FixedRateSeniorNotesDueMarch2028Member</x:v>
      </x:c>
      <x:c r="F56" s="446" t="n">
        <x:f>C56*D56</x:f>
        <x:v>46000000</x:v>
      </x:c>
      <x:c r="G56" s="498" t="str">
        <x:v>C_4a760de7-ba70-4c1c-ac7b-173b0770c81c</x:v>
      </x:c>
      <x:c r="H56" s="2"/>
      <x:c r="I56" s="2"/>
      <x:c r="J56" s="2"/>
      <x:c r="K56" s="2"/>
      <x:c r="L56" s="2"/>
      <x:c r="M56" s="2"/>
      <x:c r="N56" s="2"/>
      <x:c r="O56" s="2"/>
      <x:c r="P56" s="2"/>
      <x:c r="Q56" s="2"/>
      <x:c r="R56" s="2"/>
      <x:c r="S56" s="2"/>
      <x:c r="T56" s="2"/>
      <x:c r="U56" s="2"/>
      <x:c r="V56" s="2"/>
      <x:c r="W56" s="2"/>
      <x:c r="X56" s="2"/>
      <x:c r="Y56" s="2"/>
      <x:c r="Z56" s="2"/>
      <x:c r="AA56" s="2"/>
      <x:c r="AB56" s="2"/>
      <x:c r="AC56" s="2"/>
      <x:c r="AD56" s="2"/>
      <x:c r="AE56" s="2"/>
      <x:c r="AF56" s="2"/>
      <x:c r="AG56" s="2"/>
      <x:c r="AH56" s="2"/>
      <x:c r="AI56" s="2"/>
      <x:c r="AJ56" s="2"/>
      <x:c r="AK56" s="2"/>
      <x:c r="AL56" s="2"/>
      <x:c r="AM56" s="2"/>
      <x:c r="AN56" s="2"/>
      <x:c r="AO56" s="2"/>
    </x:row>
    <x:row r="57" ht="60" customHeight="1">
      <x:c r="A57" s="444" t="str">
        <x:v>$750M, 4.50%, due May 2028</x:v>
      </x:c>
      <x:c r="B57" s="495" t="d">
        <x:v>2028-05-31T00:00:00.000Z</x:v>
      </x:c>
      <x:c r="C57" s="496" t="n">
        <x:f>'Data'!B174</x:f>
        <x:v>0.045</x:v>
      </x:c>
      <x:c r="D57" s="497" t="n">
        <x:f>'Payment dates'!E99</x:f>
        <x:v>750000000</x:v>
      </x:c>
      <x:c r="E57" s="446" t="str">
        <x:v>orcl:FixedRateSeniorNotesDueMay2028Member</x:v>
      </x:c>
      <x:c r="F57" s="446" t="n">
        <x:f>C57*D57</x:f>
        <x:v>33750000</x:v>
      </x:c>
      <x:c r="G57" s="498" t="str">
        <x:v>C_9142af28-1adb-4c96-b444-3af20bbae4be</x:v>
      </x:c>
      <x:c r="H57" s="2"/>
      <x:c r="I57" s="2"/>
      <x:c r="J57" s="2"/>
      <x:c r="K57" s="2"/>
      <x:c r="L57" s="2"/>
      <x:c r="M57" s="2"/>
      <x:c r="N57" s="2"/>
      <x:c r="O57" s="2"/>
      <x:c r="P57" s="2"/>
      <x:c r="Q57" s="2"/>
      <x:c r="R57" s="2"/>
      <x:c r="S57" s="2"/>
      <x:c r="T57" s="2"/>
      <x:c r="U57" s="2"/>
      <x:c r="V57" s="2"/>
      <x:c r="W57" s="2"/>
      <x:c r="X57" s="2"/>
      <x:c r="Y57" s="2"/>
      <x:c r="Z57" s="2"/>
      <x:c r="AA57" s="2"/>
      <x:c r="AB57" s="2"/>
      <x:c r="AC57" s="2"/>
      <x:c r="AD57" s="2"/>
      <x:c r="AE57" s="2"/>
      <x:c r="AF57" s="2"/>
      <x:c r="AG57" s="2"/>
      <x:c r="AH57" s="2"/>
      <x:c r="AI57" s="2"/>
      <x:c r="AJ57" s="2"/>
      <x:c r="AK57" s="2"/>
      <x:c r="AL57" s="2"/>
      <x:c r="AM57" s="2"/>
      <x:c r="AN57" s="2"/>
      <x:c r="AO57" s="2"/>
    </x:row>
    <x:row r="58" ht="60" customHeight="1">
      <x:c r="A58" s="444" t="str">
        <x:v>$1,500M, 4.80%, due August 2028</x:v>
      </x:c>
      <x:c r="B58" s="495" t="d">
        <x:v>2028-08-03T00:00:00.000Z</x:v>
      </x:c>
      <x:c r="C58" s="496" t="n">
        <x:f>'Data'!B175</x:f>
        <x:v>0.048</x:v>
      </x:c>
      <x:c r="D58" s="497" t="n">
        <x:f>'Payment dates'!E100</x:f>
        <x:v>1500000000</x:v>
      </x:c>
      <x:c r="E58" s="446" t="str">
        <x:v>orcl:Fixed-RateSeniorNotesDueAugust2028Member</x:v>
      </x:c>
      <x:c r="F58" s="446" t="n">
        <x:f>C58*D58</x:f>
        <x:v>72000000</x:v>
      </x:c>
      <x:c r="G58" s="498" t="str">
        <x:v>C_6d6ee105-8c7d-4446-b600-b6b3bf8abe98</x:v>
      </x:c>
      <x:c r="H58" s="2"/>
      <x:c r="I58" s="2"/>
      <x:c r="J58" s="2"/>
      <x:c r="K58" s="2"/>
      <x:c r="L58" s="2"/>
      <x:c r="M58" s="2"/>
      <x:c r="N58" s="2"/>
      <x:c r="O58" s="2"/>
      <x:c r="P58" s="2"/>
      <x:c r="Q58" s="2"/>
      <x:c r="R58" s="2"/>
      <x:c r="S58" s="2"/>
      <x:c r="T58" s="2"/>
      <x:c r="U58" s="2"/>
      <x:c r="V58" s="2"/>
      <x:c r="W58" s="2"/>
      <x:c r="X58" s="2"/>
      <x:c r="Y58" s="2"/>
      <x:c r="Z58" s="2"/>
      <x:c r="AA58" s="2"/>
      <x:c r="AB58" s="2"/>
      <x:c r="AC58" s="2"/>
      <x:c r="AD58" s="2"/>
      <x:c r="AE58" s="2"/>
      <x:c r="AF58" s="2"/>
      <x:c r="AG58" s="2"/>
      <x:c r="AH58" s="2"/>
      <x:c r="AI58" s="2"/>
      <x:c r="AJ58" s="2"/>
      <x:c r="AK58" s="2"/>
      <x:c r="AL58" s="2"/>
      <x:c r="AM58" s="2"/>
      <x:c r="AN58" s="2"/>
      <x:c r="AO58" s="2"/>
    </x:row>
    <x:row r="59" ht="60" customHeight="1">
      <x:c r="A59" s="444" t="str">
        <x:v>$3,000M, 4.55%, due February 2029</x:v>
      </x:c>
      <x:c r="B59" s="495" t="d">
        <x:v>2029-02-04T00:00:00.000Z</x:v>
      </x:c>
      <x:c r="C59" s="496" t="n">
        <x:f>'Data'!B176</x:f>
        <x:v>0.0455</x:v>
      </x:c>
      <x:c r="D59" s="497" t="n">
        <x:f>'Payment dates'!E101</x:f>
        <x:v>3000000000</x:v>
      </x:c>
      <x:c r="E59" s="446" t="str">
        <x:v>orcl:Fixed-RateSeniorNotesDueFebruary2029Member</x:v>
      </x:c>
      <x:c r="F59" s="446" t="n">
        <x:f>C59*D59</x:f>
        <x:v>136500000</x:v>
      </x:c>
      <x:c r="G59" s="498" t="str">
        <x:v>C_65c60c9a-dbfb-41bd-abf8-5f20f2aaba3f</x:v>
      </x:c>
      <x:c r="H59" s="2"/>
      <x:c r="I59" s="2"/>
      <x:c r="J59" s="2"/>
      <x:c r="K59" s="2"/>
      <x:c r="L59" s="2"/>
      <x:c r="M59" s="2"/>
      <x:c r="N59" s="2"/>
      <x:c r="O59" s="2"/>
      <x:c r="P59" s="2"/>
      <x:c r="Q59" s="2"/>
      <x:c r="R59" s="2"/>
      <x:c r="S59" s="2"/>
      <x:c r="T59" s="2"/>
      <x:c r="U59" s="2"/>
      <x:c r="V59" s="2"/>
      <x:c r="W59" s="2"/>
      <x:c r="X59" s="2"/>
      <x:c r="Y59" s="2"/>
      <x:c r="Z59" s="2"/>
      <x:c r="AA59" s="2"/>
      <x:c r="AB59" s="2"/>
      <x:c r="AC59" s="2"/>
      <x:c r="AD59" s="2"/>
      <x:c r="AE59" s="2"/>
      <x:c r="AF59" s="2"/>
      <x:c r="AG59" s="2"/>
      <x:c r="AH59" s="2"/>
      <x:c r="AI59" s="2"/>
      <x:c r="AJ59" s="2"/>
      <x:c r="AK59" s="2"/>
      <x:c r="AL59" s="2"/>
      <x:c r="AM59" s="2"/>
      <x:c r="AN59" s="2"/>
      <x:c r="AO59" s="2"/>
    </x:row>
    <x:row r="60" ht="60" customHeight="1">
      <x:c r="A60" s="444" t="str">
        <x:v>$1,500M, 4.20%, due September 2029</x:v>
      </x:c>
      <x:c r="B60" s="495" t="d">
        <x:v>2029-09-27T00:00:00.000Z</x:v>
      </x:c>
      <x:c r="C60" s="496" t="n">
        <x:f>'Data'!B177</x:f>
        <x:v>0.042</x:v>
      </x:c>
      <x:c r="D60" s="497" t="n">
        <x:f>'Payment dates'!E102</x:f>
        <x:v>1500000000</x:v>
      </x:c>
      <x:c r="E60" s="446" t="str">
        <x:v>orcl:Fixed-RateSeniorNotesDueSeptember2029Member</x:v>
      </x:c>
      <x:c r="F60" s="446" t="n">
        <x:f>C60*D60</x:f>
        <x:v>63000000.00000001</x:v>
      </x:c>
      <x:c r="G60" s="498" t="str">
        <x:v>C_4b945cce-a91e-4713-8804-16879a87ff5b</x:v>
      </x:c>
      <x:c r="H60" s="2"/>
      <x:c r="I60" s="2"/>
      <x:c r="J60" s="2"/>
      <x:c r="K60" s="2"/>
      <x:c r="L60" s="2"/>
      <x:c r="M60" s="2"/>
      <x:c r="N60" s="2"/>
      <x:c r="O60" s="2"/>
      <x:c r="P60" s="2"/>
      <x:c r="Q60" s="2"/>
      <x:c r="R60" s="2"/>
      <x:c r="S60" s="2"/>
      <x:c r="T60" s="2"/>
      <x:c r="U60" s="2"/>
      <x:c r="V60" s="2"/>
      <x:c r="W60" s="2"/>
      <x:c r="X60" s="2"/>
      <x:c r="Y60" s="2"/>
      <x:c r="Z60" s="2"/>
      <x:c r="AA60" s="2"/>
      <x:c r="AB60" s="2"/>
      <x:c r="AC60" s="2"/>
      <x:c r="AD60" s="2"/>
      <x:c r="AE60" s="2"/>
      <x:c r="AF60" s="2"/>
      <x:c r="AG60" s="2"/>
      <x:c r="AH60" s="2"/>
      <x:c r="AI60" s="2"/>
      <x:c r="AJ60" s="2"/>
      <x:c r="AK60" s="2"/>
      <x:c r="AL60" s="2"/>
      <x:c r="AM60" s="2"/>
      <x:c r="AN60" s="2"/>
      <x:c r="AO60" s="2"/>
    </x:row>
    <x:row r="61" ht="60" customHeight="1">
      <x:c r="A61" s="444" t="str">
        <x:v>$1,250M, 6.15%, due November 2029</x:v>
      </x:c>
      <x:c r="B61" s="495" t="d">
        <x:v>2029-11-09T00:00:00.000Z</x:v>
      </x:c>
      <x:c r="C61" s="496" t="n">
        <x:f>'Data'!B178</x:f>
        <x:v>0.0615</x:v>
      </x:c>
      <x:c r="D61" s="497" t="n">
        <x:f>'Payment dates'!E103</x:f>
        <x:v>1250000000</x:v>
      </x:c>
      <x:c r="E61" s="446" t="str">
        <x:v>orcl:FixedRateSeniorNotesDueNovember2029Member</x:v>
      </x:c>
      <x:c r="F61" s="446" t="n">
        <x:f>C61*D61</x:f>
        <x:v>76875000</x:v>
      </x:c>
      <x:c r="G61" s="498" t="str">
        <x:v>C_8aa7e201-edc6-4920-8256-35f8ee18f4b8</x:v>
      </x:c>
      <x:c r="H61" s="2"/>
      <x:c r="I61" s="2"/>
      <x:c r="J61" s="2"/>
      <x:c r="K61" s="2"/>
      <x:c r="L61" s="2"/>
      <x:c r="M61" s="2"/>
      <x:c r="N61" s="2"/>
      <x:c r="O61" s="2"/>
      <x:c r="P61" s="2"/>
      <x:c r="Q61" s="2"/>
      <x:c r="R61" s="2"/>
      <x:c r="S61" s="2"/>
      <x:c r="T61" s="2"/>
      <x:c r="U61" s="2"/>
      <x:c r="V61" s="2"/>
      <x:c r="W61" s="2"/>
      <x:c r="X61" s="2"/>
      <x:c r="Y61" s="2"/>
      <x:c r="Z61" s="2"/>
      <x:c r="AA61" s="2"/>
      <x:c r="AB61" s="2"/>
      <x:c r="AC61" s="2"/>
      <x:c r="AD61" s="2"/>
      <x:c r="AE61" s="2"/>
      <x:c r="AF61" s="2"/>
      <x:c r="AG61" s="2"/>
      <x:c r="AH61" s="2"/>
      <x:c r="AI61" s="2"/>
      <x:c r="AJ61" s="2"/>
      <x:c r="AK61" s="2"/>
      <x:c r="AL61" s="2"/>
      <x:c r="AM61" s="2"/>
      <x:c r="AN61" s="2"/>
      <x:c r="AO61" s="2"/>
    </x:row>
    <x:row r="62" ht="60" customHeight="1">
      <x:c r="A62" s="444" t="str">
        <x:v>$3,250M, 2.95%, due April 2030</x:v>
      </x:c>
      <x:c r="B62" s="495" t="d">
        <x:v>2030-04-01T00:00:00.000Z</x:v>
      </x:c>
      <x:c r="C62" s="496" t="n">
        <x:f>'Data'!B179</x:f>
        <x:v>0.0295</x:v>
      </x:c>
      <x:c r="D62" s="497" t="n">
        <x:f>'Payment dates'!E104</x:f>
        <x:v>3250000000</x:v>
      </x:c>
      <x:c r="E62" s="446" t="str">
        <x:v>orcl:FixedRateSeniorNotesDueApril2030Member</x:v>
      </x:c>
      <x:c r="F62" s="446" t="n">
        <x:f>C62*D62</x:f>
        <x:v>95875000</x:v>
      </x:c>
      <x:c r="G62" s="498" t="str">
        <x:v>C_b19b50e6-b222-456d-9fea-1bca5e3fb634</x:v>
      </x:c>
      <x:c r="H62" s="2"/>
      <x:c r="I62" s="2"/>
      <x:c r="J62" s="2"/>
      <x:c r="K62" s="2"/>
      <x:c r="L62" s="2"/>
      <x:c r="M62" s="2"/>
      <x:c r="N62" s="2"/>
      <x:c r="O62" s="2"/>
      <x:c r="P62" s="2"/>
      <x:c r="Q62" s="2"/>
      <x:c r="R62" s="2"/>
      <x:c r="S62" s="2"/>
      <x:c r="T62" s="2"/>
      <x:c r="U62" s="2"/>
      <x:c r="V62" s="2"/>
      <x:c r="W62" s="2"/>
      <x:c r="X62" s="2"/>
      <x:c r="Y62" s="2"/>
      <x:c r="Z62" s="2"/>
      <x:c r="AA62" s="2"/>
      <x:c r="AB62" s="2"/>
      <x:c r="AC62" s="2"/>
      <x:c r="AD62" s="2"/>
      <x:c r="AE62" s="2"/>
      <x:c r="AF62" s="2"/>
      <x:c r="AG62" s="2"/>
      <x:c r="AH62" s="2"/>
      <x:c r="AI62" s="2"/>
      <x:c r="AJ62" s="2"/>
      <x:c r="AK62" s="2"/>
      <x:c r="AL62" s="2"/>
      <x:c r="AM62" s="2"/>
      <x:c r="AN62" s="2"/>
      <x:c r="AO62" s="2"/>
    </x:row>
    <x:row r="63" ht="60" customHeight="1">
      <x:c r="A63" s="444" t="str">
        <x:v>$750M, 4.65%, due May 2030</x:v>
      </x:c>
      <x:c r="B63" s="495" t="d">
        <x:v>2030-05-31T00:00:00.000Z</x:v>
      </x:c>
      <x:c r="C63" s="496" t="n">
        <x:f>'Data'!B180</x:f>
        <x:v>0.0465</x:v>
      </x:c>
      <x:c r="D63" s="497" t="n">
        <x:f>'Payment dates'!E105</x:f>
        <x:v>750000000</x:v>
      </x:c>
      <x:c r="E63" s="446" t="str">
        <x:v>orcl:FixedRateSeniorNotesDueMay2030Member</x:v>
      </x:c>
      <x:c r="F63" s="446" t="n">
        <x:f>C63*D63</x:f>
        <x:v>34875000</x:v>
      </x:c>
      <x:c r="G63" s="498" t="str">
        <x:v>C_c76136cd-2797-4fef-883c-79d66d5a2837</x:v>
      </x:c>
      <x:c r="H63" s="2"/>
      <x:c r="I63" s="2"/>
      <x:c r="J63" s="2"/>
      <x:c r="K63" s="2"/>
      <x:c r="L63" s="2"/>
      <x:c r="M63" s="2"/>
      <x:c r="N63" s="2"/>
      <x:c r="O63" s="2"/>
      <x:c r="P63" s="2"/>
      <x:c r="Q63" s="2"/>
      <x:c r="R63" s="2"/>
      <x:c r="S63" s="2"/>
      <x:c r="T63" s="2"/>
      <x:c r="U63" s="2"/>
      <x:c r="V63" s="2"/>
      <x:c r="W63" s="2"/>
      <x:c r="X63" s="2"/>
      <x:c r="Y63" s="2"/>
      <x:c r="Z63" s="2"/>
      <x:c r="AA63" s="2"/>
      <x:c r="AB63" s="2"/>
      <x:c r="AC63" s="2"/>
      <x:c r="AD63" s="2"/>
      <x:c r="AE63" s="2"/>
      <x:c r="AF63" s="2"/>
      <x:c r="AG63" s="2"/>
      <x:c r="AH63" s="2"/>
      <x:c r="AI63" s="2"/>
      <x:c r="AJ63" s="2"/>
      <x:c r="AK63" s="2"/>
      <x:c r="AL63" s="2"/>
      <x:c r="AM63" s="2"/>
      <x:c r="AN63" s="2"/>
      <x:c r="AO63" s="2"/>
    </x:row>
    <x:row r="64" ht="60" customHeight="1">
      <x:c r="A64" s="444" t="str">
        <x:v>$500M, 3.25%, due May 2030</x:v>
      </x:c>
      <x:c r="B64" s="495" t="d">
        <x:v>2030-05-15T00:00:00.000Z</x:v>
      </x:c>
      <x:c r="C64" s="496" t="n">
        <x:f>'Data'!B181</x:f>
        <x:v>0.0325</x:v>
      </x:c>
      <x:c r="D64" s="497" t="n">
        <x:f>'Payment dates'!E106</x:f>
        <x:v>500000000</x:v>
      </x:c>
      <x:c r="E64" s="446" t="str">
        <x:v>orcl:Fixed-RateSeniorNotesDueMay2030Member</x:v>
      </x:c>
      <x:c r="F64" s="446" t="n">
        <x:f>C64*D64</x:f>
        <x:v>16250000</x:v>
      </x:c>
      <x:c r="G64" s="498" t="str">
        <x:v>C_70c2256f-1f16-4e15-bc5c-53c1fc629421</x:v>
      </x:c>
      <x:c r="H64" s="2"/>
      <x:c r="I64" s="2"/>
      <x:c r="J64" s="2"/>
      <x:c r="K64" s="2"/>
      <x:c r="L64" s="2"/>
      <x:c r="M64" s="2"/>
      <x:c r="N64" s="2"/>
      <x:c r="O64" s="2"/>
      <x:c r="P64" s="2"/>
      <x:c r="Q64" s="2"/>
      <x:c r="R64" s="2"/>
      <x:c r="S64" s="2"/>
      <x:c r="T64" s="2"/>
      <x:c r="U64" s="2"/>
      <x:c r="V64" s="2"/>
      <x:c r="W64" s="2"/>
      <x:c r="X64" s="2"/>
      <x:c r="Y64" s="2"/>
      <x:c r="Z64" s="2"/>
      <x:c r="AA64" s="2"/>
      <x:c r="AB64" s="2"/>
      <x:c r="AC64" s="2"/>
      <x:c r="AD64" s="2"/>
      <x:c r="AE64" s="2"/>
      <x:c r="AF64" s="2"/>
      <x:c r="AG64" s="2"/>
      <x:c r="AH64" s="2"/>
      <x:c r="AI64" s="2"/>
      <x:c r="AJ64" s="2"/>
      <x:c r="AK64" s="2"/>
      <x:c r="AL64" s="2"/>
      <x:c r="AM64" s="2"/>
      <x:c r="AN64" s="2"/>
      <x:c r="AO64" s="2"/>
    </x:row>
    <x:row r="65" ht="60" customHeight="1">
      <x:c r="A65" s="444" t="str">
        <x:v>$3,000M, 4.45%, due September 2030</x:v>
      </x:c>
      <x:c r="B65" s="495" t="d">
        <x:v>2030-09-26T00:00:00.000Z</x:v>
      </x:c>
      <x:c r="C65" s="496" t="n">
        <x:f>'Data'!B182</x:f>
        <x:v>0.0445</x:v>
      </x:c>
      <x:c r="D65" s="497" t="n">
        <x:f>'Payment dates'!E107</x:f>
        <x:v>3000000000</x:v>
      </x:c>
      <x:c r="E65" s="446" t="str">
        <x:v>orcl:FixedRateSeniorNotesDueSeptember2030Member</x:v>
      </x:c>
      <x:c r="F65" s="446" t="n">
        <x:f>C65*D65</x:f>
        <x:v>133500000</x:v>
      </x:c>
      <x:c r="G65" s="498" t="str">
        <x:v>C_113e803d-da69-4c22-a39c-a109d7514b35</x:v>
      </x:c>
      <x:c r="H65" s="2"/>
      <x:c r="I65" s="2"/>
      <x:c r="J65" s="2"/>
      <x:c r="K65" s="2"/>
      <x:c r="L65" s="2"/>
      <x:c r="M65" s="2"/>
      <x:c r="N65" s="2"/>
      <x:c r="O65" s="2"/>
      <x:c r="P65" s="2"/>
      <x:c r="Q65" s="2"/>
      <x:c r="R65" s="2"/>
      <x:c r="S65" s="2"/>
      <x:c r="T65" s="2"/>
      <x:c r="U65" s="2"/>
      <x:c r="V65" s="2"/>
      <x:c r="W65" s="2"/>
      <x:c r="X65" s="2"/>
      <x:c r="Y65" s="2"/>
      <x:c r="Z65" s="2"/>
      <x:c r="AA65" s="2"/>
      <x:c r="AB65" s="2"/>
      <x:c r="AC65" s="2"/>
      <x:c r="AD65" s="2"/>
      <x:c r="AE65" s="2"/>
      <x:c r="AF65" s="2"/>
      <x:c r="AG65" s="2"/>
      <x:c r="AH65" s="2"/>
      <x:c r="AI65" s="2"/>
      <x:c r="AJ65" s="2"/>
      <x:c r="AK65" s="2"/>
      <x:c r="AL65" s="2"/>
      <x:c r="AM65" s="2"/>
      <x:c r="AN65" s="2"/>
      <x:c r="AO65" s="2"/>
    </x:row>
    <x:row r="66" ht="60" customHeight="1">
      <x:c r="A66" s="444" t="str">
        <x:v>$3,500M, 4.95%, due February 2031</x:v>
      </x:c>
      <x:c r="B66" s="495" t="d">
        <x:v>2031-02-04T00:00:00.000Z</x:v>
      </x:c>
      <x:c r="C66" s="496" t="n">
        <x:f>'Data'!B183</x:f>
        <x:v>0.0495</x:v>
      </x:c>
      <x:c r="D66" s="497" t="n">
        <x:f>'Payment dates'!E108</x:f>
        <x:v>3500000000</x:v>
      </x:c>
      <x:c r="E66" s="446" t="str">
        <x:v>orcl:FixedRateSeniorNotesDueFebruary2031Member</x:v>
      </x:c>
      <x:c r="F66" s="446" t="n">
        <x:f>C66*D66</x:f>
        <x:v>173250000</x:v>
      </x:c>
      <x:c r="G66" s="498" t="str">
        <x:v>C_87f6716e-b1b9-4a3d-9ba1-858589593ee3</x:v>
      </x:c>
      <x:c r="H66" s="2"/>
      <x:c r="I66" s="2"/>
      <x:c r="J66" s="2"/>
      <x:c r="K66" s="2"/>
      <x:c r="L66" s="2"/>
      <x:c r="M66" s="2"/>
      <x:c r="N66" s="2"/>
      <x:c r="O66" s="2"/>
      <x:c r="P66" s="2"/>
      <x:c r="Q66" s="2"/>
      <x:c r="R66" s="2"/>
      <x:c r="S66" s="2"/>
      <x:c r="T66" s="2"/>
      <x:c r="U66" s="2"/>
      <x:c r="V66" s="2"/>
      <x:c r="W66" s="2"/>
      <x:c r="X66" s="2"/>
      <x:c r="Y66" s="2"/>
      <x:c r="Z66" s="2"/>
      <x:c r="AA66" s="2"/>
      <x:c r="AB66" s="2"/>
      <x:c r="AC66" s="2"/>
      <x:c r="AD66" s="2"/>
      <x:c r="AE66" s="2"/>
      <x:c r="AF66" s="2"/>
      <x:c r="AG66" s="2"/>
      <x:c r="AH66" s="2"/>
      <x:c r="AI66" s="2"/>
      <x:c r="AJ66" s="2"/>
      <x:c r="AK66" s="2"/>
      <x:c r="AL66" s="2"/>
      <x:c r="AM66" s="2"/>
      <x:c r="AN66" s="2"/>
      <x:c r="AO66" s="2"/>
    </x:row>
    <x:row r="67" ht="60" customHeight="1">
      <x:c r="A67" s="444" t="str">
        <x:v>$3,250M, 2.875%, due March 2031</x:v>
      </x:c>
      <x:c r="B67" s="495" t="d">
        <x:v>2031-03-31T00:00:00.000Z</x:v>
      </x:c>
      <x:c r="C67" s="496" t="n">
        <x:f>'Data'!B184</x:f>
        <x:v>0.02875</x:v>
      </x:c>
      <x:c r="D67" s="497" t="n">
        <x:f>'Payment dates'!E109</x:f>
        <x:v>3250000000</x:v>
      </x:c>
      <x:c r="E67" s="446" t="str">
        <x:v>orcl:FixedRateSeniorNotesDueMarch2031Member</x:v>
      </x:c>
      <x:c r="F67" s="446" t="n">
        <x:f>C67*D67</x:f>
        <x:v>93437500</x:v>
      </x:c>
      <x:c r="G67" s="498" t="str">
        <x:v>C_48f76007-8b8f-482c-ae4e-cc2d13f4241b</x:v>
      </x:c>
      <x:c r="H67" s="2"/>
      <x:c r="I67" s="2"/>
      <x:c r="J67" s="2"/>
      <x:c r="K67" s="2"/>
      <x:c r="L67" s="2"/>
      <x:c r="M67" s="2"/>
      <x:c r="N67" s="2"/>
      <x:c r="O67" s="2"/>
      <x:c r="P67" s="2"/>
      <x:c r="Q67" s="2"/>
      <x:c r="R67" s="2"/>
      <x:c r="S67" s="2"/>
      <x:c r="T67" s="2"/>
      <x:c r="U67" s="2"/>
      <x:c r="V67" s="2"/>
      <x:c r="W67" s="2"/>
      <x:c r="X67" s="2"/>
      <x:c r="Y67" s="2"/>
      <x:c r="Z67" s="2"/>
      <x:c r="AA67" s="2"/>
      <x:c r="AB67" s="2"/>
      <x:c r="AC67" s="2"/>
      <x:c r="AD67" s="2"/>
      <x:c r="AE67" s="2"/>
      <x:c r="AF67" s="2"/>
      <x:c r="AG67" s="2"/>
      <x:c r="AH67" s="2"/>
      <x:c r="AI67" s="2"/>
      <x:c r="AJ67" s="2"/>
      <x:c r="AK67" s="2"/>
      <x:c r="AL67" s="2"/>
      <x:c r="AM67" s="2"/>
      <x:c r="AN67" s="2"/>
      <x:c r="AO67" s="2"/>
    </x:row>
    <x:row r="68" ht="60" customHeight="1">
      <x:c r="A68" s="444" t="str">
        <x:v>$1,250M, 5.25%, due February 2032</x:v>
      </x:c>
      <x:c r="B68" s="495" t="d">
        <x:v>2032-02-03T00:00:00.000Z</x:v>
      </x:c>
      <x:c r="C68" s="496" t="n">
        <x:f>'Data'!B185</x:f>
        <x:v>0.0525</x:v>
      </x:c>
      <x:c r="D68" s="497" t="n">
        <x:f>'Payment dates'!E110</x:f>
        <x:v>1250000000</x:v>
      </x:c>
      <x:c r="E68" s="446" t="str">
        <x:v>orcl:Fixed-RateSeniorNotesDueFebruary2032Member</x:v>
      </x:c>
      <x:c r="F68" s="446" t="n">
        <x:f>C68*D68</x:f>
        <x:v>65625000</x:v>
      </x:c>
      <x:c r="G68" s="498" t="str">
        <x:v>C_e42f7f37-e8c5-46a8-90f7-e218c66724e4</x:v>
      </x:c>
      <x:c r="H68" s="2"/>
      <x:c r="I68" s="2"/>
      <x:c r="J68" s="2"/>
      <x:c r="K68" s="2"/>
      <x:c r="L68" s="2"/>
      <x:c r="M68" s="2"/>
      <x:c r="N68" s="2"/>
      <x:c r="O68" s="2"/>
      <x:c r="P68" s="2"/>
      <x:c r="Q68" s="2"/>
      <x:c r="R68" s="2"/>
      <x:c r="S68" s="2"/>
      <x:c r="T68" s="2"/>
      <x:c r="U68" s="2"/>
      <x:c r="V68" s="2"/>
      <x:c r="W68" s="2"/>
      <x:c r="X68" s="2"/>
      <x:c r="Y68" s="2"/>
      <x:c r="Z68" s="2"/>
      <x:c r="AA68" s="2"/>
      <x:c r="AB68" s="2"/>
      <x:c r="AC68" s="2"/>
      <x:c r="AD68" s="2"/>
      <x:c r="AE68" s="2"/>
      <x:c r="AF68" s="2"/>
      <x:c r="AG68" s="2"/>
      <x:c r="AH68" s="2"/>
      <x:c r="AI68" s="2"/>
      <x:c r="AJ68" s="2"/>
      <x:c r="AK68" s="2"/>
      <x:c r="AL68" s="2"/>
      <x:c r="AM68" s="2"/>
      <x:c r="AN68" s="2"/>
      <x:c r="AO68" s="2"/>
    </x:row>
    <x:row r="69" ht="60" customHeight="1">
      <x:c r="A69" s="444" t="str">
        <x:v>$3,000M, 4.80%, due September 2032</x:v>
      </x:c>
      <x:c r="B69" s="495" t="d">
        <x:v>2032-09-26T00:00:00.000Z</x:v>
      </x:c>
      <x:c r="C69" s="496" t="n">
        <x:f>'Data'!B186</x:f>
        <x:v>0.048</x:v>
      </x:c>
      <x:c r="D69" s="497" t="n">
        <x:f>'Payment dates'!E111</x:f>
        <x:v>3000000000</x:v>
      </x:c>
      <x:c r="E69" s="446" t="str">
        <x:v>orcl:Fixed-RateSeniorNotesDueSeptember2032Member</x:v>
      </x:c>
      <x:c r="F69" s="446" t="n">
        <x:f>C69*D69</x:f>
        <x:v>144000000</x:v>
      </x:c>
      <x:c r="G69" s="498" t="str">
        <x:v>C_50527f49-e9c6-4c52-a8ec-b1c2a0068c55</x:v>
      </x:c>
      <x:c r="H69" s="2"/>
      <x:c r="I69" s="2"/>
      <x:c r="J69" s="2"/>
      <x:c r="K69" s="2"/>
      <x:c r="L69" s="2"/>
      <x:c r="M69" s="2"/>
      <x:c r="N69" s="2"/>
      <x:c r="O69" s="2"/>
      <x:c r="P69" s="2"/>
      <x:c r="Q69" s="2"/>
      <x:c r="R69" s="2"/>
      <x:c r="S69" s="2"/>
      <x:c r="T69" s="2"/>
      <x:c r="U69" s="2"/>
      <x:c r="V69" s="2"/>
      <x:c r="W69" s="2"/>
      <x:c r="X69" s="2"/>
      <x:c r="Y69" s="2"/>
      <x:c r="Z69" s="2"/>
      <x:c r="AA69" s="2"/>
      <x:c r="AB69" s="2"/>
      <x:c r="AC69" s="2"/>
      <x:c r="AD69" s="2"/>
      <x:c r="AE69" s="2"/>
      <x:c r="AF69" s="2"/>
      <x:c r="AG69" s="2"/>
      <x:c r="AH69" s="2"/>
      <x:c r="AI69" s="2"/>
      <x:c r="AJ69" s="2"/>
      <x:c r="AK69" s="2"/>
      <x:c r="AL69" s="2"/>
      <x:c r="AM69" s="2"/>
      <x:c r="AN69" s="2"/>
      <x:c r="AO69" s="2"/>
    </x:row>
    <x:row r="70" ht="60" customHeight="1">
      <x:c r="A70" s="444" t="str">
        <x:v>$2,250M, 6.25%, due November 2032</x:v>
      </x:c>
      <x:c r="B70" s="495" t="d">
        <x:v>2032-11-09T00:00:00.000Z</x:v>
      </x:c>
      <x:c r="C70" s="496" t="n">
        <x:f>'Data'!B187</x:f>
        <x:v>0.0625</x:v>
      </x:c>
      <x:c r="D70" s="497" t="n">
        <x:f>'Payment dates'!E112</x:f>
        <x:v>2250000000</x:v>
      </x:c>
      <x:c r="E70" s="446" t="str">
        <x:v>orcl:FixedRateSeniorNotesDueNovember2032Member</x:v>
      </x:c>
      <x:c r="F70" s="446" t="n">
        <x:f>C70*D70</x:f>
        <x:v>140625000</x:v>
      </x:c>
      <x:c r="G70" s="498" t="str">
        <x:v>C_3baaf4b5-05a7-4e95-a2c7-fdbbde90234a</x:v>
      </x:c>
      <x:c r="H70" s="2"/>
      <x:c r="I70" s="2"/>
      <x:c r="J70" s="2"/>
      <x:c r="K70" s="2"/>
      <x:c r="L70" s="2"/>
      <x:c r="M70" s="2"/>
      <x:c r="N70" s="2"/>
      <x:c r="O70" s="2"/>
      <x:c r="P70" s="2"/>
      <x:c r="Q70" s="2"/>
      <x:c r="R70" s="2"/>
      <x:c r="S70" s="2"/>
      <x:c r="T70" s="2"/>
      <x:c r="U70" s="2"/>
      <x:c r="V70" s="2"/>
      <x:c r="W70" s="2"/>
      <x:c r="X70" s="2"/>
      <x:c r="Y70" s="2"/>
      <x:c r="Z70" s="2"/>
      <x:c r="AA70" s="2"/>
      <x:c r="AB70" s="2"/>
      <x:c r="AC70" s="2"/>
      <x:c r="AD70" s="2"/>
      <x:c r="AE70" s="2"/>
      <x:c r="AF70" s="2"/>
      <x:c r="AG70" s="2"/>
      <x:c r="AH70" s="2"/>
      <x:c r="AI70" s="2"/>
      <x:c r="AJ70" s="2"/>
      <x:c r="AK70" s="2"/>
      <x:c r="AL70" s="2"/>
      <x:c r="AM70" s="2"/>
      <x:c r="AN70" s="2"/>
      <x:c r="AO70" s="2"/>
    </x:row>
    <x:row r="71" ht="60" customHeight="1">
      <x:c r="A71" s="444" t="str">
        <x:v>$1,500M, 4.90%, due February 2033</x:v>
      </x:c>
      <x:c r="B71" s="495" t="d">
        <x:v>2033-02-28T00:00:00.000Z</x:v>
      </x:c>
      <x:c r="C71" s="496" t="n">
        <x:f>'Data'!B188</x:f>
        <x:v>0.049</x:v>
      </x:c>
      <x:c r="D71" s="497" t="n">
        <x:f>'Payment dates'!E113</x:f>
        <x:v>1500000000</x:v>
      </x:c>
      <x:c r="E71" s="446" t="str">
        <x:v>orcl:FixedRateSeniorNotesDueFebruary2033Member</x:v>
      </x:c>
      <x:c r="F71" s="446" t="n">
        <x:f>C71*D71</x:f>
        <x:v>73500000</x:v>
      </x:c>
      <x:c r="G71" s="498" t="str">
        <x:v>C_532c52db-e3a7-41dc-a1d8-5abc4267e4d1</x:v>
      </x:c>
      <x:c r="H71" s="2"/>
      <x:c r="I71" s="2"/>
      <x:c r="J71" s="2"/>
      <x:c r="K71" s="2"/>
      <x:c r="L71" s="2"/>
      <x:c r="M71" s="2"/>
      <x:c r="N71" s="2"/>
      <x:c r="O71" s="2"/>
      <x:c r="P71" s="2"/>
      <x:c r="Q71" s="2"/>
      <x:c r="R71" s="2"/>
      <x:c r="S71" s="2"/>
      <x:c r="T71" s="2"/>
      <x:c r="U71" s="2"/>
      <x:c r="V71" s="2"/>
      <x:c r="W71" s="2"/>
      <x:c r="X71" s="2"/>
      <x:c r="Y71" s="2"/>
      <x:c r="Z71" s="2"/>
      <x:c r="AA71" s="2"/>
      <x:c r="AB71" s="2"/>
      <x:c r="AC71" s="2"/>
      <x:c r="AD71" s="2"/>
      <x:c r="AE71" s="2"/>
      <x:c r="AF71" s="2"/>
      <x:c r="AG71" s="2"/>
      <x:c r="AH71" s="2"/>
      <x:c r="AI71" s="2"/>
      <x:c r="AJ71" s="2"/>
      <x:c r="AK71" s="2"/>
      <x:c r="AL71" s="2"/>
      <x:c r="AM71" s="2"/>
      <x:c r="AN71" s="2"/>
      <x:c r="AO71" s="2"/>
    </x:row>
    <x:row r="72" ht="60" customHeight="1">
      <x:c r="A72" s="444" t="str">
        <x:v>$3,000M, 5.35%, due May 2033</x:v>
      </x:c>
      <x:c r="B72" s="495" t="d">
        <x:v>2033-05-04T00:00:00.000Z</x:v>
      </x:c>
      <x:c r="C72" s="496" t="n">
        <x:f>'Data'!B189</x:f>
        <x:v>0.0535</x:v>
      </x:c>
      <x:c r="D72" s="497" t="n">
        <x:f>'Payment dates'!E114</x:f>
        <x:v>3000000000</x:v>
      </x:c>
      <x:c r="E72" s="446" t="str">
        <x:v>orcl:FixedRateSeniorNotesDueMay2033Member</x:v>
      </x:c>
      <x:c r="F72" s="446" t="n">
        <x:f>C72*D72</x:f>
        <x:v>160500000</x:v>
      </x:c>
      <x:c r="G72" s="498" t="str">
        <x:v>C_b9924291-37c4-4597-bf81-6b6f7148423e</x:v>
      </x:c>
      <x:c r="H72" s="2"/>
      <x:c r="I72" s="2"/>
      <x:c r="J72" s="2"/>
      <x:c r="K72" s="2"/>
      <x:c r="L72" s="2"/>
      <x:c r="M72" s="2"/>
      <x:c r="N72" s="2"/>
      <x:c r="O72" s="2"/>
      <x:c r="P72" s="2"/>
      <x:c r="Q72" s="2"/>
      <x:c r="R72" s="2"/>
      <x:c r="S72" s="2"/>
      <x:c r="T72" s="2"/>
      <x:c r="U72" s="2"/>
      <x:c r="V72" s="2"/>
      <x:c r="W72" s="2"/>
      <x:c r="X72" s="2"/>
      <x:c r="Y72" s="2"/>
      <x:c r="Z72" s="2"/>
      <x:c r="AA72" s="2"/>
      <x:c r="AB72" s="2"/>
      <x:c r="AC72" s="2"/>
      <x:c r="AD72" s="2"/>
      <x:c r="AE72" s="2"/>
      <x:c r="AF72" s="2"/>
      <x:c r="AG72" s="2"/>
      <x:c r="AH72" s="2"/>
      <x:c r="AI72" s="2"/>
      <x:c r="AJ72" s="2"/>
      <x:c r="AK72" s="2"/>
      <x:c r="AL72" s="2"/>
      <x:c r="AM72" s="2"/>
      <x:c r="AN72" s="2"/>
      <x:c r="AO72" s="2"/>
    </x:row>
    <x:row r="73" ht="60" customHeight="1">
      <x:c r="A73" s="444" t="str">
        <x:v>$1,750M, 4.30%, due July 2034</x:v>
      </x:c>
      <x:c r="B73" s="495" t="d">
        <x:v>2034-07-08T00:00:00.000Z</x:v>
      </x:c>
      <x:c r="C73" s="496" t="n">
        <x:f>'Data'!B190</x:f>
        <x:v>0.043</x:v>
      </x:c>
      <x:c r="D73" s="497" t="n">
        <x:f>'Payment dates'!E115</x:f>
        <x:v>1750000000</x:v>
      </x:c>
      <x:c r="E73" s="446" t="str">
        <x:v>orcl:FixedRateSeniorNotesDueJuly2034Member</x:v>
      </x:c>
      <x:c r="F73" s="446" t="n">
        <x:f>C73*D73</x:f>
        <x:v>75250000</x:v>
      </x:c>
      <x:c r="G73" s="498" t="str">
        <x:v>C_f735565f-4060-4ea6-9a9b-a17b4d097aca</x:v>
      </x:c>
      <x:c r="H73" s="2"/>
      <x:c r="I73" s="2"/>
      <x:c r="J73" s="2"/>
      <x:c r="K73" s="2"/>
      <x:c r="L73" s="2"/>
      <x:c r="M73" s="2"/>
      <x:c r="N73" s="2"/>
      <x:c r="O73" s="2"/>
      <x:c r="P73" s="2"/>
      <x:c r="Q73" s="2"/>
      <x:c r="R73" s="2"/>
      <x:c r="S73" s="2"/>
      <x:c r="T73" s="2"/>
      <x:c r="U73" s="2"/>
      <x:c r="V73" s="2"/>
      <x:c r="W73" s="2"/>
      <x:c r="X73" s="2"/>
      <x:c r="Y73" s="2"/>
      <x:c r="Z73" s="2"/>
      <x:c r="AA73" s="2"/>
      <x:c r="AB73" s="2"/>
      <x:c r="AC73" s="2"/>
      <x:c r="AD73" s="2"/>
      <x:c r="AE73" s="2"/>
      <x:c r="AF73" s="2"/>
      <x:c r="AG73" s="2"/>
      <x:c r="AH73" s="2"/>
      <x:c r="AI73" s="2"/>
      <x:c r="AJ73" s="2"/>
      <x:c r="AK73" s="2"/>
      <x:c r="AL73" s="2"/>
      <x:c r="AM73" s="2"/>
      <x:c r="AN73" s="2"/>
      <x:c r="AO73" s="2"/>
    </x:row>
    <x:row r="74" ht="60" customHeight="1">
      <x:c r="A74" s="444" t="str">
        <x:v>$1,750M, 4.70%, due September 2034</x:v>
      </x:c>
      <x:c r="B74" s="495" t="d">
        <x:v>2034-09-27T00:00:00.000Z</x:v>
      </x:c>
      <x:c r="C74" s="496" t="n">
        <x:f>'Data'!B191</x:f>
        <x:v>0.047</x:v>
      </x:c>
      <x:c r="D74" s="497" t="n">
        <x:f>'Payment dates'!E116</x:f>
        <x:v>1750000000</x:v>
      </x:c>
      <x:c r="E74" s="446" t="str">
        <x:v>orcl:Fixed-RateSeniorNotesDueSeptember2034Member</x:v>
      </x:c>
      <x:c r="F74" s="446" t="n">
        <x:f>C74*D74</x:f>
        <x:v>82250000</x:v>
      </x:c>
      <x:c r="G74" s="498" t="str">
        <x:v>C_15416320-28ee-45bd-9193-de9adecf8103</x:v>
      </x:c>
      <x:c r="H74" s="2"/>
      <x:c r="I74" s="2"/>
      <x:c r="J74" s="2"/>
      <x:c r="K74" s="2"/>
      <x:c r="L74" s="2"/>
      <x:c r="M74" s="2"/>
      <x:c r="N74" s="2"/>
      <x:c r="O74" s="2"/>
      <x:c r="P74" s="2"/>
      <x:c r="Q74" s="2"/>
      <x:c r="R74" s="2"/>
      <x:c r="S74" s="2"/>
      <x:c r="T74" s="2"/>
      <x:c r="U74" s="2"/>
      <x:c r="V74" s="2"/>
      <x:c r="W74" s="2"/>
      <x:c r="X74" s="2"/>
      <x:c r="Y74" s="2"/>
      <x:c r="Z74" s="2"/>
      <x:c r="AA74" s="2"/>
      <x:c r="AB74" s="2"/>
      <x:c r="AC74" s="2"/>
      <x:c r="AD74" s="2"/>
      <x:c r="AE74" s="2"/>
      <x:c r="AF74" s="2"/>
      <x:c r="AG74" s="2"/>
      <x:c r="AH74" s="2"/>
      <x:c r="AI74" s="2"/>
      <x:c r="AJ74" s="2"/>
      <x:c r="AK74" s="2"/>
      <x:c r="AL74" s="2"/>
      <x:c r="AM74" s="2"/>
      <x:c r="AN74" s="2"/>
      <x:c r="AO74" s="2"/>
    </x:row>
    <x:row r="75" ht="60" customHeight="1">
      <x:c r="A75" s="444" t="str">
        <x:v>$1,250M, 3.90%, due May 2035</x:v>
      </x:c>
      <x:c r="B75" s="495" t="d">
        <x:v>2035-05-15T00:00:00.000Z</x:v>
      </x:c>
      <x:c r="C75" s="496" t="n">
        <x:f>'Data'!B192</x:f>
        <x:v>0.039</x:v>
      </x:c>
      <x:c r="D75" s="497" t="n">
        <x:f>'Payment dates'!E117</x:f>
        <x:v>1250000000</x:v>
      </x:c>
      <x:c r="E75" s="446" t="str">
        <x:v>orcl:FixedRateSeniorNotesDueMay2035Member</x:v>
      </x:c>
      <x:c r="F75" s="446" t="n">
        <x:f>C75*D75</x:f>
        <x:v>48750000</x:v>
      </x:c>
      <x:c r="G75" s="498" t="str">
        <x:v>C_01f50072-c7e6-47ea-9b91-24a078772c62</x:v>
      </x:c>
      <x:c r="H75" s="2"/>
      <x:c r="I75" s="2"/>
      <x:c r="J75" s="2"/>
      <x:c r="K75" s="2"/>
      <x:c r="L75" s="2"/>
      <x:c r="M75" s="2"/>
      <x:c r="N75" s="2"/>
      <x:c r="O75" s="2"/>
      <x:c r="P75" s="2"/>
      <x:c r="Q75" s="2"/>
      <x:c r="R75" s="2"/>
      <x:c r="S75" s="2"/>
      <x:c r="T75" s="2"/>
      <x:c r="U75" s="2"/>
      <x:c r="V75" s="2"/>
      <x:c r="W75" s="2"/>
      <x:c r="X75" s="2"/>
      <x:c r="Y75" s="2"/>
      <x:c r="Z75" s="2"/>
      <x:c r="AA75" s="2"/>
      <x:c r="AB75" s="2"/>
      <x:c r="AC75" s="2"/>
      <x:c r="AD75" s="2"/>
      <x:c r="AE75" s="2"/>
      <x:c r="AF75" s="2"/>
      <x:c r="AG75" s="2"/>
      <x:c r="AH75" s="2"/>
      <x:c r="AI75" s="2"/>
      <x:c r="AJ75" s="2"/>
      <x:c r="AK75" s="2"/>
      <x:c r="AL75" s="2"/>
      <x:c r="AM75" s="2"/>
      <x:c r="AN75" s="2"/>
      <x:c r="AO75" s="2"/>
    </x:row>
    <x:row r="76" ht="60" customHeight="1">
      <x:c r="A76" s="444" t="str">
        <x:v>$1,750M, 5.50%, due August 2035</x:v>
      </x:c>
      <x:c r="B76" s="495" t="d">
        <x:v>2035-08-03T00:00:00.000Z</x:v>
      </x:c>
      <x:c r="C76" s="496" t="n">
        <x:f>'Data'!B193</x:f>
        <x:v>0.055</x:v>
      </x:c>
      <x:c r="D76" s="497" t="n">
        <x:f>'Payment dates'!E118</x:f>
        <x:v>1750000000</x:v>
      </x:c>
      <x:c r="E76" s="446" t="str">
        <x:v>orcl:Fixed-RateSeniorNotesDueAugust2035Member</x:v>
      </x:c>
      <x:c r="F76" s="446" t="n">
        <x:f>C76*D76</x:f>
        <x:v>96250000</x:v>
      </x:c>
      <x:c r="G76" s="498" t="str">
        <x:v>C_aac57422-340d-4fbf-b85b-5fcc96306c34</x:v>
      </x:c>
      <x:c r="H76" s="2"/>
      <x:c r="I76" s="2"/>
      <x:c r="J76" s="2"/>
      <x:c r="K76" s="2"/>
      <x:c r="L76" s="2"/>
      <x:c r="M76" s="2"/>
      <x:c r="N76" s="2"/>
      <x:c r="O76" s="2"/>
      <x:c r="P76" s="2"/>
      <x:c r="Q76" s="2"/>
      <x:c r="R76" s="2"/>
      <x:c r="S76" s="2"/>
      <x:c r="T76" s="2"/>
      <x:c r="U76" s="2"/>
      <x:c r="V76" s="2"/>
      <x:c r="W76" s="2"/>
      <x:c r="X76" s="2"/>
      <x:c r="Y76" s="2"/>
      <x:c r="Z76" s="2"/>
      <x:c r="AA76" s="2"/>
      <x:c r="AB76" s="2"/>
      <x:c r="AC76" s="2"/>
      <x:c r="AD76" s="2"/>
      <x:c r="AE76" s="2"/>
      <x:c r="AF76" s="2"/>
      <x:c r="AG76" s="2"/>
      <x:c r="AH76" s="2"/>
      <x:c r="AI76" s="2"/>
      <x:c r="AJ76" s="2"/>
      <x:c r="AK76" s="2"/>
      <x:c r="AL76" s="2"/>
      <x:c r="AM76" s="2"/>
      <x:c r="AN76" s="2"/>
      <x:c r="AO76" s="2"/>
    </x:row>
    <x:row r="77" ht="60" customHeight="1">
      <x:c r="A77" s="444" t="str">
        <x:v>$4,000M, 5.20%, due September 2035</x:v>
      </x:c>
      <x:c r="B77" s="495" t="d">
        <x:v>2035-09-26T00:00:00.000Z</x:v>
      </x:c>
      <x:c r="C77" s="496" t="n">
        <x:f>'Data'!B194</x:f>
        <x:v>0.052</x:v>
      </x:c>
      <x:c r="D77" s="497" t="n">
        <x:f>'Payment dates'!E119</x:f>
        <x:v>4000000000</x:v>
      </x:c>
      <x:c r="E77" s="446" t="str">
        <x:v>orcl:Fixed-RateSeniorNotesDueSeptember2035Member</x:v>
      </x:c>
      <x:c r="F77" s="446" t="n">
        <x:f>C77*D77</x:f>
        <x:v>208000000</x:v>
      </x:c>
      <x:c r="G77" s="498" t="str">
        <x:v>C_573df544-be68-4729-878f-dc0c4d603869</x:v>
      </x:c>
      <x:c r="H77" s="2"/>
      <x:c r="I77" s="2"/>
      <x:c r="J77" s="2"/>
      <x:c r="K77" s="2"/>
      <x:c r="L77" s="2"/>
      <x:c r="M77" s="2"/>
      <x:c r="N77" s="2"/>
      <x:c r="O77" s="2"/>
      <x:c r="P77" s="2"/>
      <x:c r="Q77" s="2"/>
      <x:c r="R77" s="2"/>
      <x:c r="S77" s="2"/>
      <x:c r="T77" s="2"/>
      <x:c r="U77" s="2"/>
      <x:c r="V77" s="2"/>
      <x:c r="W77" s="2"/>
      <x:c r="X77" s="2"/>
      <x:c r="Y77" s="2"/>
      <x:c r="Z77" s="2"/>
      <x:c r="AA77" s="2"/>
      <x:c r="AB77" s="2"/>
      <x:c r="AC77" s="2"/>
      <x:c r="AD77" s="2"/>
      <x:c r="AE77" s="2"/>
      <x:c r="AF77" s="2"/>
      <x:c r="AG77" s="2"/>
      <x:c r="AH77" s="2"/>
      <x:c r="AI77" s="2"/>
      <x:c r="AJ77" s="2"/>
      <x:c r="AK77" s="2"/>
      <x:c r="AL77" s="2"/>
      <x:c r="AM77" s="2"/>
      <x:c r="AN77" s="2"/>
      <x:c r="AO77" s="2"/>
    </x:row>
    <x:row r="78" ht="60" customHeight="1">
      <x:c r="A78" s="444" t="str">
        <x:v>$5,000M, 5.70%, due February 2036</x:v>
      </x:c>
      <x:c r="B78" s="495" t="d">
        <x:v>2036-02-04T00:00:00.000Z</x:v>
      </x:c>
      <x:c r="C78" s="496" t="n">
        <x:f>'Data'!B195</x:f>
        <x:v>0.057</x:v>
      </x:c>
      <x:c r="D78" s="497" t="n">
        <x:f>'Payment dates'!E120</x:f>
        <x:v>5000000000</x:v>
      </x:c>
      <x:c r="E78" s="446" t="str">
        <x:v>orcl:FixedRateSeniorNotesDueFebruary2036Member</x:v>
      </x:c>
      <x:c r="F78" s="446" t="n">
        <x:f>C78*D78</x:f>
        <x:v>285000000</x:v>
      </x:c>
      <x:c r="G78" s="498" t="str">
        <x:v>C_eb11f4ee-c98c-405c-9c32-8f9b81fee1fa</x:v>
      </x:c>
      <x:c r="H78" s="2"/>
      <x:c r="I78" s="2"/>
      <x:c r="J78" s="2"/>
      <x:c r="K78" s="2"/>
      <x:c r="L78" s="2"/>
      <x:c r="M78" s="2"/>
      <x:c r="N78" s="2"/>
      <x:c r="O78" s="2"/>
      <x:c r="P78" s="2"/>
      <x:c r="Q78" s="2"/>
      <x:c r="R78" s="2"/>
      <x:c r="S78" s="2"/>
      <x:c r="T78" s="2"/>
      <x:c r="U78" s="2"/>
      <x:c r="V78" s="2"/>
      <x:c r="W78" s="2"/>
      <x:c r="X78" s="2"/>
      <x:c r="Y78" s="2"/>
      <x:c r="Z78" s="2"/>
      <x:c r="AA78" s="2"/>
      <x:c r="AB78" s="2"/>
      <x:c r="AC78" s="2"/>
      <x:c r="AD78" s="2"/>
      <x:c r="AE78" s="2"/>
      <x:c r="AF78" s="2"/>
      <x:c r="AG78" s="2"/>
      <x:c r="AH78" s="2"/>
      <x:c r="AI78" s="2"/>
      <x:c r="AJ78" s="2"/>
      <x:c r="AK78" s="2"/>
      <x:c r="AL78" s="2"/>
      <x:c r="AM78" s="2"/>
      <x:c r="AN78" s="2"/>
      <x:c r="AO78" s="2"/>
    </x:row>
    <x:row r="79" ht="60" customHeight="1">
      <x:c r="A79" s="444" t="str">
        <x:v>$1,250M, 3.85%, due July 2036</x:v>
      </x:c>
      <x:c r="B79" s="495" t="d">
        <x:v>2036-07-15T00:00:00.000Z</x:v>
      </x:c>
      <x:c r="C79" s="496" t="n">
        <x:f>'Data'!B196</x:f>
        <x:v>0.0385</x:v>
      </x:c>
      <x:c r="D79" s="497" t="n">
        <x:f>'Payment dates'!E121</x:f>
        <x:v>1250000000</x:v>
      </x:c>
      <x:c r="E79" s="446" t="str">
        <x:v>orcl:FixedRateSeniorNotesDueJuly2036Member</x:v>
      </x:c>
      <x:c r="F79" s="446" t="n">
        <x:f>C79*D79</x:f>
        <x:v>48125000</x:v>
      </x:c>
      <x:c r="G79" s="498" t="str">
        <x:v>C_72fff26c-c6a0-4942-9b20-5d70cc2c444c</x:v>
      </x:c>
      <x:c r="H79" s="2"/>
      <x:c r="I79" s="2"/>
      <x:c r="J79" s="2"/>
      <x:c r="K79" s="2"/>
      <x:c r="L79" s="2"/>
      <x:c r="M79" s="2"/>
      <x:c r="N79" s="2"/>
      <x:c r="O79" s="2"/>
      <x:c r="P79" s="2"/>
      <x:c r="Q79" s="2"/>
      <x:c r="R79" s="2"/>
      <x:c r="S79" s="2"/>
      <x:c r="T79" s="2"/>
      <x:c r="U79" s="2"/>
      <x:c r="V79" s="2"/>
      <x:c r="W79" s="2"/>
      <x:c r="X79" s="2"/>
      <x:c r="Y79" s="2"/>
      <x:c r="Z79" s="2"/>
      <x:c r="AA79" s="2"/>
      <x:c r="AB79" s="2"/>
      <x:c r="AC79" s="2"/>
      <x:c r="AD79" s="2"/>
      <x:c r="AE79" s="2"/>
      <x:c r="AF79" s="2"/>
      <x:c r="AG79" s="2"/>
      <x:c r="AH79" s="2"/>
      <x:c r="AI79" s="2"/>
      <x:c r="AJ79" s="2"/>
      <x:c r="AK79" s="2"/>
      <x:c r="AL79" s="2"/>
      <x:c r="AM79" s="2"/>
      <x:c r="AN79" s="2"/>
      <x:c r="AO79" s="2"/>
    </x:row>
    <x:row r="80" ht="60" customHeight="1">
      <x:c r="A80" s="444" t="str">
        <x:v>$1,750M, 3.80%, due November 2037</x:v>
      </x:c>
      <x:c r="B80" s="495" t="d">
        <x:v>2037-11-15T00:00:00.000Z</x:v>
      </x:c>
      <x:c r="C80" s="496" t="n">
        <x:f>'Data'!B197</x:f>
        <x:v>0.038</x:v>
      </x:c>
      <x:c r="D80" s="497" t="n">
        <x:f>'Payment dates'!E122</x:f>
        <x:v>1750000000</x:v>
      </x:c>
      <x:c r="E80" s="446" t="str">
        <x:v>orcl:FixedRateSeniorNotesDueNovember2037Member</x:v>
      </x:c>
      <x:c r="F80" s="446" t="n">
        <x:f>C80*D80</x:f>
        <x:v>66500000</x:v>
      </x:c>
      <x:c r="G80" s="498" t="str">
        <x:v>C_7f258c62-3faa-4ff0-8ea7-70a73c3c6b74</x:v>
      </x:c>
      <x:c r="H80" s="2"/>
      <x:c r="I80" s="2"/>
      <x:c r="J80" s="2"/>
      <x:c r="K80" s="2"/>
      <x:c r="L80" s="2"/>
      <x:c r="M80" s="2"/>
      <x:c r="N80" s="2"/>
      <x:c r="O80" s="2"/>
      <x:c r="P80" s="2"/>
      <x:c r="Q80" s="2"/>
      <x:c r="R80" s="2"/>
      <x:c r="S80" s="2"/>
      <x:c r="T80" s="2"/>
      <x:c r="U80" s="2"/>
      <x:c r="V80" s="2"/>
      <x:c r="W80" s="2"/>
      <x:c r="X80" s="2"/>
      <x:c r="Y80" s="2"/>
      <x:c r="Z80" s="2"/>
      <x:c r="AA80" s="2"/>
      <x:c r="AB80" s="2"/>
      <x:c r="AC80" s="2"/>
      <x:c r="AD80" s="2"/>
      <x:c r="AE80" s="2"/>
      <x:c r="AF80" s="2"/>
      <x:c r="AG80" s="2"/>
      <x:c r="AH80" s="2"/>
      <x:c r="AI80" s="2"/>
      <x:c r="AJ80" s="2"/>
      <x:c r="AK80" s="2"/>
      <x:c r="AL80" s="2"/>
      <x:c r="AM80" s="2"/>
      <x:c r="AN80" s="2"/>
      <x:c r="AO80" s="2"/>
    </x:row>
    <x:row r="81" ht="60" customHeight="1">
      <x:c r="A81" s="444" t="str">
        <x:v>$1,250M, 6.50%, due April 2038</x:v>
      </x:c>
      <x:c r="B81" s="495" t="d">
        <x:v>2038-04-15T00:00:00.000Z</x:v>
      </x:c>
      <x:c r="C81" s="496" t="n">
        <x:f>'Data'!B198</x:f>
        <x:v>0.065</x:v>
      </x:c>
      <x:c r="D81" s="497" t="n">
        <x:f>'Payment dates'!E123</x:f>
        <x:v>1250000000</x:v>
      </x:c>
      <x:c r="E81" s="446" t="str">
        <x:v>orcl:FixedRateSeniorNotesDueApril2038Member</x:v>
      </x:c>
      <x:c r="F81" s="446" t="n">
        <x:f>C81*D81</x:f>
        <x:v>81250000</x:v>
      </x:c>
      <x:c r="G81" s="498" t="str">
        <x:v>C_3f89c9fc-6e68-4cc6-83e1-9c86b63ce9de</x:v>
      </x:c>
      <x:c r="H81" s="2"/>
      <x:c r="I81" s="2"/>
      <x:c r="J81" s="2"/>
      <x:c r="K81" s="2"/>
      <x:c r="L81" s="2"/>
      <x:c r="M81" s="2"/>
      <x:c r="N81" s="2"/>
      <x:c r="O81" s="2"/>
      <x:c r="P81" s="2"/>
      <x:c r="Q81" s="2"/>
      <x:c r="R81" s="2"/>
      <x:c r="S81" s="2"/>
      <x:c r="T81" s="2"/>
      <x:c r="U81" s="2"/>
      <x:c r="V81" s="2"/>
      <x:c r="W81" s="2"/>
      <x:c r="X81" s="2"/>
      <x:c r="Y81" s="2"/>
      <x:c r="Z81" s="2"/>
      <x:c r="AA81" s="2"/>
      <x:c r="AB81" s="2"/>
      <x:c r="AC81" s="2"/>
      <x:c r="AD81" s="2"/>
      <x:c r="AE81" s="2"/>
      <x:c r="AF81" s="2"/>
      <x:c r="AG81" s="2"/>
      <x:c r="AH81" s="2"/>
      <x:c r="AI81" s="2"/>
      <x:c r="AJ81" s="2"/>
      <x:c r="AK81" s="2"/>
      <x:c r="AL81" s="2"/>
      <x:c r="AM81" s="2"/>
      <x:c r="AN81" s="2"/>
      <x:c r="AO81" s="2"/>
    </x:row>
    <x:row r="82" ht="60" customHeight="1">
      <x:c r="A82" s="444" t="str">
        <x:v>$1,250M, 6.125%, due July 2039</x:v>
      </x:c>
      <x:c r="B82" s="495" t="d">
        <x:v>2039-07-08T00:00:00.000Z</x:v>
      </x:c>
      <x:c r="C82" s="496" t="n">
        <x:f>'Data'!B199</x:f>
        <x:v>0.06125</x:v>
      </x:c>
      <x:c r="D82" s="497" t="n">
        <x:f>'Payment dates'!E124</x:f>
        <x:v>1250000000</x:v>
      </x:c>
      <x:c r="E82" s="446" t="str">
        <x:v>orcl:FixedRateSeniorNotesDueJuly2039Member</x:v>
      </x:c>
      <x:c r="F82" s="446" t="n">
        <x:f>C82*D82</x:f>
        <x:v>76562500</x:v>
      </x:c>
      <x:c r="G82" s="498" t="str">
        <x:v>C_ac987fd5-0ebc-4b0b-acd6-cb559c89ce69</x:v>
      </x:c>
      <x:c r="H82" s="2"/>
      <x:c r="I82" s="2"/>
      <x:c r="J82" s="2"/>
      <x:c r="K82" s="2"/>
      <x:c r="L82" s="2"/>
      <x:c r="M82" s="2"/>
      <x:c r="N82" s="2"/>
      <x:c r="O82" s="2"/>
      <x:c r="P82" s="2"/>
      <x:c r="Q82" s="2"/>
      <x:c r="R82" s="2"/>
      <x:c r="S82" s="2"/>
      <x:c r="T82" s="2"/>
      <x:c r="U82" s="2"/>
      <x:c r="V82" s="2"/>
      <x:c r="W82" s="2"/>
      <x:c r="X82" s="2"/>
      <x:c r="Y82" s="2"/>
      <x:c r="Z82" s="2"/>
      <x:c r="AA82" s="2"/>
      <x:c r="AB82" s="2"/>
      <x:c r="AC82" s="2"/>
      <x:c r="AD82" s="2"/>
      <x:c r="AE82" s="2"/>
      <x:c r="AF82" s="2"/>
      <x:c r="AG82" s="2"/>
      <x:c r="AH82" s="2"/>
      <x:c r="AI82" s="2"/>
      <x:c r="AJ82" s="2"/>
      <x:c r="AK82" s="2"/>
      <x:c r="AL82" s="2"/>
      <x:c r="AM82" s="2"/>
      <x:c r="AN82" s="2"/>
      <x:c r="AO82" s="2"/>
    </x:row>
    <x:row r="83" ht="60" customHeight="1">
      <x:c r="A83" s="444" t="str">
        <x:v>$3,000M, 3.60%, due April 2040</x:v>
      </x:c>
      <x:c r="B83" s="495" t="d">
        <x:v>2040-04-01T00:00:00.000Z</x:v>
      </x:c>
      <x:c r="C83" s="496" t="n">
        <x:f>'Data'!B200</x:f>
        <x:v>0.036</x:v>
      </x:c>
      <x:c r="D83" s="497" t="n">
        <x:f>'Payment dates'!E125</x:f>
        <x:v>3000000000</x:v>
      </x:c>
      <x:c r="E83" s="446" t="str">
        <x:v>orcl:FixedRateSeniorNotesDueApril2040Member</x:v>
      </x:c>
      <x:c r="F83" s="446" t="n">
        <x:f>C83*D83</x:f>
        <x:v>107999999.99999999</x:v>
      </x:c>
      <x:c r="G83" s="498" t="str">
        <x:v>C_edacb177-150a-440a-8eab-3b1f65db82ab</x:v>
      </x:c>
      <x:c r="H83" s="2"/>
      <x:c r="I83" s="2"/>
      <x:c r="J83" s="2"/>
      <x:c r="K83" s="2"/>
      <x:c r="L83" s="2"/>
      <x:c r="M83" s="2"/>
      <x:c r="N83" s="2"/>
      <x:c r="O83" s="2"/>
      <x:c r="P83" s="2"/>
      <x:c r="Q83" s="2"/>
      <x:c r="R83" s="2"/>
      <x:c r="S83" s="2"/>
      <x:c r="T83" s="2"/>
      <x:c r="U83" s="2"/>
      <x:c r="V83" s="2"/>
      <x:c r="W83" s="2"/>
      <x:c r="X83" s="2"/>
      <x:c r="Y83" s="2"/>
      <x:c r="Z83" s="2"/>
      <x:c r="AA83" s="2"/>
      <x:c r="AB83" s="2"/>
      <x:c r="AC83" s="2"/>
      <x:c r="AD83" s="2"/>
      <x:c r="AE83" s="2"/>
      <x:c r="AF83" s="2"/>
      <x:c r="AG83" s="2"/>
      <x:c r="AH83" s="2"/>
      <x:c r="AI83" s="2"/>
      <x:c r="AJ83" s="2"/>
      <x:c r="AK83" s="2"/>
      <x:c r="AL83" s="2"/>
      <x:c r="AM83" s="2"/>
      <x:c r="AN83" s="2"/>
      <x:c r="AO83" s="2"/>
    </x:row>
    <x:row r="84" ht="60" customHeight="1">
      <x:c r="A84" s="444" t="str">
        <x:v>$2,250M, 5.375%, due July 2040</x:v>
      </x:c>
      <x:c r="B84" s="495" t="d">
        <x:v>2040-07-15T00:00:00.000Z</x:v>
      </x:c>
      <x:c r="C84" s="496" t="n">
        <x:f>'Data'!B201</x:f>
        <x:v>0.05375</x:v>
      </x:c>
      <x:c r="D84" s="497" t="n">
        <x:f>'Payment dates'!E126</x:f>
        <x:v>2250000000</x:v>
      </x:c>
      <x:c r="E84" s="446" t="str">
        <x:v>orcl:FixedRateSeniorNotesDueJuly2040Member</x:v>
      </x:c>
      <x:c r="F84" s="446" t="n">
        <x:f>C84*D84</x:f>
        <x:v>120937500</x:v>
      </x:c>
      <x:c r="G84" s="498" t="str">
        <x:v>C_ea9fb0e1-e7f4-43bd-9646-a319ee8e1fad</x:v>
      </x:c>
      <x:c r="H84" s="2"/>
      <x:c r="I84" s="2"/>
      <x:c r="J84" s="2"/>
      <x:c r="K84" s="2"/>
      <x:c r="L84" s="2"/>
      <x:c r="M84" s="2"/>
      <x:c r="N84" s="2"/>
      <x:c r="O84" s="2"/>
      <x:c r="P84" s="2"/>
      <x:c r="Q84" s="2"/>
      <x:c r="R84" s="2"/>
      <x:c r="S84" s="2"/>
      <x:c r="T84" s="2"/>
      <x:c r="U84" s="2"/>
      <x:c r="V84" s="2"/>
      <x:c r="W84" s="2"/>
      <x:c r="X84" s="2"/>
      <x:c r="Y84" s="2"/>
      <x:c r="Z84" s="2"/>
      <x:c r="AA84" s="2"/>
      <x:c r="AB84" s="2"/>
      <x:c r="AC84" s="2"/>
      <x:c r="AD84" s="2"/>
      <x:c r="AE84" s="2"/>
      <x:c r="AF84" s="2"/>
      <x:c r="AG84" s="2"/>
      <x:c r="AH84" s="2"/>
      <x:c r="AI84" s="2"/>
      <x:c r="AJ84" s="2"/>
      <x:c r="AK84" s="2"/>
      <x:c r="AL84" s="2"/>
      <x:c r="AM84" s="2"/>
      <x:c r="AN84" s="2"/>
      <x:c r="AO84" s="2"/>
    </x:row>
    <x:row r="85" ht="60" customHeight="1">
      <x:c r="A85" s="444" t="str">
        <x:v>$2,250M, 3.65%, due March 2041</x:v>
      </x:c>
      <x:c r="B85" s="495" t="d">
        <x:v>2041-03-25T00:00:00.000Z</x:v>
      </x:c>
      <x:c r="C85" s="496" t="n">
        <x:f>'Data'!B202</x:f>
        <x:v>0.0365</x:v>
      </x:c>
      <x:c r="D85" s="497" t="n">
        <x:f>'Payment dates'!E127</x:f>
        <x:v>2250000000</x:v>
      </x:c>
      <x:c r="E85" s="446" t="str">
        <x:v>orcl:FixedRateSeniorNotesDueMarch2041Member</x:v>
      </x:c>
      <x:c r="F85" s="446" t="n">
        <x:f>C85*D85</x:f>
        <x:v>82125000</x:v>
      </x:c>
      <x:c r="G85" s="498" t="str">
        <x:v>C_0279d3a4-1e75-4ad5-847d-0aae45a2dc5a</x:v>
      </x:c>
      <x:c r="H85" s="2"/>
      <x:c r="I85" s="2"/>
      <x:c r="J85" s="2"/>
      <x:c r="K85" s="2"/>
      <x:c r="L85" s="2"/>
      <x:c r="M85" s="2"/>
      <x:c r="N85" s="2"/>
      <x:c r="O85" s="2"/>
      <x:c r="P85" s="2"/>
      <x:c r="Q85" s="2"/>
      <x:c r="R85" s="2"/>
      <x:c r="S85" s="2"/>
      <x:c r="T85" s="2"/>
      <x:c r="U85" s="2"/>
      <x:c r="V85" s="2"/>
      <x:c r="W85" s="2"/>
      <x:c r="X85" s="2"/>
      <x:c r="Y85" s="2"/>
      <x:c r="Z85" s="2"/>
      <x:c r="AA85" s="2"/>
      <x:c r="AB85" s="2"/>
      <x:c r="AC85" s="2"/>
      <x:c r="AD85" s="2"/>
      <x:c r="AE85" s="2"/>
      <x:c r="AF85" s="2"/>
      <x:c r="AG85" s="2"/>
      <x:c r="AH85" s="2"/>
      <x:c r="AI85" s="2"/>
      <x:c r="AJ85" s="2"/>
      <x:c r="AK85" s="2"/>
      <x:c r="AL85" s="2"/>
      <x:c r="AM85" s="2"/>
      <x:c r="AN85" s="2"/>
      <x:c r="AO85" s="2"/>
    </x:row>
    <x:row r="86" ht="60" customHeight="1">
      <x:c r="A86" s="444" t="str">
        <x:v>$1,000M, 4.50%, due July 2044</x:v>
      </x:c>
      <x:c r="B86" s="495" t="d">
        <x:v>2044-07-08T00:00:00.000Z</x:v>
      </x:c>
      <x:c r="C86" s="496" t="n">
        <x:f>'Data'!B203</x:f>
        <x:v>0.045</x:v>
      </x:c>
      <x:c r="D86" s="497" t="n">
        <x:f>'Payment dates'!E128</x:f>
        <x:v>1000000000</x:v>
      </x:c>
      <x:c r="E86" s="446" t="str">
        <x:v>orcl:FixedRateSeniorNotesDueJuly2044Member</x:v>
      </x:c>
      <x:c r="F86" s="446" t="n">
        <x:f>C86*D86</x:f>
        <x:v>45000000</x:v>
      </x:c>
      <x:c r="G86" s="498" t="str">
        <x:v>C_fbf167a2-b1f8-4f0a-9421-2691f6ee52e0</x:v>
      </x:c>
      <x:c r="H86" s="2"/>
      <x:c r="I86" s="2"/>
      <x:c r="J86" s="2"/>
      <x:c r="K86" s="2"/>
      <x:c r="L86" s="2"/>
      <x:c r="M86" s="2"/>
      <x:c r="N86" s="2"/>
      <x:c r="O86" s="2"/>
      <x:c r="P86" s="2"/>
      <x:c r="Q86" s="2"/>
      <x:c r="R86" s="2"/>
      <x:c r="S86" s="2"/>
      <x:c r="T86" s="2"/>
      <x:c r="U86" s="2"/>
      <x:c r="V86" s="2"/>
      <x:c r="W86" s="2"/>
      <x:c r="X86" s="2"/>
      <x:c r="Y86" s="2"/>
      <x:c r="Z86" s="2"/>
      <x:c r="AA86" s="2"/>
      <x:c r="AB86" s="2"/>
      <x:c r="AC86" s="2"/>
      <x:c r="AD86" s="2"/>
      <x:c r="AE86" s="2"/>
      <x:c r="AF86" s="2"/>
      <x:c r="AG86" s="2"/>
      <x:c r="AH86" s="2"/>
      <x:c r="AI86" s="2"/>
      <x:c r="AJ86" s="2"/>
      <x:c r="AK86" s="2"/>
      <x:c r="AL86" s="2"/>
      <x:c r="AM86" s="2"/>
      <x:c r="AN86" s="2"/>
      <x:c r="AO86" s="2"/>
    </x:row>
    <x:row r="87" ht="60" customHeight="1">
      <x:c r="A87" s="444" t="str">
        <x:v>$2,000M, 4.125%, due May 2045</x:v>
      </x:c>
      <x:c r="B87" s="495" t="d">
        <x:v>2045-05-15T00:00:00.000Z</x:v>
      </x:c>
      <x:c r="C87" s="496" t="n">
        <x:f>'Data'!B204</x:f>
        <x:v>0.04125</x:v>
      </x:c>
      <x:c r="D87" s="497" t="n">
        <x:f>'Payment dates'!E129</x:f>
        <x:v>2000000000</x:v>
      </x:c>
      <x:c r="E87" s="446" t="str">
        <x:v>orcl:FixedRateSeniorNotesDueMay2045Member</x:v>
      </x:c>
      <x:c r="F87" s="446" t="n">
        <x:f>C87*D87</x:f>
        <x:v>82500000</x:v>
      </x:c>
      <x:c r="G87" s="498" t="str">
        <x:v>C_659e0314-4b26-4b16-98b4-e72d8c61f734</x:v>
      </x:c>
      <x:c r="H87" s="2"/>
      <x:c r="I87" s="2"/>
      <x:c r="J87" s="2"/>
      <x:c r="K87" s="2"/>
      <x:c r="L87" s="2"/>
      <x:c r="M87" s="2"/>
      <x:c r="N87" s="2"/>
      <x:c r="O87" s="2"/>
      <x:c r="P87" s="2"/>
      <x:c r="Q87" s="2"/>
      <x:c r="R87" s="2"/>
      <x:c r="S87" s="2"/>
      <x:c r="T87" s="2"/>
      <x:c r="U87" s="2"/>
      <x:c r="V87" s="2"/>
      <x:c r="W87" s="2"/>
      <x:c r="X87" s="2"/>
      <x:c r="Y87" s="2"/>
      <x:c r="Z87" s="2"/>
      <x:c r="AA87" s="2"/>
      <x:c r="AB87" s="2"/>
      <x:c r="AC87" s="2"/>
      <x:c r="AD87" s="2"/>
      <x:c r="AE87" s="2"/>
      <x:c r="AF87" s="2"/>
      <x:c r="AG87" s="2"/>
      <x:c r="AH87" s="2"/>
      <x:c r="AI87" s="2"/>
      <x:c r="AJ87" s="2"/>
      <x:c r="AK87" s="2"/>
      <x:c r="AL87" s="2"/>
      <x:c r="AM87" s="2"/>
      <x:c r="AN87" s="2"/>
      <x:c r="AO87" s="2"/>
    </x:row>
    <x:row r="88" ht="60" customHeight="1">
      <x:c r="A88" s="444" t="str">
        <x:v>$2,500M, 5.875%, due September 2045</x:v>
      </x:c>
      <x:c r="B88" s="495" t="d">
        <x:v>2045-09-26T00:00:00.000Z</x:v>
      </x:c>
      <x:c r="C88" s="496" t="n">
        <x:f>'Data'!B205</x:f>
        <x:v>0.05875</x:v>
      </x:c>
      <x:c r="D88" s="497" t="n">
        <x:f>'Payment dates'!E130</x:f>
        <x:v>2500000000</x:v>
      </x:c>
      <x:c r="E88" s="446" t="str">
        <x:v>orcl:FixedRateSeniorNotesDueSeptember2045Member</x:v>
      </x:c>
      <x:c r="F88" s="446" t="n">
        <x:f>C88*D88</x:f>
        <x:v>146875000</x:v>
      </x:c>
      <x:c r="G88" s="498" t="str">
        <x:v>C_988fd38e-d5f3-4fa1-b1de-787d7b61a453</x:v>
      </x:c>
      <x:c r="H88" s="2"/>
      <x:c r="I88" s="2"/>
      <x:c r="J88" s="2"/>
      <x:c r="K88" s="2"/>
      <x:c r="L88" s="2"/>
      <x:c r="M88" s="2"/>
      <x:c r="N88" s="2"/>
      <x:c r="O88" s="2"/>
      <x:c r="P88" s="2"/>
      <x:c r="Q88" s="2"/>
      <x:c r="R88" s="2"/>
      <x:c r="S88" s="2"/>
      <x:c r="T88" s="2"/>
      <x:c r="U88" s="2"/>
      <x:c r="V88" s="2"/>
      <x:c r="W88" s="2"/>
      <x:c r="X88" s="2"/>
      <x:c r="Y88" s="2"/>
      <x:c r="Z88" s="2"/>
      <x:c r="AA88" s="2"/>
      <x:c r="AB88" s="2"/>
      <x:c r="AC88" s="2"/>
      <x:c r="AD88" s="2"/>
      <x:c r="AE88" s="2"/>
      <x:c r="AF88" s="2"/>
      <x:c r="AG88" s="2"/>
      <x:c r="AH88" s="2"/>
      <x:c r="AI88" s="2"/>
      <x:c r="AJ88" s="2"/>
      <x:c r="AK88" s="2"/>
      <x:c r="AL88" s="2"/>
      <x:c r="AM88" s="2"/>
      <x:c r="AN88" s="2"/>
      <x:c r="AO88" s="2"/>
    </x:row>
    <x:row r="89" ht="60" customHeight="1">
      <x:c r="A89" s="444" t="str">
        <x:v>$2,250M, 6.55%, due February 2046</x:v>
      </x:c>
      <x:c r="B89" s="495" t="d">
        <x:v>2046-02-04T00:00:00.000Z</x:v>
      </x:c>
      <x:c r="C89" s="496" t="n">
        <x:f>'Data'!B206</x:f>
        <x:v>0.0655</x:v>
      </x:c>
      <x:c r="D89" s="497" t="n">
        <x:f>'Payment dates'!E131</x:f>
        <x:v>2250000000</x:v>
      </x:c>
      <x:c r="E89" s="446" t="str">
        <x:v>orcl:FixedRateSeniorNotesDueFebruary2046Member</x:v>
      </x:c>
      <x:c r="F89" s="446" t="n">
        <x:f>C89*D89</x:f>
        <x:v>147375000</x:v>
      </x:c>
      <x:c r="G89" s="498" t="str">
        <x:v>C_eaaaba69-f386-49f6-9dbc-4f5720b4ffcc</x:v>
      </x:c>
      <x:c r="H89" s="2"/>
      <x:c r="I89" s="2"/>
      <x:c r="J89" s="2"/>
      <x:c r="K89" s="2"/>
      <x:c r="L89" s="2"/>
      <x:c r="M89" s="2"/>
      <x:c r="N89" s="2"/>
      <x:c r="O89" s="2"/>
      <x:c r="P89" s="2"/>
      <x:c r="Q89" s="2"/>
      <x:c r="R89" s="2"/>
      <x:c r="S89" s="2"/>
      <x:c r="T89" s="2"/>
      <x:c r="U89" s="2"/>
      <x:c r="V89" s="2"/>
      <x:c r="W89" s="2"/>
      <x:c r="X89" s="2"/>
      <x:c r="Y89" s="2"/>
      <x:c r="Z89" s="2"/>
      <x:c r="AA89" s="2"/>
      <x:c r="AB89" s="2"/>
      <x:c r="AC89" s="2"/>
      <x:c r="AD89" s="2"/>
      <x:c r="AE89" s="2"/>
      <x:c r="AF89" s="2"/>
      <x:c r="AG89" s="2"/>
      <x:c r="AH89" s="2"/>
      <x:c r="AI89" s="2"/>
      <x:c r="AJ89" s="2"/>
      <x:c r="AK89" s="2"/>
      <x:c r="AL89" s="2"/>
      <x:c r="AM89" s="2"/>
      <x:c r="AN89" s="2"/>
      <x:c r="AO89" s="2"/>
    </x:row>
    <x:row r="90" ht="60" customHeight="1">
      <x:c r="A90" s="444" t="str">
        <x:v>$3,000M, 4.00%, due July 2046</x:v>
      </x:c>
      <x:c r="B90" s="495" t="d">
        <x:v>2046-07-15T00:00:00.000Z</x:v>
      </x:c>
      <x:c r="C90" s="496" t="n">
        <x:f>'Data'!B207</x:f>
        <x:v>0.04</x:v>
      </x:c>
      <x:c r="D90" s="497" t="n">
        <x:f>'Payment dates'!E132</x:f>
        <x:v>3000000000</x:v>
      </x:c>
      <x:c r="E90" s="446" t="str">
        <x:v>orcl:FixedRateSeniorNotesDueJuly2046Member</x:v>
      </x:c>
      <x:c r="F90" s="446" t="n">
        <x:f>C90*D90</x:f>
        <x:v>120000000</x:v>
      </x:c>
      <x:c r="G90" s="498" t="str">
        <x:v>C_01a106fb-d1a5-45eb-aea5-1d2c1f806db3</x:v>
      </x:c>
      <x:c r="H90" s="2"/>
      <x:c r="I90" s="2"/>
      <x:c r="J90" s="2"/>
      <x:c r="K90" s="2"/>
      <x:c r="L90" s="2"/>
      <x:c r="M90" s="2"/>
      <x:c r="N90" s="2"/>
      <x:c r="O90" s="2"/>
      <x:c r="P90" s="2"/>
      <x:c r="Q90" s="2"/>
      <x:c r="R90" s="2"/>
      <x:c r="S90" s="2"/>
      <x:c r="T90" s="2"/>
      <x:c r="U90" s="2"/>
      <x:c r="V90" s="2"/>
      <x:c r="W90" s="2"/>
      <x:c r="X90" s="2"/>
      <x:c r="Y90" s="2"/>
      <x:c r="Z90" s="2"/>
      <x:c r="AA90" s="2"/>
      <x:c r="AB90" s="2"/>
      <x:c r="AC90" s="2"/>
      <x:c r="AD90" s="2"/>
      <x:c r="AE90" s="2"/>
      <x:c r="AF90" s="2"/>
      <x:c r="AG90" s="2"/>
      <x:c r="AH90" s="2"/>
      <x:c r="AI90" s="2"/>
      <x:c r="AJ90" s="2"/>
      <x:c r="AK90" s="2"/>
      <x:c r="AL90" s="2"/>
      <x:c r="AM90" s="2"/>
      <x:c r="AN90" s="2"/>
      <x:c r="AO90" s="2"/>
    </x:row>
    <x:row r="91" ht="60" customHeight="1">
      <x:c r="A91" s="444" t="str">
        <x:v>$2,250M, 4.00%, due November 2047</x:v>
      </x:c>
      <x:c r="B91" s="495" t="d">
        <x:v>2047-11-15T00:00:00.000Z</x:v>
      </x:c>
      <x:c r="C91" s="496" t="n">
        <x:f>'Data'!B208</x:f>
        <x:v>0.04</x:v>
      </x:c>
      <x:c r="D91" s="497" t="n">
        <x:f>'Payment dates'!E133</x:f>
        <x:v>2250000000</x:v>
      </x:c>
      <x:c r="E91" s="446" t="str">
        <x:v>orcl:FixedRateSeniorNotesDueNovember2047Member</x:v>
      </x:c>
      <x:c r="F91" s="446" t="n">
        <x:f>C91*D91</x:f>
        <x:v>90000000</x:v>
      </x:c>
      <x:c r="G91" s="498" t="str">
        <x:v>C_c028290f-556a-41ee-891d-a0580570969c</x:v>
      </x:c>
      <x:c r="H91" s="2"/>
      <x:c r="I91" s="2"/>
      <x:c r="J91" s="2"/>
      <x:c r="K91" s="2"/>
      <x:c r="L91" s="2"/>
      <x:c r="M91" s="2"/>
      <x:c r="N91" s="2"/>
      <x:c r="O91" s="2"/>
      <x:c r="P91" s="2"/>
      <x:c r="Q91" s="2"/>
      <x:c r="R91" s="2"/>
      <x:c r="S91" s="2"/>
      <x:c r="T91" s="2"/>
      <x:c r="U91" s="2"/>
      <x:c r="V91" s="2"/>
      <x:c r="W91" s="2"/>
      <x:c r="X91" s="2"/>
      <x:c r="Y91" s="2"/>
      <x:c r="Z91" s="2"/>
      <x:c r="AA91" s="2"/>
      <x:c r="AB91" s="2"/>
      <x:c r="AC91" s="2"/>
      <x:c r="AD91" s="2"/>
      <x:c r="AE91" s="2"/>
      <x:c r="AF91" s="2"/>
      <x:c r="AG91" s="2"/>
      <x:c r="AH91" s="2"/>
      <x:c r="AI91" s="2"/>
      <x:c r="AJ91" s="2"/>
      <x:c r="AK91" s="2"/>
      <x:c r="AL91" s="2"/>
      <x:c r="AM91" s="2"/>
      <x:c r="AN91" s="2"/>
      <x:c r="AO91" s="2"/>
    </x:row>
    <x:row r="92" ht="60" customHeight="1">
      <x:c r="A92" s="444" t="str">
        <x:v>$4,500M, 3.60%, due April 2050</x:v>
      </x:c>
      <x:c r="B92" s="495" t="d">
        <x:v>2050-04-01T00:00:00.000Z</x:v>
      </x:c>
      <x:c r="C92" s="496" t="n">
        <x:f>'Data'!B209</x:f>
        <x:v>0.036</x:v>
      </x:c>
      <x:c r="D92" s="497" t="n">
        <x:f>'Payment dates'!E134</x:f>
        <x:v>4500000000</x:v>
      </x:c>
      <x:c r="E92" s="446" t="str">
        <x:v>orcl:FixedRateSeniorNotesDueApril2050Member</x:v>
      </x:c>
      <x:c r="F92" s="446" t="n">
        <x:f>C92*D92</x:f>
        <x:v>162000000</x:v>
      </x:c>
      <x:c r="G92" s="498" t="str">
        <x:v>C_93d974de-69a0-4d66-8685-9c10b38c70e4</x:v>
      </x:c>
      <x:c r="H92" s="2"/>
      <x:c r="I92" s="2"/>
      <x:c r="J92" s="2"/>
      <x:c r="K92" s="2"/>
      <x:c r="L92" s="2"/>
      <x:c r="M92" s="2"/>
      <x:c r="N92" s="2"/>
      <x:c r="O92" s="2"/>
      <x:c r="P92" s="2"/>
      <x:c r="Q92" s="2"/>
      <x:c r="R92" s="2"/>
      <x:c r="S92" s="2"/>
      <x:c r="T92" s="2"/>
      <x:c r="U92" s="2"/>
      <x:c r="V92" s="2"/>
      <x:c r="W92" s="2"/>
      <x:c r="X92" s="2"/>
      <x:c r="Y92" s="2"/>
      <x:c r="Z92" s="2"/>
      <x:c r="AA92" s="2"/>
      <x:c r="AB92" s="2"/>
      <x:c r="AC92" s="2"/>
      <x:c r="AD92" s="2"/>
      <x:c r="AE92" s="2"/>
      <x:c r="AF92" s="2"/>
      <x:c r="AG92" s="2"/>
      <x:c r="AH92" s="2"/>
      <x:c r="AI92" s="2"/>
      <x:c r="AJ92" s="2"/>
      <x:c r="AK92" s="2"/>
      <x:c r="AL92" s="2"/>
      <x:c r="AM92" s="2"/>
      <x:c r="AN92" s="2"/>
      <x:c r="AO92" s="2"/>
    </x:row>
    <x:row r="93" ht="60" customHeight="1">
      <x:c r="A93" s="444" t="str">
        <x:v>$3,250M, 3.95%, due March 2051</x:v>
      </x:c>
      <x:c r="B93" s="495" t="d">
        <x:v>2051-03-25T00:00:00.000Z</x:v>
      </x:c>
      <x:c r="C93" s="496" t="n">
        <x:f>'Data'!B210</x:f>
        <x:v>0.0395</x:v>
      </x:c>
      <x:c r="D93" s="497" t="n">
        <x:f>'Payment dates'!E135</x:f>
        <x:v>3250000000</x:v>
      </x:c>
      <x:c r="E93" s="446" t="str">
        <x:v>orcl:FixedRateSeniorNotesDueMarch2051Member</x:v>
      </x:c>
      <x:c r="F93" s="446" t="n">
        <x:f>C93*D93</x:f>
        <x:v>128375000</x:v>
      </x:c>
      <x:c r="G93" s="498" t="str">
        <x:v>C_78c45de9-3a45-4a24-9a9d-682f75245066</x:v>
      </x:c>
      <x:c r="H93" s="2"/>
      <x:c r="I93" s="2"/>
      <x:c r="J93" s="2"/>
      <x:c r="K93" s="2"/>
      <x:c r="L93" s="2"/>
      <x:c r="M93" s="2"/>
      <x:c r="N93" s="2"/>
      <x:c r="O93" s="2"/>
      <x:c r="P93" s="2"/>
      <x:c r="Q93" s="2"/>
      <x:c r="R93" s="2"/>
      <x:c r="S93" s="2"/>
      <x:c r="T93" s="2"/>
      <x:c r="U93" s="2"/>
      <x:c r="V93" s="2"/>
      <x:c r="W93" s="2"/>
      <x:c r="X93" s="2"/>
      <x:c r="Y93" s="2"/>
      <x:c r="Z93" s="2"/>
      <x:c r="AA93" s="2"/>
      <x:c r="AB93" s="2"/>
      <x:c r="AC93" s="2"/>
      <x:c r="AD93" s="2"/>
      <x:c r="AE93" s="2"/>
      <x:c r="AF93" s="2"/>
      <x:c r="AG93" s="2"/>
      <x:c r="AH93" s="2"/>
      <x:c r="AI93" s="2"/>
      <x:c r="AJ93" s="2"/>
      <x:c r="AK93" s="2"/>
      <x:c r="AL93" s="2"/>
      <x:c r="AM93" s="2"/>
      <x:c r="AN93" s="2"/>
      <x:c r="AO93" s="2"/>
    </x:row>
    <x:row r="94" ht="60" customHeight="1">
      <x:c r="A94" s="444" t="str">
        <x:v>$2,500M, 6.90%, due November 2052</x:v>
      </x:c>
      <x:c r="B94" s="495" t="d">
        <x:v>2052-11-09T00:00:00.000Z</x:v>
      </x:c>
      <x:c r="C94" s="496" t="n">
        <x:f>'Data'!B211</x:f>
        <x:v>0.069</x:v>
      </x:c>
      <x:c r="D94" s="497" t="n">
        <x:f>'Payment dates'!E136</x:f>
        <x:v>2500000000</x:v>
      </x:c>
      <x:c r="E94" s="446" t="str">
        <x:v>orcl:FixedRateSeniorNotesDueNovember2052Member</x:v>
      </x:c>
      <x:c r="F94" s="446" t="n">
        <x:f>C94*D94</x:f>
        <x:v>172500000</x:v>
      </x:c>
      <x:c r="G94" s="498" t="str">
        <x:v>C_1c2c1ccf-88f9-44b3-bbba-88d5b66222e1</x:v>
      </x:c>
      <x:c r="H94" s="2"/>
      <x:c r="I94" s="2"/>
      <x:c r="J94" s="2"/>
      <x:c r="K94" s="2"/>
      <x:c r="L94" s="2"/>
      <x:c r="M94" s="2"/>
      <x:c r="N94" s="2"/>
      <x:c r="O94" s="2"/>
      <x:c r="P94" s="2"/>
      <x:c r="Q94" s="2"/>
      <x:c r="R94" s="2"/>
      <x:c r="S94" s="2"/>
      <x:c r="T94" s="2"/>
      <x:c r="U94" s="2"/>
      <x:c r="V94" s="2"/>
      <x:c r="W94" s="2"/>
      <x:c r="X94" s="2"/>
      <x:c r="Y94" s="2"/>
      <x:c r="Z94" s="2"/>
      <x:c r="AA94" s="2"/>
      <x:c r="AB94" s="2"/>
      <x:c r="AC94" s="2"/>
      <x:c r="AD94" s="2"/>
      <x:c r="AE94" s="2"/>
      <x:c r="AF94" s="2"/>
      <x:c r="AG94" s="2"/>
      <x:c r="AH94" s="2"/>
      <x:c r="AI94" s="2"/>
      <x:c r="AJ94" s="2"/>
      <x:c r="AK94" s="2"/>
      <x:c r="AL94" s="2"/>
      <x:c r="AM94" s="2"/>
      <x:c r="AN94" s="2"/>
      <x:c r="AO94" s="2"/>
    </x:row>
    <x:row r="95" ht="60" customHeight="1">
      <x:c r="A95" s="444" t="str">
        <x:v>$2,250M, 5.55%, due February 2053</x:v>
      </x:c>
      <x:c r="B95" s="495" t="d">
        <x:v>2053-02-28T00:00:00.000Z</x:v>
      </x:c>
      <x:c r="C95" s="496" t="n">
        <x:f>'Data'!B212</x:f>
        <x:v>0.0555</x:v>
      </x:c>
      <x:c r="D95" s="497" t="n">
        <x:f>'Payment dates'!E137</x:f>
        <x:v>2250000000</x:v>
      </x:c>
      <x:c r="E95" s="446" t="str">
        <x:v>orcl:FixedRateSeniorNotesDueFebruary2053Member</x:v>
      </x:c>
      <x:c r="F95" s="446" t="n">
        <x:f>C95*D95</x:f>
        <x:v>124875000</x:v>
      </x:c>
      <x:c r="G95" s="498" t="str">
        <x:v>C_275ee10c-5579-4b7f-9db6-d0c32731214a</x:v>
      </x:c>
      <x:c r="H95" s="2"/>
      <x:c r="I95" s="2"/>
      <x:c r="J95" s="2"/>
      <x:c r="K95" s="2"/>
      <x:c r="L95" s="2"/>
      <x:c r="M95" s="2"/>
      <x:c r="N95" s="2"/>
      <x:c r="O95" s="2"/>
      <x:c r="P95" s="2"/>
      <x:c r="Q95" s="2"/>
      <x:c r="R95" s="2"/>
      <x:c r="S95" s="2"/>
      <x:c r="T95" s="2"/>
      <x:c r="U95" s="2"/>
      <x:c r="V95" s="2"/>
      <x:c r="W95" s="2"/>
      <x:c r="X95" s="2"/>
      <x:c r="Y95" s="2"/>
      <x:c r="Z95" s="2"/>
      <x:c r="AA95" s="2"/>
      <x:c r="AB95" s="2"/>
      <x:c r="AC95" s="2"/>
      <x:c r="AD95" s="2"/>
      <x:c r="AE95" s="2"/>
      <x:c r="AF95" s="2"/>
      <x:c r="AG95" s="2"/>
      <x:c r="AH95" s="2"/>
      <x:c r="AI95" s="2"/>
      <x:c r="AJ95" s="2"/>
      <x:c r="AK95" s="2"/>
      <x:c r="AL95" s="2"/>
      <x:c r="AM95" s="2"/>
      <x:c r="AN95" s="2"/>
      <x:c r="AO95" s="2"/>
    </x:row>
    <x:row r="96" ht="60" customHeight="1">
      <x:c r="A96" s="444" t="str">
        <x:v>$1,750M, 5.375%, due September 2054</x:v>
      </x:c>
      <x:c r="B96" s="495" t="d">
        <x:v>2054-09-27T00:00:00.000Z</x:v>
      </x:c>
      <x:c r="C96" s="496" t="n">
        <x:f>'Data'!B213</x:f>
        <x:v>0.05375</x:v>
      </x:c>
      <x:c r="D96" s="497" t="n">
        <x:f>'Payment dates'!E138</x:f>
        <x:v>1750000000</x:v>
      </x:c>
      <x:c r="E96" s="446" t="str">
        <x:v>orcl:Fixed-RateSeniorNotesDueSeptember2054Member</x:v>
      </x:c>
      <x:c r="F96" s="446" t="n">
        <x:f>C96*D96</x:f>
        <x:v>94062500</x:v>
      </x:c>
      <x:c r="G96" s="498" t="str">
        <x:v>C_d6db44a5-2cc2-45f8-b9bb-750ce5701802</x:v>
      </x:c>
      <x:c r="H96" s="2"/>
      <x:c r="I96" s="2"/>
      <x:c r="J96" s="2"/>
      <x:c r="K96" s="2"/>
      <x:c r="L96" s="2"/>
      <x:c r="M96" s="2"/>
      <x:c r="N96" s="2"/>
      <x:c r="O96" s="2"/>
      <x:c r="P96" s="2"/>
      <x:c r="Q96" s="2"/>
      <x:c r="R96" s="2"/>
      <x:c r="S96" s="2"/>
      <x:c r="T96" s="2"/>
      <x:c r="U96" s="2"/>
      <x:c r="V96" s="2"/>
      <x:c r="W96" s="2"/>
      <x:c r="X96" s="2"/>
      <x:c r="Y96" s="2"/>
      <x:c r="Z96" s="2"/>
      <x:c r="AA96" s="2"/>
      <x:c r="AB96" s="2"/>
      <x:c r="AC96" s="2"/>
      <x:c r="AD96" s="2"/>
      <x:c r="AE96" s="2"/>
      <x:c r="AF96" s="2"/>
      <x:c r="AG96" s="2"/>
      <x:c r="AH96" s="2"/>
      <x:c r="AI96" s="2"/>
      <x:c r="AJ96" s="2"/>
      <x:c r="AK96" s="2"/>
      <x:c r="AL96" s="2"/>
      <x:c r="AM96" s="2"/>
      <x:c r="AN96" s="2"/>
      <x:c r="AO96" s="2"/>
    </x:row>
    <x:row r="97" ht="60" customHeight="1">
      <x:c r="A97" s="444" t="str">
        <x:v>$1,250M, 4.375%, due May 2055</x:v>
      </x:c>
      <x:c r="B97" s="495" t="d">
        <x:v>2055-05-15T00:00:00.000Z</x:v>
      </x:c>
      <x:c r="C97" s="496" t="n">
        <x:f>'Data'!B214</x:f>
        <x:v>0.04375</x:v>
      </x:c>
      <x:c r="D97" s="497" t="n">
        <x:f>'Payment dates'!E139</x:f>
        <x:v>1250000000</x:v>
      </x:c>
      <x:c r="E97" s="446" t="str">
        <x:v>orcl:FixedRateSeniorNotesDueMay2055Member</x:v>
      </x:c>
      <x:c r="F97" s="446" t="n">
        <x:f>C97*D97</x:f>
        <x:v>54687500</x:v>
      </x:c>
      <x:c r="G97" s="498" t="str">
        <x:v>C_10f379d0-eecf-4d69-9526-2a2acfd8110f</x:v>
      </x:c>
      <x:c r="H97" s="2"/>
      <x:c r="I97" s="2"/>
      <x:c r="J97" s="2"/>
      <x:c r="K97" s="2"/>
      <x:c r="L97" s="2"/>
      <x:c r="M97" s="2"/>
      <x:c r="N97" s="2"/>
      <x:c r="O97" s="2"/>
      <x:c r="P97" s="2"/>
      <x:c r="Q97" s="2"/>
      <x:c r="R97" s="2"/>
      <x:c r="S97" s="2"/>
      <x:c r="T97" s="2"/>
      <x:c r="U97" s="2"/>
      <x:c r="V97" s="2"/>
      <x:c r="W97" s="2"/>
      <x:c r="X97" s="2"/>
      <x:c r="Y97" s="2"/>
      <x:c r="Z97" s="2"/>
      <x:c r="AA97" s="2"/>
      <x:c r="AB97" s="2"/>
      <x:c r="AC97" s="2"/>
      <x:c r="AD97" s="2"/>
      <x:c r="AE97" s="2"/>
      <x:c r="AF97" s="2"/>
      <x:c r="AG97" s="2"/>
      <x:c r="AH97" s="2"/>
      <x:c r="AI97" s="2"/>
      <x:c r="AJ97" s="2"/>
      <x:c r="AK97" s="2"/>
      <x:c r="AL97" s="2"/>
      <x:c r="AM97" s="2"/>
      <x:c r="AN97" s="2"/>
      <x:c r="AO97" s="2"/>
    </x:row>
    <x:row r="98" ht="60" customHeight="1">
      <x:c r="A98" s="444" t="str">
        <x:v>$1,750M, 6.00%, due August 2055</x:v>
      </x:c>
      <x:c r="B98" s="495" t="d">
        <x:v>2055-08-03T00:00:00.000Z</x:v>
      </x:c>
      <x:c r="C98" s="496" t="n">
        <x:f>'Data'!B215</x:f>
        <x:v>0.06</x:v>
      </x:c>
      <x:c r="D98" s="497" t="n">
        <x:f>'Payment dates'!E140</x:f>
        <x:v>1750000000</x:v>
      </x:c>
      <x:c r="E98" s="446" t="str">
        <x:v>orcl:Fixed-RateSeniorNotesDueAugust2055Member</x:v>
      </x:c>
      <x:c r="F98" s="446" t="n">
        <x:f>C98*D98</x:f>
        <x:v>105000000</x:v>
      </x:c>
      <x:c r="G98" s="498" t="str">
        <x:v>C_6c16cb24-86ff-434f-9d08-118161063c4e</x:v>
      </x:c>
      <x:c r="H98" s="2"/>
      <x:c r="I98" s="2"/>
      <x:c r="J98" s="2"/>
      <x:c r="K98" s="2"/>
      <x:c r="L98" s="2"/>
      <x:c r="M98" s="2"/>
      <x:c r="N98" s="2"/>
      <x:c r="O98" s="2"/>
      <x:c r="P98" s="2"/>
      <x:c r="Q98" s="2"/>
      <x:c r="R98" s="2"/>
      <x:c r="S98" s="2"/>
      <x:c r="T98" s="2"/>
      <x:c r="U98" s="2"/>
      <x:c r="V98" s="2"/>
      <x:c r="W98" s="2"/>
      <x:c r="X98" s="2"/>
      <x:c r="Y98" s="2"/>
      <x:c r="Z98" s="2"/>
      <x:c r="AA98" s="2"/>
      <x:c r="AB98" s="2"/>
      <x:c r="AC98" s="2"/>
      <x:c r="AD98" s="2"/>
      <x:c r="AE98" s="2"/>
      <x:c r="AF98" s="2"/>
      <x:c r="AG98" s="2"/>
      <x:c r="AH98" s="2"/>
      <x:c r="AI98" s="2"/>
      <x:c r="AJ98" s="2"/>
      <x:c r="AK98" s="2"/>
      <x:c r="AL98" s="2"/>
      <x:c r="AM98" s="2"/>
      <x:c r="AN98" s="2"/>
      <x:c r="AO98" s="2"/>
    </x:row>
    <x:row r="99" ht="60" customHeight="1">
      <x:c r="A99" s="444" t="str">
        <x:v>$3,500M, 5.95%, due September 2055</x:v>
      </x:c>
      <x:c r="B99" s="495" t="d">
        <x:v>2055-09-26T00:00:00.000Z</x:v>
      </x:c>
      <x:c r="C99" s="496" t="n">
        <x:f>'Data'!B216</x:f>
        <x:v>0.0595</x:v>
      </x:c>
      <x:c r="D99" s="497" t="n">
        <x:f>'Payment dates'!E141</x:f>
        <x:v>3500000000</x:v>
      </x:c>
      <x:c r="E99" s="446" t="str">
        <x:v>orcl:Fixed-RateSeniorNotesDueSeptember2055Member</x:v>
      </x:c>
      <x:c r="F99" s="446" t="n">
        <x:f>C99*D99</x:f>
        <x:v>208250000</x:v>
      </x:c>
      <x:c r="G99" s="498" t="str">
        <x:v>C_2dd1f035-9a29-4212-8137-0ffb70bc95f9</x:v>
      </x:c>
      <x:c r="H99" s="2"/>
      <x:c r="I99" s="2"/>
      <x:c r="J99" s="2"/>
      <x:c r="K99" s="2"/>
      <x:c r="L99" s="2"/>
      <x:c r="M99" s="2"/>
      <x:c r="N99" s="2"/>
      <x:c r="O99" s="2"/>
      <x:c r="P99" s="2"/>
      <x:c r="Q99" s="2"/>
      <x:c r="R99" s="2"/>
      <x:c r="S99" s="2"/>
      <x:c r="T99" s="2"/>
      <x:c r="U99" s="2"/>
      <x:c r="V99" s="2"/>
      <x:c r="W99" s="2"/>
      <x:c r="X99" s="2"/>
      <x:c r="Y99" s="2"/>
      <x:c r="Z99" s="2"/>
      <x:c r="AA99" s="2"/>
      <x:c r="AB99" s="2"/>
      <x:c r="AC99" s="2"/>
      <x:c r="AD99" s="2"/>
      <x:c r="AE99" s="2"/>
      <x:c r="AF99" s="2"/>
      <x:c r="AG99" s="2"/>
      <x:c r="AH99" s="2"/>
      <x:c r="AI99" s="2"/>
      <x:c r="AJ99" s="2"/>
      <x:c r="AK99" s="2"/>
      <x:c r="AL99" s="2"/>
      <x:c r="AM99" s="2"/>
      <x:c r="AN99" s="2"/>
      <x:c r="AO99" s="2"/>
    </x:row>
    <x:row r="100" ht="60" customHeight="1">
      <x:c r="A100" s="444" t="str">
        <x:v>$5,000M, 6.70%, due February 2056</x:v>
      </x:c>
      <x:c r="B100" s="495" t="d">
        <x:v>2056-02-04T00:00:00.000Z</x:v>
      </x:c>
      <x:c r="C100" s="496" t="n">
        <x:f>'Data'!B217</x:f>
        <x:v>0.067</x:v>
      </x:c>
      <x:c r="D100" s="497" t="n">
        <x:f>'Payment dates'!E142</x:f>
        <x:v>5000000000</x:v>
      </x:c>
      <x:c r="E100" s="446" t="str">
        <x:v>orcl:Fixed-RateSeniorNotesDueFebruary2056Member</x:v>
      </x:c>
      <x:c r="F100" s="446" t="n">
        <x:f>C100*D100</x:f>
        <x:v>335000000</x:v>
      </x:c>
      <x:c r="G100" s="498" t="str">
        <x:v>C_470c4dd1-b044-4c06-b569-b9f227d4bcc6</x:v>
      </x:c>
      <x:c r="H100" s="2"/>
      <x:c r="I100" s="2"/>
      <x:c r="J100" s="2"/>
      <x:c r="K100" s="2"/>
      <x:c r="L100" s="2"/>
      <x:c r="M100" s="2"/>
      <x:c r="N100" s="2"/>
      <x:c r="O100" s="2"/>
      <x:c r="P100" s="2"/>
      <x:c r="Q100" s="2"/>
      <x:c r="R100" s="2"/>
      <x:c r="S100" s="2"/>
      <x:c r="T100" s="2"/>
      <x:c r="U100" s="2"/>
      <x:c r="V100" s="2"/>
      <x:c r="W100" s="2"/>
      <x:c r="X100" s="2"/>
      <x:c r="Y100" s="2"/>
      <x:c r="Z100" s="2"/>
      <x:c r="AA100" s="2"/>
      <x:c r="AB100" s="2"/>
      <x:c r="AC100" s="2"/>
      <x:c r="AD100" s="2"/>
      <x:c r="AE100" s="2"/>
      <x:c r="AF100" s="2"/>
      <x:c r="AG100" s="2"/>
      <x:c r="AH100" s="2"/>
      <x:c r="AI100" s="2"/>
      <x:c r="AJ100" s="2"/>
      <x:c r="AK100" s="2"/>
      <x:c r="AL100" s="2"/>
      <x:c r="AM100" s="2"/>
      <x:c r="AN100" s="2"/>
      <x:c r="AO100" s="2"/>
    </x:row>
    <x:row r="101" ht="60" customHeight="1">
      <x:c r="A101" s="444" t="str">
        <x:v>$3,500M, 3.85%, due April 2060</x:v>
      </x:c>
      <x:c r="B101" s="495" t="d">
        <x:v>2060-04-01T00:00:00.000Z</x:v>
      </x:c>
      <x:c r="C101" s="496" t="n">
        <x:f>'Data'!B218</x:f>
        <x:v>0.0385</x:v>
      </x:c>
      <x:c r="D101" s="497" t="n">
        <x:f>'Payment dates'!E143</x:f>
        <x:v>3500000000</x:v>
      </x:c>
      <x:c r="E101" s="446" t="str">
        <x:v>orcl:FixedRateSeniorNotesDueApril2060Member</x:v>
      </x:c>
      <x:c r="F101" s="446" t="n">
        <x:f>C101*D101</x:f>
        <x:v>134750000</x:v>
      </x:c>
      <x:c r="G101" s="498" t="str">
        <x:v>C_72ade28f-8b47-4d01-b51d-ad50b6ab1306</x:v>
      </x:c>
      <x:c r="H101" s="2"/>
      <x:c r="I101" s="2"/>
      <x:c r="J101" s="2"/>
      <x:c r="K101" s="2"/>
      <x:c r="L101" s="2"/>
      <x:c r="M101" s="2"/>
      <x:c r="N101" s="2"/>
      <x:c r="O101" s="2"/>
      <x:c r="P101" s="2"/>
      <x:c r="Q101" s="2"/>
      <x:c r="R101" s="2"/>
      <x:c r="S101" s="2"/>
      <x:c r="T101" s="2"/>
      <x:c r="U101" s="2"/>
      <x:c r="V101" s="2"/>
      <x:c r="W101" s="2"/>
      <x:c r="X101" s="2"/>
      <x:c r="Y101" s="2"/>
      <x:c r="Z101" s="2"/>
      <x:c r="AA101" s="2"/>
      <x:c r="AB101" s="2"/>
      <x:c r="AC101" s="2"/>
      <x:c r="AD101" s="2"/>
      <x:c r="AE101" s="2"/>
      <x:c r="AF101" s="2"/>
      <x:c r="AG101" s="2"/>
      <x:c r="AH101" s="2"/>
      <x:c r="AI101" s="2"/>
      <x:c r="AJ101" s="2"/>
      <x:c r="AK101" s="2"/>
      <x:c r="AL101" s="2"/>
      <x:c r="AM101" s="2"/>
      <x:c r="AN101" s="2"/>
      <x:c r="AO101" s="2"/>
    </x:row>
    <x:row r="102" ht="60" customHeight="1">
      <x:c r="A102" s="444" t="str">
        <x:v>$1,500M, 4.10%, due March 2061</x:v>
      </x:c>
      <x:c r="B102" s="495" t="d">
        <x:v>2061-03-25T00:00:00.000Z</x:v>
      </x:c>
      <x:c r="C102" s="496" t="n">
        <x:f>'Data'!B219</x:f>
        <x:v>0.041</x:v>
      </x:c>
      <x:c r="D102" s="497" t="n">
        <x:f>'Payment dates'!E144</x:f>
        <x:v>1500000000</x:v>
      </x:c>
      <x:c r="E102" s="446" t="str">
        <x:v>orcl:FixedRateSeniorNotesDueMarch2061Member</x:v>
      </x:c>
      <x:c r="F102" s="446" t="n">
        <x:f>C102*D102</x:f>
        <x:v>61500000</x:v>
      </x:c>
      <x:c r="G102" s="498" t="str">
        <x:v>C_b75cf642-988f-4748-9e3d-32020e3a1e6e</x:v>
      </x:c>
      <x:c r="H102" s="2"/>
      <x:c r="I102" s="2"/>
      <x:c r="J102" s="2"/>
      <x:c r="K102" s="2"/>
      <x:c r="L102" s="2"/>
      <x:c r="M102" s="2"/>
      <x:c r="N102" s="2"/>
      <x:c r="O102" s="2"/>
      <x:c r="P102" s="2"/>
      <x:c r="Q102" s="2"/>
      <x:c r="R102" s="2"/>
      <x:c r="S102" s="2"/>
      <x:c r="T102" s="2"/>
      <x:c r="U102" s="2"/>
      <x:c r="V102" s="2"/>
      <x:c r="W102" s="2"/>
      <x:c r="X102" s="2"/>
      <x:c r="Y102" s="2"/>
      <x:c r="Z102" s="2"/>
      <x:c r="AA102" s="2"/>
      <x:c r="AB102" s="2"/>
      <x:c r="AC102" s="2"/>
      <x:c r="AD102" s="2"/>
      <x:c r="AE102" s="2"/>
      <x:c r="AF102" s="2"/>
      <x:c r="AG102" s="2"/>
      <x:c r="AH102" s="2"/>
      <x:c r="AI102" s="2"/>
      <x:c r="AJ102" s="2"/>
      <x:c r="AK102" s="2"/>
      <x:c r="AL102" s="2"/>
      <x:c r="AM102" s="2"/>
      <x:c r="AN102" s="2"/>
      <x:c r="AO102" s="2"/>
    </x:row>
    <x:row r="103" ht="60" customHeight="1">
      <x:c r="A103" s="444" t="str">
        <x:v>$1,250M, 5.50%, due September 2064</x:v>
      </x:c>
      <x:c r="B103" s="495" t="d">
        <x:v>2064-09-27T00:00:00.000Z</x:v>
      </x:c>
      <x:c r="C103" s="496" t="n">
        <x:f>'Data'!B220</x:f>
        <x:v>0.055</x:v>
      </x:c>
      <x:c r="D103" s="497" t="n">
        <x:f>'Payment dates'!E145</x:f>
        <x:v>1250000000</x:v>
      </x:c>
      <x:c r="E103" s="446" t="str">
        <x:v>orcl:Fixed-RateSeniorNotesDueSeptember2064Member</x:v>
      </x:c>
      <x:c r="F103" s="446" t="n">
        <x:f>C103*D103</x:f>
        <x:v>68750000</x:v>
      </x:c>
      <x:c r="G103" s="498" t="str">
        <x:v>C_0d59a7d6-884c-46a0-8e28-22708f737f7d</x:v>
      </x:c>
      <x:c r="H103" s="2"/>
      <x:c r="I103" s="2"/>
      <x:c r="J103" s="2"/>
      <x:c r="K103" s="2"/>
      <x:c r="L103" s="2"/>
      <x:c r="M103" s="2"/>
      <x:c r="N103" s="2"/>
      <x:c r="O103" s="2"/>
      <x:c r="P103" s="2"/>
      <x:c r="Q103" s="2"/>
      <x:c r="R103" s="2"/>
      <x:c r="S103" s="2"/>
      <x:c r="T103" s="2"/>
      <x:c r="U103" s="2"/>
      <x:c r="V103" s="2"/>
      <x:c r="W103" s="2"/>
      <x:c r="X103" s="2"/>
      <x:c r="Y103" s="2"/>
      <x:c r="Z103" s="2"/>
      <x:c r="AA103" s="2"/>
      <x:c r="AB103" s="2"/>
      <x:c r="AC103" s="2"/>
      <x:c r="AD103" s="2"/>
      <x:c r="AE103" s="2"/>
      <x:c r="AF103" s="2"/>
      <x:c r="AG103" s="2"/>
      <x:c r="AH103" s="2"/>
      <x:c r="AI103" s="2"/>
      <x:c r="AJ103" s="2"/>
      <x:c r="AK103" s="2"/>
      <x:c r="AL103" s="2"/>
      <x:c r="AM103" s="2"/>
      <x:c r="AN103" s="2"/>
      <x:c r="AO103" s="2"/>
    </x:row>
    <x:row r="104" ht="60" customHeight="1">
      <x:c r="A104" s="444" t="str">
        <x:v>$1,000M, 6.125%, due August 2065</x:v>
      </x:c>
      <x:c r="B104" s="495" t="d">
        <x:v>2065-08-03T00:00:00.000Z</x:v>
      </x:c>
      <x:c r="C104" s="496" t="n">
        <x:f>'Data'!B221</x:f>
        <x:v>0.06125</x:v>
      </x:c>
      <x:c r="D104" s="497" t="n">
        <x:f>'Payment dates'!E146</x:f>
        <x:v>1000000000</x:v>
      </x:c>
      <x:c r="E104" s="446" t="str">
        <x:v>orcl:Fixed-RateSeniorNotesDueAugust2065Member</x:v>
      </x:c>
      <x:c r="F104" s="446" t="n">
        <x:f>C104*D104</x:f>
        <x:v>61250000</x:v>
      </x:c>
      <x:c r="G104" s="498" t="str">
        <x:v>C_e4423b6e-8f9e-4ed3-b891-83bcb06a00e7</x:v>
      </x:c>
      <x:c r="H104" s="2"/>
      <x:c r="I104" s="2"/>
      <x:c r="J104" s="2"/>
      <x:c r="K104" s="2"/>
      <x:c r="L104" s="2"/>
      <x:c r="M104" s="2"/>
      <x:c r="N104" s="2"/>
      <x:c r="O104" s="2"/>
      <x:c r="P104" s="2"/>
      <x:c r="Q104" s="2"/>
      <x:c r="R104" s="2"/>
      <x:c r="S104" s="2"/>
      <x:c r="T104" s="2"/>
      <x:c r="U104" s="2"/>
      <x:c r="V104" s="2"/>
      <x:c r="W104" s="2"/>
      <x:c r="X104" s="2"/>
      <x:c r="Y104" s="2"/>
      <x:c r="Z104" s="2"/>
      <x:c r="AA104" s="2"/>
      <x:c r="AB104" s="2"/>
      <x:c r="AC104" s="2"/>
      <x:c r="AD104" s="2"/>
      <x:c r="AE104" s="2"/>
      <x:c r="AF104" s="2"/>
      <x:c r="AG104" s="2"/>
      <x:c r="AH104" s="2"/>
      <x:c r="AI104" s="2"/>
      <x:c r="AJ104" s="2"/>
      <x:c r="AK104" s="2"/>
      <x:c r="AL104" s="2"/>
      <x:c r="AM104" s="2"/>
      <x:c r="AN104" s="2"/>
      <x:c r="AO104" s="2"/>
    </x:row>
    <x:row r="105" ht="60" customHeight="1">
      <x:c r="A105" s="444" t="str">
        <x:v>$2,000M, 6.10%, due September 2065</x:v>
      </x:c>
      <x:c r="B105" s="495" t="d">
        <x:v>2065-09-26T00:00:00.000Z</x:v>
      </x:c>
      <x:c r="C105" s="496" t="n">
        <x:f>'Data'!B222</x:f>
        <x:v>0.061</x:v>
      </x:c>
      <x:c r="D105" s="497" t="n">
        <x:f>'Payment dates'!E147</x:f>
        <x:v>2000000000</x:v>
      </x:c>
      <x:c r="E105" s="446" t="str">
        <x:v>orcl:Fixed-RateSeniorNotesDueSeptember2065Member</x:v>
      </x:c>
      <x:c r="F105" s="446" t="n">
        <x:f>C105*D105</x:f>
        <x:v>122000000</x:v>
      </x:c>
      <x:c r="G105" s="498" t="str">
        <x:v>C_b1d66ac5-86bb-48a1-9fd7-0f91b2f20166</x:v>
      </x:c>
      <x:c r="H105" s="2"/>
      <x:c r="I105" s="2"/>
      <x:c r="J105" s="2"/>
      <x:c r="K105" s="2"/>
      <x:c r="L105" s="2"/>
      <x:c r="M105" s="2"/>
      <x:c r="N105" s="2"/>
      <x:c r="O105" s="2"/>
      <x:c r="P105" s="2"/>
      <x:c r="Q105" s="2"/>
      <x:c r="R105" s="2"/>
      <x:c r="S105" s="2"/>
      <x:c r="T105" s="2"/>
      <x:c r="U105" s="2"/>
      <x:c r="V105" s="2"/>
      <x:c r="W105" s="2"/>
      <x:c r="X105" s="2"/>
      <x:c r="Y105" s="2"/>
      <x:c r="Z105" s="2"/>
      <x:c r="AA105" s="2"/>
      <x:c r="AB105" s="2"/>
      <x:c r="AC105" s="2"/>
      <x:c r="AD105" s="2"/>
      <x:c r="AE105" s="2"/>
      <x:c r="AF105" s="2"/>
      <x:c r="AG105" s="2"/>
      <x:c r="AH105" s="2"/>
      <x:c r="AI105" s="2"/>
      <x:c r="AJ105" s="2"/>
      <x:c r="AK105" s="2"/>
      <x:c r="AL105" s="2"/>
      <x:c r="AM105" s="2"/>
      <x:c r="AN105" s="2"/>
      <x:c r="AO105" s="2"/>
    </x:row>
    <x:row r="106" ht="60" customHeight="1">
      <x:c r="A106" s="449" t="str">
        <x:v>$2,750M, 6.85%, due February 2066</x:v>
      </x:c>
      <x:c r="B106" s="499" t="d">
        <x:v>2066-02-04T00:00:00.000Z</x:v>
      </x:c>
      <x:c r="C106" s="500" t="n">
        <x:f>'Data'!B223</x:f>
        <x:v>0.0685</x:v>
      </x:c>
      <x:c r="D106" s="501" t="n">
        <x:f>'Payment dates'!E148</x:f>
        <x:v>2750000000</x:v>
      </x:c>
      <x:c r="E106" s="451" t="str">
        <x:v>orcl:Fixed-RateSeniorNotesDueFebruary2066Member</x:v>
      </x:c>
      <x:c r="F106" s="451" t="n">
        <x:f>C106*D106</x:f>
        <x:v>188375000</x:v>
      </x:c>
      <x:c r="G106" s="502" t="str">
        <x:v>C_9d3c0b91-ca57-49e8-bcd6-845c7dd4a592</x:v>
      </x:c>
      <x:c r="H106" s="2"/>
      <x:c r="I106" s="2"/>
      <x:c r="J106" s="2"/>
      <x:c r="K106" s="2"/>
      <x:c r="L106" s="2"/>
      <x:c r="M106" s="2"/>
      <x:c r="N106" s="2"/>
      <x:c r="O106" s="2"/>
      <x:c r="P106" s="2"/>
      <x:c r="Q106" s="2"/>
      <x:c r="R106" s="2"/>
      <x:c r="S106" s="2"/>
      <x:c r="T106" s="2"/>
      <x:c r="U106" s="2"/>
      <x:c r="V106" s="2"/>
      <x:c r="W106" s="2"/>
      <x:c r="X106" s="2"/>
      <x:c r="Y106" s="2"/>
      <x:c r="Z106" s="2"/>
      <x:c r="AA106" s="2"/>
      <x:c r="AB106" s="2"/>
      <x:c r="AC106" s="2"/>
      <x:c r="AD106" s="2"/>
      <x:c r="AE106" s="2"/>
      <x:c r="AF106" s="2"/>
      <x:c r="AG106" s="2"/>
      <x:c r="AH106" s="2"/>
      <x:c r="AI106" s="2"/>
      <x:c r="AJ106" s="2"/>
      <x:c r="AK106" s="2"/>
      <x:c r="AL106" s="2"/>
      <x:c r="AM106" s="2"/>
      <x:c r="AN106" s="2"/>
      <x:c r="AO106" s="2"/>
    </x:row>
    <x:row r="107" ht="60" customHeight="1">
      <x:c r="A107" s="201"/>
      <x:c r="B107" s="201"/>
      <x:c r="C107" s="201"/>
      <x:c r="D107" s="201"/>
      <x:c r="E107" s="201"/>
      <x:c r="F107" s="201"/>
      <x:c r="G107" s="201"/>
      <x:c r="H107" s="2"/>
      <x:c r="I107" s="2"/>
      <x:c r="J107" s="2"/>
      <x:c r="K107" s="2"/>
      <x:c r="L107" s="2"/>
      <x:c r="M107" s="2"/>
      <x:c r="N107" s="2"/>
      <x:c r="O107" s="2"/>
      <x:c r="P107" s="2"/>
      <x:c r="Q107" s="2"/>
      <x:c r="R107" s="2"/>
      <x:c r="S107" s="2"/>
      <x:c r="T107" s="2"/>
      <x:c r="U107" s="2"/>
      <x:c r="V107" s="2"/>
      <x:c r="W107" s="2"/>
      <x:c r="X107" s="2"/>
      <x:c r="Y107" s="2"/>
      <x:c r="Z107" s="2"/>
      <x:c r="AA107" s="2"/>
      <x:c r="AB107" s="2"/>
      <x:c r="AC107" s="2"/>
      <x:c r="AD107" s="2"/>
      <x:c r="AE107" s="2"/>
      <x:c r="AF107" s="2"/>
      <x:c r="AG107" s="2"/>
      <x:c r="AH107" s="2"/>
      <x:c r="AI107" s="2"/>
      <x:c r="AJ107" s="2"/>
      <x:c r="AK107" s="2"/>
      <x:c r="AL107" s="2"/>
      <x:c r="AM107" s="2"/>
      <x:c r="AN107" s="2"/>
      <x:c r="AO107" s="2"/>
    </x:row>
    <x:row r="108" ht="60" customHeight="1">
      <x:c r="A108" s="201"/>
      <x:c r="B108" s="201"/>
      <x:c r="C108" s="201"/>
      <x:c r="D108" s="201"/>
      <x:c r="E108" s="201"/>
      <x:c r="F108" s="201"/>
      <x:c r="G108" s="201"/>
      <x:c r="H108" s="2"/>
      <x:c r="I108" s="2"/>
      <x:c r="J108" s="2"/>
      <x:c r="K108" s="2"/>
      <x:c r="L108" s="2"/>
      <x:c r="M108" s="2"/>
      <x:c r="N108" s="2"/>
      <x:c r="O108" s="2"/>
      <x:c r="P108" s="2"/>
      <x:c r="Q108" s="2"/>
      <x:c r="R108" s="2"/>
      <x:c r="S108" s="2"/>
      <x:c r="T108" s="2"/>
      <x:c r="U108" s="2"/>
      <x:c r="V108" s="2"/>
      <x:c r="W108" s="2"/>
      <x:c r="X108" s="2"/>
      <x:c r="Y108" s="2"/>
      <x:c r="Z108" s="2"/>
      <x:c r="AA108" s="2"/>
      <x:c r="AB108" s="2"/>
      <x:c r="AC108" s="2"/>
      <x:c r="AD108" s="2"/>
      <x:c r="AE108" s="2"/>
      <x:c r="AF108" s="2"/>
      <x:c r="AG108" s="2"/>
      <x:c r="AH108" s="2"/>
      <x:c r="AI108" s="2"/>
      <x:c r="AJ108" s="2"/>
      <x:c r="AK108" s="2"/>
      <x:c r="AL108" s="2"/>
      <x:c r="AM108" s="2"/>
      <x:c r="AN108" s="2"/>
      <x:c r="AO108" s="2"/>
    </x:row>
    <x:row r="109" ht="60" customHeight="1">
      <x:c r="A109" s="201"/>
      <x:c r="B109" s="201"/>
      <x:c r="C109" s="201"/>
      <x:c r="D109" s="201"/>
      <x:c r="E109" s="201"/>
      <x:c r="F109" s="201"/>
      <x:c r="G109" s="201"/>
      <x:c r="H109" s="2"/>
      <x:c r="I109" s="2"/>
      <x:c r="J109" s="2"/>
      <x:c r="K109" s="2"/>
      <x:c r="L109" s="2"/>
      <x:c r="M109" s="2"/>
      <x:c r="N109" s="2"/>
      <x:c r="O109" s="2"/>
      <x:c r="P109" s="2"/>
      <x:c r="Q109" s="2"/>
      <x:c r="R109" s="2"/>
      <x:c r="S109" s="2"/>
      <x:c r="T109" s="2"/>
      <x:c r="U109" s="2"/>
      <x:c r="V109" s="2"/>
      <x:c r="W109" s="2"/>
      <x:c r="X109" s="2"/>
      <x:c r="Y109" s="2"/>
      <x:c r="Z109" s="2"/>
      <x:c r="AA109" s="2"/>
      <x:c r="AB109" s="2"/>
      <x:c r="AC109" s="2"/>
      <x:c r="AD109" s="2"/>
      <x:c r="AE109" s="2"/>
      <x:c r="AF109" s="2"/>
      <x:c r="AG109" s="2"/>
      <x:c r="AH109" s="2"/>
      <x:c r="AI109" s="2"/>
      <x:c r="AJ109" s="2"/>
      <x:c r="AK109" s="2"/>
      <x:c r="AL109" s="2"/>
      <x:c r="AM109" s="2"/>
      <x:c r="AN109" s="2"/>
      <x:c r="AO109" s="2"/>
    </x:row>
    <x:row r="110" ht="60" customHeight="1">
      <x:c r="A110" s="201"/>
      <x:c r="B110" s="201"/>
      <x:c r="C110" s="201"/>
      <x:c r="D110" s="201"/>
      <x:c r="E110" s="201"/>
      <x:c r="F110" s="201"/>
      <x:c r="G110" s="201"/>
      <x:c r="H110" s="2"/>
      <x:c r="I110" s="2"/>
      <x:c r="J110" s="2"/>
      <x:c r="K110" s="2"/>
      <x:c r="L110" s="2"/>
      <x:c r="M110" s="2"/>
      <x:c r="N110" s="2"/>
      <x:c r="O110" s="2"/>
      <x:c r="P110" s="2"/>
      <x:c r="Q110" s="2"/>
      <x:c r="R110" s="2"/>
      <x:c r="S110" s="2"/>
      <x:c r="T110" s="2"/>
      <x:c r="U110" s="2"/>
      <x:c r="V110" s="2"/>
      <x:c r="W110" s="2"/>
      <x:c r="X110" s="2"/>
      <x:c r="Y110" s="2"/>
      <x:c r="Z110" s="2"/>
      <x:c r="AA110" s="2"/>
      <x:c r="AB110" s="2"/>
      <x:c r="AC110" s="2"/>
      <x:c r="AD110" s="2"/>
      <x:c r="AE110" s="2"/>
      <x:c r="AF110" s="2"/>
      <x:c r="AG110" s="2"/>
      <x:c r="AH110" s="2"/>
      <x:c r="AI110" s="2"/>
      <x:c r="AJ110" s="2"/>
      <x:c r="AK110" s="2"/>
      <x:c r="AL110" s="2"/>
      <x:c r="AM110" s="2"/>
      <x:c r="AN110" s="2"/>
      <x:c r="AO110" s="2"/>
    </x:row>
    <x:row r="111" ht="60" customHeight="1">
      <x:c r="A111" s="201"/>
      <x:c r="B111" s="201"/>
      <x:c r="C111" s="201"/>
      <x:c r="D111" s="201"/>
      <x:c r="E111" s="201"/>
      <x:c r="F111" s="201"/>
      <x:c r="G111" s="201"/>
      <x:c r="H111" s="2"/>
      <x:c r="I111" s="2"/>
      <x:c r="J111" s="2"/>
      <x:c r="K111" s="2"/>
      <x:c r="L111" s="2"/>
      <x:c r="M111" s="2"/>
      <x:c r="N111" s="2"/>
      <x:c r="O111" s="2"/>
      <x:c r="P111" s="2"/>
      <x:c r="Q111" s="2"/>
      <x:c r="R111" s="2"/>
      <x:c r="S111" s="2"/>
      <x:c r="T111" s="2"/>
      <x:c r="U111" s="2"/>
      <x:c r="V111" s="2"/>
      <x:c r="W111" s="2"/>
      <x:c r="X111" s="2"/>
      <x:c r="Y111" s="2"/>
      <x:c r="Z111" s="2"/>
      <x:c r="AA111" s="2"/>
      <x:c r="AB111" s="2"/>
      <x:c r="AC111" s="2"/>
      <x:c r="AD111" s="2"/>
      <x:c r="AE111" s="2"/>
      <x:c r="AF111" s="2"/>
      <x:c r="AG111" s="2"/>
      <x:c r="AH111" s="2"/>
      <x:c r="AI111" s="2"/>
      <x:c r="AJ111" s="2"/>
      <x:c r="AK111" s="2"/>
      <x:c r="AL111" s="2"/>
      <x:c r="AM111" s="2"/>
      <x:c r="AN111" s="2"/>
      <x:c r="AO111" s="2"/>
    </x:row>
    <x:row r="112" ht="60" customHeight="1">
      <x:c r="A112" s="201"/>
      <x:c r="B112" s="201"/>
      <x:c r="C112" s="201"/>
      <x:c r="D112" s="201"/>
      <x:c r="E112" s="201"/>
      <x:c r="F112" s="201"/>
      <x:c r="G112" s="201"/>
      <x:c r="H112" s="2"/>
      <x:c r="I112" s="2"/>
      <x:c r="J112" s="2"/>
      <x:c r="K112" s="2"/>
      <x:c r="L112" s="2"/>
      <x:c r="M112" s="2"/>
      <x:c r="N112" s="2"/>
      <x:c r="O112" s="2"/>
      <x:c r="P112" s="2"/>
      <x:c r="Q112" s="2"/>
      <x:c r="R112" s="2"/>
      <x:c r="S112" s="2"/>
      <x:c r="T112" s="2"/>
      <x:c r="U112" s="2"/>
      <x:c r="V112" s="2"/>
      <x:c r="W112" s="2"/>
      <x:c r="X112" s="2"/>
      <x:c r="Y112" s="2"/>
      <x:c r="Z112" s="2"/>
      <x:c r="AA112" s="2"/>
      <x:c r="AB112" s="2"/>
      <x:c r="AC112" s="2"/>
      <x:c r="AD112" s="2"/>
      <x:c r="AE112" s="2"/>
      <x:c r="AF112" s="2"/>
      <x:c r="AG112" s="2"/>
      <x:c r="AH112" s="2"/>
      <x:c r="AI112" s="2"/>
      <x:c r="AJ112" s="2"/>
      <x:c r="AK112" s="2"/>
      <x:c r="AL112" s="2"/>
      <x:c r="AM112" s="2"/>
      <x:c r="AN112" s="2"/>
      <x:c r="AO112" s="2"/>
    </x:row>
    <x:row r="113" ht="60" customHeight="1">
      <x:c r="A113" s="201"/>
      <x:c r="B113" s="201"/>
      <x:c r="C113" s="201"/>
      <x:c r="D113" s="201"/>
      <x:c r="E113" s="201"/>
      <x:c r="F113" s="201"/>
      <x:c r="G113" s="201"/>
      <x:c r="H113" s="2"/>
      <x:c r="I113" s="2"/>
      <x:c r="J113" s="2"/>
      <x:c r="K113" s="2"/>
      <x:c r="L113" s="2"/>
      <x:c r="M113" s="2"/>
      <x:c r="N113" s="2"/>
      <x:c r="O113" s="2"/>
      <x:c r="P113" s="2"/>
      <x:c r="Q113" s="2"/>
      <x:c r="R113" s="2"/>
      <x:c r="S113" s="2"/>
      <x:c r="T113" s="2"/>
      <x:c r="U113" s="2"/>
      <x:c r="V113" s="2"/>
      <x:c r="W113" s="2"/>
      <x:c r="X113" s="2"/>
      <x:c r="Y113" s="2"/>
      <x:c r="Z113" s="2"/>
      <x:c r="AA113" s="2"/>
      <x:c r="AB113" s="2"/>
      <x:c r="AC113" s="2"/>
      <x:c r="AD113" s="2"/>
      <x:c r="AE113" s="2"/>
      <x:c r="AF113" s="2"/>
      <x:c r="AG113" s="2"/>
      <x:c r="AH113" s="2"/>
      <x:c r="AI113" s="2"/>
      <x:c r="AJ113" s="2"/>
      <x:c r="AK113" s="2"/>
      <x:c r="AL113" s="2"/>
      <x:c r="AM113" s="2"/>
      <x:c r="AN113" s="2"/>
      <x:c r="AO113" s="2"/>
    </x:row>
    <x:row r="114" ht="60" customHeight="1">
      <x:c r="A114" s="201"/>
      <x:c r="B114" s="201"/>
      <x:c r="C114" s="201"/>
      <x:c r="D114" s="201"/>
      <x:c r="E114" s="201"/>
      <x:c r="F114" s="201"/>
      <x:c r="G114" s="201"/>
      <x:c r="H114" s="2"/>
      <x:c r="I114" s="2"/>
      <x:c r="J114" s="2"/>
      <x:c r="K114" s="2"/>
      <x:c r="L114" s="2"/>
      <x:c r="M114" s="2"/>
      <x:c r="N114" s="2"/>
      <x:c r="O114" s="2"/>
      <x:c r="P114" s="2"/>
      <x:c r="Q114" s="2"/>
      <x:c r="R114" s="2"/>
      <x:c r="S114" s="2"/>
      <x:c r="T114" s="2"/>
      <x:c r="U114" s="2"/>
      <x:c r="V114" s="2"/>
      <x:c r="W114" s="2"/>
      <x:c r="X114" s="2"/>
      <x:c r="Y114" s="2"/>
      <x:c r="Z114" s="2"/>
      <x:c r="AA114" s="2"/>
      <x:c r="AB114" s="2"/>
      <x:c r="AC114" s="2"/>
      <x:c r="AD114" s="2"/>
      <x:c r="AE114" s="2"/>
      <x:c r="AF114" s="2"/>
      <x:c r="AG114" s="2"/>
      <x:c r="AH114" s="2"/>
      <x:c r="AI114" s="2"/>
      <x:c r="AJ114" s="2"/>
      <x:c r="AK114" s="2"/>
      <x:c r="AL114" s="2"/>
      <x:c r="AM114" s="2"/>
      <x:c r="AN114" s="2"/>
      <x:c r="AO114" s="2"/>
    </x:row>
    <x:row r="115" ht="60" customHeight="1">
      <x:c r="A115" s="201"/>
      <x:c r="B115" s="201"/>
      <x:c r="C115" s="201"/>
      <x:c r="D115" s="201"/>
      <x:c r="E115" s="201"/>
      <x:c r="F115" s="201"/>
      <x:c r="G115" s="201"/>
      <x:c r="H115" s="2"/>
      <x:c r="I115" s="2"/>
      <x:c r="J115" s="2"/>
      <x:c r="K115" s="2"/>
      <x:c r="L115" s="2"/>
      <x:c r="M115" s="2"/>
      <x:c r="N115" s="2"/>
      <x:c r="O115" s="2"/>
      <x:c r="P115" s="2"/>
      <x:c r="Q115" s="2"/>
      <x:c r="R115" s="2"/>
      <x:c r="S115" s="2"/>
      <x:c r="T115" s="2"/>
      <x:c r="U115" s="2"/>
      <x:c r="V115" s="2"/>
      <x:c r="W115" s="2"/>
      <x:c r="X115" s="2"/>
      <x:c r="Y115" s="2"/>
      <x:c r="Z115" s="2"/>
      <x:c r="AA115" s="2"/>
      <x:c r="AB115" s="2"/>
      <x:c r="AC115" s="2"/>
      <x:c r="AD115" s="2"/>
      <x:c r="AE115" s="2"/>
      <x:c r="AF115" s="2"/>
      <x:c r="AG115" s="2"/>
      <x:c r="AH115" s="2"/>
      <x:c r="AI115" s="2"/>
      <x:c r="AJ115" s="2"/>
      <x:c r="AK115" s="2"/>
      <x:c r="AL115" s="2"/>
      <x:c r="AM115" s="2"/>
      <x:c r="AN115" s="2"/>
      <x:c r="AO115" s="2"/>
    </x:row>
    <x:row r="116" ht="60" customHeight="1">
      <x:c r="A116" s="201"/>
      <x:c r="B116" s="201"/>
      <x:c r="C116" s="201"/>
      <x:c r="D116" s="201"/>
      <x:c r="E116" s="201"/>
      <x:c r="F116" s="201"/>
      <x:c r="G116" s="201"/>
      <x:c r="H116" s="2"/>
      <x:c r="I116" s="2"/>
      <x:c r="J116" s="2"/>
      <x:c r="K116" s="2"/>
      <x:c r="L116" s="2"/>
      <x:c r="M116" s="2"/>
      <x:c r="N116" s="2"/>
      <x:c r="O116" s="2"/>
      <x:c r="P116" s="2"/>
      <x:c r="Q116" s="2"/>
      <x:c r="R116" s="2"/>
      <x:c r="S116" s="2"/>
      <x:c r="T116" s="2"/>
      <x:c r="U116" s="2"/>
      <x:c r="V116" s="2"/>
      <x:c r="W116" s="2"/>
      <x:c r="X116" s="2"/>
      <x:c r="Y116" s="2"/>
      <x:c r="Z116" s="2"/>
      <x:c r="AA116" s="2"/>
      <x:c r="AB116" s="2"/>
      <x:c r="AC116" s="2"/>
      <x:c r="AD116" s="2"/>
      <x:c r="AE116" s="2"/>
      <x:c r="AF116" s="2"/>
      <x:c r="AG116" s="2"/>
      <x:c r="AH116" s="2"/>
      <x:c r="AI116" s="2"/>
      <x:c r="AJ116" s="2"/>
      <x:c r="AK116" s="2"/>
      <x:c r="AL116" s="2"/>
      <x:c r="AM116" s="2"/>
      <x:c r="AN116" s="2"/>
      <x:c r="AO116" s="2"/>
    </x:row>
    <x:row r="117" ht="60" customHeight="1">
      <x:c r="A117" s="201"/>
      <x:c r="B117" s="201"/>
      <x:c r="C117" s="201"/>
      <x:c r="D117" s="201"/>
      <x:c r="E117" s="201"/>
      <x:c r="F117" s="201"/>
      <x:c r="G117" s="201"/>
      <x:c r="H117" s="2"/>
      <x:c r="I117" s="2"/>
      <x:c r="J117" s="2"/>
      <x:c r="K117" s="2"/>
      <x:c r="L117" s="2"/>
      <x:c r="M117" s="2"/>
      <x:c r="N117" s="2"/>
      <x:c r="O117" s="2"/>
      <x:c r="P117" s="2"/>
      <x:c r="Q117" s="2"/>
      <x:c r="R117" s="2"/>
      <x:c r="S117" s="2"/>
      <x:c r="T117" s="2"/>
      <x:c r="U117" s="2"/>
      <x:c r="V117" s="2"/>
      <x:c r="W117" s="2"/>
      <x:c r="X117" s="2"/>
      <x:c r="Y117" s="2"/>
      <x:c r="Z117" s="2"/>
      <x:c r="AA117" s="2"/>
      <x:c r="AB117" s="2"/>
      <x:c r="AC117" s="2"/>
      <x:c r="AD117" s="2"/>
      <x:c r="AE117" s="2"/>
      <x:c r="AF117" s="2"/>
      <x:c r="AG117" s="2"/>
      <x:c r="AH117" s="2"/>
      <x:c r="AI117" s="2"/>
      <x:c r="AJ117" s="2"/>
      <x:c r="AK117" s="2"/>
      <x:c r="AL117" s="2"/>
      <x:c r="AM117" s="2"/>
      <x:c r="AN117" s="2"/>
      <x:c r="AO117" s="2"/>
    </x:row>
    <x:row r="118" ht="60" customHeight="1">
      <x:c r="A118" s="201"/>
      <x:c r="B118" s="201"/>
      <x:c r="C118" s="201"/>
      <x:c r="D118" s="201"/>
      <x:c r="E118" s="201"/>
      <x:c r="F118" s="201"/>
      <x:c r="G118" s="201"/>
      <x:c r="H118" s="2"/>
      <x:c r="I118" s="2"/>
      <x:c r="J118" s="2"/>
      <x:c r="K118" s="2"/>
      <x:c r="L118" s="2"/>
      <x:c r="M118" s="2"/>
      <x:c r="N118" s="2"/>
      <x:c r="O118" s="2"/>
      <x:c r="P118" s="2"/>
      <x:c r="Q118" s="2"/>
      <x:c r="R118" s="2"/>
      <x:c r="S118" s="2"/>
      <x:c r="T118" s="2"/>
      <x:c r="U118" s="2"/>
      <x:c r="V118" s="2"/>
      <x:c r="W118" s="2"/>
      <x:c r="X118" s="2"/>
      <x:c r="Y118" s="2"/>
      <x:c r="Z118" s="2"/>
      <x:c r="AA118" s="2"/>
      <x:c r="AB118" s="2"/>
      <x:c r="AC118" s="2"/>
      <x:c r="AD118" s="2"/>
      <x:c r="AE118" s="2"/>
      <x:c r="AF118" s="2"/>
      <x:c r="AG118" s="2"/>
      <x:c r="AH118" s="2"/>
      <x:c r="AI118" s="2"/>
      <x:c r="AJ118" s="2"/>
      <x:c r="AK118" s="2"/>
      <x:c r="AL118" s="2"/>
      <x:c r="AM118" s="2"/>
      <x:c r="AN118" s="2"/>
      <x:c r="AO118" s="2"/>
    </x:row>
    <x:row r="119" ht="60" customHeight="1">
      <x:c r="A119" s="463" t="str">
        <x:v>Payment date</x:v>
      </x:c>
      <x:c r="B119" s="464" t="str">
        <x:v>Fiscal year</x:v>
      </x:c>
      <x:c r="C119" s="464" t="str">
        <x:v>Instrument class</x:v>
      </x:c>
      <x:c r="D119" s="464" t="str">
        <x:v>Principal USD B</x:v>
      </x:c>
      <x:c r="E119" s="465" t="str">
        <x:v>Source instrument member</x:v>
      </x:c>
      <x:c r="F119" s="201"/>
      <x:c r="G119" s="201"/>
      <x:c r="H119" s="2"/>
      <x:c r="I119" s="2"/>
      <x:c r="J119" s="2"/>
      <x:c r="K119" s="2"/>
      <x:c r="L119" s="2"/>
      <x:c r="M119" s="2"/>
      <x:c r="N119" s="2"/>
      <x:c r="O119" s="2"/>
      <x:c r="P119" s="2"/>
      <x:c r="Q119" s="2"/>
      <x:c r="R119" s="2"/>
      <x:c r="S119" s="2"/>
      <x:c r="T119" s="2"/>
      <x:c r="U119" s="2"/>
      <x:c r="V119" s="2"/>
      <x:c r="W119" s="2"/>
      <x:c r="X119" s="2"/>
      <x:c r="Y119" s="2"/>
      <x:c r="Z119" s="2"/>
      <x:c r="AA119" s="2"/>
      <x:c r="AB119" s="2"/>
      <x:c r="AC119" s="2"/>
      <x:c r="AD119" s="2"/>
      <x:c r="AE119" s="2"/>
      <x:c r="AF119" s="2"/>
      <x:c r="AG119" s="2"/>
      <x:c r="AH119" s="2"/>
      <x:c r="AI119" s="2"/>
      <x:c r="AJ119" s="2"/>
      <x:c r="AK119" s="2"/>
      <x:c r="AL119" s="2"/>
      <x:c r="AM119" s="2"/>
      <x:c r="AN119" s="2"/>
      <x:c r="AO119" s="2"/>
    </x:row>
    <x:row r="120" ht="60" customHeight="1">
      <x:c r="A120" s="503" t="d">
        <x:v>2027-04-01T00:00:00.000Z</x:v>
      </x:c>
      <x:c r="B120" s="446" t="n">
        <x:v>2027</x:v>
      </x:c>
      <x:c r="C120" s="446" t="str">
        <x:v>Fixed-rate notes</x:v>
      </x:c>
      <x:c r="D120" s="497" t="n">
        <x:f>'Payment dates'!E96</x:f>
        <x:v>2250000000</x:v>
      </x:c>
      <x:c r="E120" s="498" t="str">
        <x:v>orcl:FixedRateSeniorNotesDueApril2027Member</x:v>
      </x:c>
      <x:c r="F120" s="201"/>
      <x:c r="G120" s="201"/>
      <x:c r="H120" s="2"/>
      <x:c r="I120" s="2"/>
      <x:c r="J120" s="2"/>
      <x:c r="K120" s="2"/>
      <x:c r="L120" s="2"/>
      <x:c r="M120" s="2"/>
      <x:c r="N120" s="2"/>
      <x:c r="O120" s="2"/>
      <x:c r="P120" s="2"/>
      <x:c r="Q120" s="2"/>
      <x:c r="R120" s="2"/>
      <x:c r="S120" s="2"/>
      <x:c r="T120" s="2"/>
      <x:c r="U120" s="2"/>
      <x:c r="V120" s="2"/>
      <x:c r="W120" s="2"/>
      <x:c r="X120" s="2"/>
      <x:c r="Y120" s="2"/>
      <x:c r="Z120" s="2"/>
      <x:c r="AA120" s="2"/>
      <x:c r="AB120" s="2"/>
      <x:c r="AC120" s="2"/>
      <x:c r="AD120" s="2"/>
      <x:c r="AE120" s="2"/>
      <x:c r="AF120" s="2"/>
      <x:c r="AG120" s="2"/>
      <x:c r="AH120" s="2"/>
      <x:c r="AI120" s="2"/>
      <x:c r="AJ120" s="2"/>
      <x:c r="AK120" s="2"/>
      <x:c r="AL120" s="2"/>
      <x:c r="AM120" s="2"/>
      <x:c r="AN120" s="2"/>
      <x:c r="AO120" s="2"/>
    </x:row>
    <x:row r="121" ht="60" customHeight="1">
      <x:c r="A121" s="503" t="d">
        <x:v>2027-11-15T00:00:00.000Z</x:v>
      </x:c>
      <x:c r="B121" s="446" t="n">
        <x:v>2028</x:v>
      </x:c>
      <x:c r="C121" s="446" t="str">
        <x:v>Fixed-rate notes</x:v>
      </x:c>
      <x:c r="D121" s="497" t="n">
        <x:f>'Payment dates'!E97</x:f>
        <x:v>2750000000</x:v>
      </x:c>
      <x:c r="E121" s="498" t="str">
        <x:v>orcl:FixedRateSeniorNotesDueNovember2027Member</x:v>
      </x:c>
      <x:c r="F121" s="201"/>
      <x:c r="G121" s="201"/>
      <x:c r="H121" s="2"/>
      <x:c r="I121" s="2"/>
      <x:c r="J121" s="2"/>
      <x:c r="K121" s="2"/>
      <x:c r="L121" s="2"/>
      <x:c r="M121" s="2"/>
      <x:c r="N121" s="2"/>
      <x:c r="O121" s="2"/>
      <x:c r="P121" s="2"/>
      <x:c r="Q121" s="2"/>
      <x:c r="R121" s="2"/>
      <x:c r="S121" s="2"/>
      <x:c r="T121" s="2"/>
      <x:c r="U121" s="2"/>
      <x:c r="V121" s="2"/>
      <x:c r="W121" s="2"/>
      <x:c r="X121" s="2"/>
      <x:c r="Y121" s="2"/>
      <x:c r="Z121" s="2"/>
      <x:c r="AA121" s="2"/>
      <x:c r="AB121" s="2"/>
      <x:c r="AC121" s="2"/>
      <x:c r="AD121" s="2"/>
      <x:c r="AE121" s="2"/>
      <x:c r="AF121" s="2"/>
      <x:c r="AG121" s="2"/>
      <x:c r="AH121" s="2"/>
      <x:c r="AI121" s="2"/>
      <x:c r="AJ121" s="2"/>
      <x:c r="AK121" s="2"/>
      <x:c r="AL121" s="2"/>
      <x:c r="AM121" s="2"/>
      <x:c r="AN121" s="2"/>
      <x:c r="AO121" s="2"/>
    </x:row>
    <x:row r="122" ht="60" customHeight="1">
      <x:c r="A122" s="503" t="d">
        <x:v>2028-03-25T00:00:00.000Z</x:v>
      </x:c>
      <x:c r="B122" s="446" t="n">
        <x:v>2028</x:v>
      </x:c>
      <x:c r="C122" s="446" t="str">
        <x:v>Fixed-rate notes</x:v>
      </x:c>
      <x:c r="D122" s="497" t="n">
        <x:f>'Payment dates'!E98</x:f>
        <x:v>2000000000</x:v>
      </x:c>
      <x:c r="E122" s="498" t="str">
        <x:v>orcl:FixedRateSeniorNotesDueMarch2028Member</x:v>
      </x:c>
      <x:c r="F122" s="201"/>
      <x:c r="G122" s="201"/>
      <x:c r="H122" s="2"/>
      <x:c r="I122" s="2"/>
      <x:c r="J122" s="2"/>
      <x:c r="K122" s="2"/>
      <x:c r="L122" s="2"/>
      <x:c r="M122" s="2"/>
      <x:c r="N122" s="2"/>
      <x:c r="O122" s="2"/>
      <x:c r="P122" s="2"/>
      <x:c r="Q122" s="2"/>
      <x:c r="R122" s="2"/>
      <x:c r="S122" s="2"/>
      <x:c r="T122" s="2"/>
      <x:c r="U122" s="2"/>
      <x:c r="V122" s="2"/>
      <x:c r="W122" s="2"/>
      <x:c r="X122" s="2"/>
      <x:c r="Y122" s="2"/>
      <x:c r="Z122" s="2"/>
      <x:c r="AA122" s="2"/>
      <x:c r="AB122" s="2"/>
      <x:c r="AC122" s="2"/>
      <x:c r="AD122" s="2"/>
      <x:c r="AE122" s="2"/>
      <x:c r="AF122" s="2"/>
      <x:c r="AG122" s="2"/>
      <x:c r="AH122" s="2"/>
      <x:c r="AI122" s="2"/>
      <x:c r="AJ122" s="2"/>
      <x:c r="AK122" s="2"/>
      <x:c r="AL122" s="2"/>
      <x:c r="AM122" s="2"/>
      <x:c r="AN122" s="2"/>
      <x:c r="AO122" s="2"/>
    </x:row>
    <x:row r="123" ht="60" customHeight="1">
      <x:c r="A123" s="503" t="d">
        <x:v>2028-05-31T00:00:00.000Z</x:v>
      </x:c>
      <x:c r="B123" s="446" t="n">
        <x:v>2028</x:v>
      </x:c>
      <x:c r="C123" s="446" t="str">
        <x:v>Fixed-rate notes</x:v>
      </x:c>
      <x:c r="D123" s="497" t="n">
        <x:f>'Payment dates'!E99</x:f>
        <x:v>750000000</x:v>
      </x:c>
      <x:c r="E123" s="498" t="str">
        <x:v>orcl:FixedRateSeniorNotesDueMay2028Member</x:v>
      </x:c>
      <x:c r="F123" s="201"/>
      <x:c r="G123" s="201"/>
      <x:c r="H123" s="2"/>
      <x:c r="I123" s="2"/>
      <x:c r="J123" s="2"/>
      <x:c r="K123" s="2"/>
      <x:c r="L123" s="2"/>
      <x:c r="M123" s="2"/>
      <x:c r="N123" s="2"/>
      <x:c r="O123" s="2"/>
      <x:c r="P123" s="2"/>
      <x:c r="Q123" s="2"/>
      <x:c r="R123" s="2"/>
      <x:c r="S123" s="2"/>
      <x:c r="T123" s="2"/>
      <x:c r="U123" s="2"/>
      <x:c r="V123" s="2"/>
      <x:c r="W123" s="2"/>
      <x:c r="X123" s="2"/>
      <x:c r="Y123" s="2"/>
      <x:c r="Z123" s="2"/>
      <x:c r="AA123" s="2"/>
      <x:c r="AB123" s="2"/>
      <x:c r="AC123" s="2"/>
      <x:c r="AD123" s="2"/>
      <x:c r="AE123" s="2"/>
      <x:c r="AF123" s="2"/>
      <x:c r="AG123" s="2"/>
      <x:c r="AH123" s="2"/>
      <x:c r="AI123" s="2"/>
      <x:c r="AJ123" s="2"/>
      <x:c r="AK123" s="2"/>
      <x:c r="AL123" s="2"/>
      <x:c r="AM123" s="2"/>
      <x:c r="AN123" s="2"/>
      <x:c r="AO123" s="2"/>
    </x:row>
    <x:row r="124" ht="60" customHeight="1">
      <x:c r="A124" s="503" t="d">
        <x:v>2028-08-03T00:00:00.000Z</x:v>
      </x:c>
      <x:c r="B124" s="446" t="n">
        <x:v>2029</x:v>
      </x:c>
      <x:c r="C124" s="446" t="str">
        <x:v>Fixed-rate notes</x:v>
      </x:c>
      <x:c r="D124" s="497" t="n">
        <x:f>'Payment dates'!E100</x:f>
        <x:v>1500000000</x:v>
      </x:c>
      <x:c r="E124" s="498" t="str">
        <x:v>orcl:Fixed-RateSeniorNotesDueAugust2028Member</x:v>
      </x:c>
      <x:c r="F124" s="201"/>
      <x:c r="G124" s="201"/>
      <x:c r="H124" s="2"/>
      <x:c r="I124" s="2"/>
      <x:c r="J124" s="2"/>
      <x:c r="K124" s="2"/>
      <x:c r="L124" s="2"/>
      <x:c r="M124" s="2"/>
      <x:c r="N124" s="2"/>
      <x:c r="O124" s="2"/>
      <x:c r="P124" s="2"/>
      <x:c r="Q124" s="2"/>
      <x:c r="R124" s="2"/>
      <x:c r="S124" s="2"/>
      <x:c r="T124" s="2"/>
      <x:c r="U124" s="2"/>
      <x:c r="V124" s="2"/>
      <x:c r="W124" s="2"/>
      <x:c r="X124" s="2"/>
      <x:c r="Y124" s="2"/>
      <x:c r="Z124" s="2"/>
      <x:c r="AA124" s="2"/>
      <x:c r="AB124" s="2"/>
      <x:c r="AC124" s="2"/>
      <x:c r="AD124" s="2"/>
      <x:c r="AE124" s="2"/>
      <x:c r="AF124" s="2"/>
      <x:c r="AG124" s="2"/>
      <x:c r="AH124" s="2"/>
      <x:c r="AI124" s="2"/>
      <x:c r="AJ124" s="2"/>
      <x:c r="AK124" s="2"/>
      <x:c r="AL124" s="2"/>
      <x:c r="AM124" s="2"/>
      <x:c r="AN124" s="2"/>
      <x:c r="AO124" s="2"/>
    </x:row>
    <x:row r="125" ht="60" customHeight="1">
      <x:c r="A125" s="503" t="d">
        <x:v>2029-02-04T00:00:00.000Z</x:v>
      </x:c>
      <x:c r="B125" s="446" t="n">
        <x:v>2029</x:v>
      </x:c>
      <x:c r="C125" s="446" t="str">
        <x:v>Fixed-rate notes</x:v>
      </x:c>
      <x:c r="D125" s="497" t="n">
        <x:f>'Payment dates'!E101</x:f>
        <x:v>3000000000</x:v>
      </x:c>
      <x:c r="E125" s="498" t="str">
        <x:v>orcl:Fixed-RateSeniorNotesDueFebruary2029Member</x:v>
      </x:c>
      <x:c r="F125" s="201"/>
      <x:c r="G125" s="201"/>
      <x:c r="H125" s="2"/>
      <x:c r="I125" s="2"/>
      <x:c r="J125" s="2"/>
      <x:c r="K125" s="2"/>
      <x:c r="L125" s="2"/>
      <x:c r="M125" s="2"/>
      <x:c r="N125" s="2"/>
      <x:c r="O125" s="2"/>
      <x:c r="P125" s="2"/>
      <x:c r="Q125" s="2"/>
      <x:c r="R125" s="2"/>
      <x:c r="S125" s="2"/>
      <x:c r="T125" s="2"/>
      <x:c r="U125" s="2"/>
      <x:c r="V125" s="2"/>
      <x:c r="W125" s="2"/>
      <x:c r="X125" s="2"/>
      <x:c r="Y125" s="2"/>
      <x:c r="Z125" s="2"/>
      <x:c r="AA125" s="2"/>
      <x:c r="AB125" s="2"/>
      <x:c r="AC125" s="2"/>
      <x:c r="AD125" s="2"/>
      <x:c r="AE125" s="2"/>
      <x:c r="AF125" s="2"/>
      <x:c r="AG125" s="2"/>
      <x:c r="AH125" s="2"/>
      <x:c r="AI125" s="2"/>
      <x:c r="AJ125" s="2"/>
      <x:c r="AK125" s="2"/>
      <x:c r="AL125" s="2"/>
      <x:c r="AM125" s="2"/>
      <x:c r="AN125" s="2"/>
      <x:c r="AO125" s="2"/>
    </x:row>
    <x:row r="126" ht="60" customHeight="1">
      <x:c r="A126" s="503" t="d">
        <x:v>2029-09-27T00:00:00.000Z</x:v>
      </x:c>
      <x:c r="B126" s="446" t="n">
        <x:v>2030</x:v>
      </x:c>
      <x:c r="C126" s="446" t="str">
        <x:v>Fixed-rate notes</x:v>
      </x:c>
      <x:c r="D126" s="497" t="n">
        <x:f>'Payment dates'!E102</x:f>
        <x:v>1500000000</x:v>
      </x:c>
      <x:c r="E126" s="498" t="str">
        <x:v>orcl:Fixed-RateSeniorNotesDueSeptember2029Member</x:v>
      </x:c>
      <x:c r="F126" s="201"/>
      <x:c r="G126" s="201"/>
      <x:c r="H126" s="2"/>
      <x:c r="I126" s="2"/>
      <x:c r="J126" s="2"/>
      <x:c r="K126" s="2"/>
      <x:c r="L126" s="2"/>
      <x:c r="M126" s="2"/>
      <x:c r="N126" s="2"/>
      <x:c r="O126" s="2"/>
      <x:c r="P126" s="2"/>
      <x:c r="Q126" s="2"/>
      <x:c r="R126" s="2"/>
      <x:c r="S126" s="2"/>
      <x:c r="T126" s="2"/>
      <x:c r="U126" s="2"/>
      <x:c r="V126" s="2"/>
      <x:c r="W126" s="2"/>
      <x:c r="X126" s="2"/>
      <x:c r="Y126" s="2"/>
      <x:c r="Z126" s="2"/>
      <x:c r="AA126" s="2"/>
      <x:c r="AB126" s="2"/>
      <x:c r="AC126" s="2"/>
      <x:c r="AD126" s="2"/>
      <x:c r="AE126" s="2"/>
      <x:c r="AF126" s="2"/>
      <x:c r="AG126" s="2"/>
      <x:c r="AH126" s="2"/>
      <x:c r="AI126" s="2"/>
      <x:c r="AJ126" s="2"/>
      <x:c r="AK126" s="2"/>
      <x:c r="AL126" s="2"/>
      <x:c r="AM126" s="2"/>
      <x:c r="AN126" s="2"/>
      <x:c r="AO126" s="2"/>
    </x:row>
    <x:row r="127" ht="60" customHeight="1">
      <x:c r="A127" s="503" t="d">
        <x:v>2029-11-09T00:00:00.000Z</x:v>
      </x:c>
      <x:c r="B127" s="446" t="n">
        <x:v>2030</x:v>
      </x:c>
      <x:c r="C127" s="446" t="str">
        <x:v>Fixed-rate notes</x:v>
      </x:c>
      <x:c r="D127" s="497" t="n">
        <x:f>'Payment dates'!E103</x:f>
        <x:v>1250000000</x:v>
      </x:c>
      <x:c r="E127" s="498" t="str">
        <x:v>orcl:FixedRateSeniorNotesDueNovember2029Member</x:v>
      </x:c>
      <x:c r="F127" s="201"/>
      <x:c r="G127" s="201"/>
      <x:c r="H127" s="2"/>
      <x:c r="I127" s="2"/>
      <x:c r="J127" s="2"/>
      <x:c r="K127" s="2"/>
      <x:c r="L127" s="2"/>
      <x:c r="M127" s="2"/>
      <x:c r="N127" s="2"/>
      <x:c r="O127" s="2"/>
      <x:c r="P127" s="2"/>
      <x:c r="Q127" s="2"/>
      <x:c r="R127" s="2"/>
      <x:c r="S127" s="2"/>
      <x:c r="T127" s="2"/>
      <x:c r="U127" s="2"/>
      <x:c r="V127" s="2"/>
      <x:c r="W127" s="2"/>
      <x:c r="X127" s="2"/>
      <x:c r="Y127" s="2"/>
      <x:c r="Z127" s="2"/>
      <x:c r="AA127" s="2"/>
      <x:c r="AB127" s="2"/>
      <x:c r="AC127" s="2"/>
      <x:c r="AD127" s="2"/>
      <x:c r="AE127" s="2"/>
      <x:c r="AF127" s="2"/>
      <x:c r="AG127" s="2"/>
      <x:c r="AH127" s="2"/>
      <x:c r="AI127" s="2"/>
      <x:c r="AJ127" s="2"/>
      <x:c r="AK127" s="2"/>
      <x:c r="AL127" s="2"/>
      <x:c r="AM127" s="2"/>
      <x:c r="AN127" s="2"/>
      <x:c r="AO127" s="2"/>
    </x:row>
    <x:row r="128" ht="60" customHeight="1">
      <x:c r="A128" s="503" t="d">
        <x:v>2030-04-01T00:00:00.000Z</x:v>
      </x:c>
      <x:c r="B128" s="446" t="n">
        <x:v>2030</x:v>
      </x:c>
      <x:c r="C128" s="446" t="str">
        <x:v>Fixed-rate notes</x:v>
      </x:c>
      <x:c r="D128" s="497" t="n">
        <x:f>'Payment dates'!E104</x:f>
        <x:v>3250000000</x:v>
      </x:c>
      <x:c r="E128" s="498" t="str">
        <x:v>orcl:FixedRateSeniorNotesDueApril2030Member</x:v>
      </x:c>
      <x:c r="F128" s="201"/>
      <x:c r="G128" s="201"/>
      <x:c r="H128" s="2"/>
      <x:c r="I128" s="2"/>
      <x:c r="J128" s="2"/>
      <x:c r="K128" s="2"/>
      <x:c r="L128" s="2"/>
      <x:c r="M128" s="2"/>
      <x:c r="N128" s="2"/>
      <x:c r="O128" s="2"/>
      <x:c r="P128" s="2"/>
      <x:c r="Q128" s="2"/>
      <x:c r="R128" s="2"/>
      <x:c r="S128" s="2"/>
      <x:c r="T128" s="2"/>
      <x:c r="U128" s="2"/>
      <x:c r="V128" s="2"/>
      <x:c r="W128" s="2"/>
      <x:c r="X128" s="2"/>
      <x:c r="Y128" s="2"/>
      <x:c r="Z128" s="2"/>
      <x:c r="AA128" s="2"/>
      <x:c r="AB128" s="2"/>
      <x:c r="AC128" s="2"/>
      <x:c r="AD128" s="2"/>
      <x:c r="AE128" s="2"/>
      <x:c r="AF128" s="2"/>
      <x:c r="AG128" s="2"/>
      <x:c r="AH128" s="2"/>
      <x:c r="AI128" s="2"/>
      <x:c r="AJ128" s="2"/>
      <x:c r="AK128" s="2"/>
      <x:c r="AL128" s="2"/>
      <x:c r="AM128" s="2"/>
      <x:c r="AN128" s="2"/>
      <x:c r="AO128" s="2"/>
    </x:row>
    <x:row r="129" ht="60" customHeight="1">
      <x:c r="A129" s="503" t="d">
        <x:v>2030-05-31T00:00:00.000Z</x:v>
      </x:c>
      <x:c r="B129" s="446" t="n">
        <x:v>2030</x:v>
      </x:c>
      <x:c r="C129" s="446" t="str">
        <x:v>Fixed-rate notes</x:v>
      </x:c>
      <x:c r="D129" s="497" t="n">
        <x:f>'Payment dates'!E105</x:f>
        <x:v>750000000</x:v>
      </x:c>
      <x:c r="E129" s="498" t="str">
        <x:v>orcl:FixedRateSeniorNotesDueMay2030Member</x:v>
      </x:c>
      <x:c r="F129" s="201"/>
      <x:c r="G129" s="201"/>
      <x:c r="H129" s="2"/>
      <x:c r="I129" s="2"/>
      <x:c r="J129" s="2"/>
      <x:c r="K129" s="2"/>
      <x:c r="L129" s="2"/>
      <x:c r="M129" s="2"/>
      <x:c r="N129" s="2"/>
      <x:c r="O129" s="2"/>
      <x:c r="P129" s="2"/>
      <x:c r="Q129" s="2"/>
      <x:c r="R129" s="2"/>
      <x:c r="S129" s="2"/>
      <x:c r="T129" s="2"/>
      <x:c r="U129" s="2"/>
      <x:c r="V129" s="2"/>
      <x:c r="W129" s="2"/>
      <x:c r="X129" s="2"/>
      <x:c r="Y129" s="2"/>
      <x:c r="Z129" s="2"/>
      <x:c r="AA129" s="2"/>
      <x:c r="AB129" s="2"/>
      <x:c r="AC129" s="2"/>
      <x:c r="AD129" s="2"/>
      <x:c r="AE129" s="2"/>
      <x:c r="AF129" s="2"/>
      <x:c r="AG129" s="2"/>
      <x:c r="AH129" s="2"/>
      <x:c r="AI129" s="2"/>
      <x:c r="AJ129" s="2"/>
      <x:c r="AK129" s="2"/>
      <x:c r="AL129" s="2"/>
      <x:c r="AM129" s="2"/>
      <x:c r="AN129" s="2"/>
      <x:c r="AO129" s="2"/>
    </x:row>
    <x:row r="130" ht="60" customHeight="1">
      <x:c r="A130" s="503" t="d">
        <x:v>2030-05-15T00:00:00.000Z</x:v>
      </x:c>
      <x:c r="B130" s="446" t="n">
        <x:v>2030</x:v>
      </x:c>
      <x:c r="C130" s="446" t="str">
        <x:v>Fixed-rate notes</x:v>
      </x:c>
      <x:c r="D130" s="497" t="n">
        <x:f>'Payment dates'!E106</x:f>
        <x:v>500000000</x:v>
      </x:c>
      <x:c r="E130" s="498" t="str">
        <x:v>orcl:Fixed-RateSeniorNotesDueMay2030Member</x:v>
      </x:c>
      <x:c r="F130" s="201"/>
      <x:c r="G130" s="201"/>
      <x:c r="H130" s="2"/>
      <x:c r="I130" s="2"/>
      <x:c r="J130" s="2"/>
      <x:c r="K130" s="2"/>
      <x:c r="L130" s="2"/>
      <x:c r="M130" s="2"/>
      <x:c r="N130" s="2"/>
      <x:c r="O130" s="2"/>
      <x:c r="P130" s="2"/>
      <x:c r="Q130" s="2"/>
      <x:c r="R130" s="2"/>
      <x:c r="S130" s="2"/>
      <x:c r="T130" s="2"/>
      <x:c r="U130" s="2"/>
      <x:c r="V130" s="2"/>
      <x:c r="W130" s="2"/>
      <x:c r="X130" s="2"/>
      <x:c r="Y130" s="2"/>
      <x:c r="Z130" s="2"/>
      <x:c r="AA130" s="2"/>
      <x:c r="AB130" s="2"/>
      <x:c r="AC130" s="2"/>
      <x:c r="AD130" s="2"/>
      <x:c r="AE130" s="2"/>
      <x:c r="AF130" s="2"/>
      <x:c r="AG130" s="2"/>
      <x:c r="AH130" s="2"/>
      <x:c r="AI130" s="2"/>
      <x:c r="AJ130" s="2"/>
      <x:c r="AK130" s="2"/>
      <x:c r="AL130" s="2"/>
      <x:c r="AM130" s="2"/>
      <x:c r="AN130" s="2"/>
      <x:c r="AO130" s="2"/>
    </x:row>
    <x:row r="131" ht="60" customHeight="1">
      <x:c r="A131" s="503" t="d">
        <x:v>2030-09-26T00:00:00.000Z</x:v>
      </x:c>
      <x:c r="B131" s="446" t="n">
        <x:v>2031</x:v>
      </x:c>
      <x:c r="C131" s="446" t="str">
        <x:v>Fixed-rate notes</x:v>
      </x:c>
      <x:c r="D131" s="497" t="n">
        <x:f>'Payment dates'!E107</x:f>
        <x:v>3000000000</x:v>
      </x:c>
      <x:c r="E131" s="498" t="str">
        <x:v>orcl:FixedRateSeniorNotesDueSeptember2030Member</x:v>
      </x:c>
      <x:c r="F131" s="201"/>
      <x:c r="G131" s="201"/>
      <x:c r="H131" s="2"/>
      <x:c r="I131" s="2"/>
      <x:c r="J131" s="2"/>
      <x:c r="K131" s="2"/>
      <x:c r="L131" s="2"/>
      <x:c r="M131" s="2"/>
      <x:c r="N131" s="2"/>
      <x:c r="O131" s="2"/>
      <x:c r="P131" s="2"/>
      <x:c r="Q131" s="2"/>
      <x:c r="R131" s="2"/>
      <x:c r="S131" s="2"/>
      <x:c r="T131" s="2"/>
      <x:c r="U131" s="2"/>
      <x:c r="V131" s="2"/>
      <x:c r="W131" s="2"/>
      <x:c r="X131" s="2"/>
      <x:c r="Y131" s="2"/>
      <x:c r="Z131" s="2"/>
      <x:c r="AA131" s="2"/>
      <x:c r="AB131" s="2"/>
      <x:c r="AC131" s="2"/>
      <x:c r="AD131" s="2"/>
      <x:c r="AE131" s="2"/>
      <x:c r="AF131" s="2"/>
      <x:c r="AG131" s="2"/>
      <x:c r="AH131" s="2"/>
      <x:c r="AI131" s="2"/>
      <x:c r="AJ131" s="2"/>
      <x:c r="AK131" s="2"/>
      <x:c r="AL131" s="2"/>
      <x:c r="AM131" s="2"/>
      <x:c r="AN131" s="2"/>
      <x:c r="AO131" s="2"/>
    </x:row>
    <x:row r="132" ht="60" customHeight="1">
      <x:c r="A132" s="503" t="d">
        <x:v>2031-02-04T00:00:00.000Z</x:v>
      </x:c>
      <x:c r="B132" s="446" t="n">
        <x:v>2031</x:v>
      </x:c>
      <x:c r="C132" s="446" t="str">
        <x:v>Fixed-rate notes</x:v>
      </x:c>
      <x:c r="D132" s="497" t="n">
        <x:f>'Payment dates'!E108</x:f>
        <x:v>3500000000</x:v>
      </x:c>
      <x:c r="E132" s="498" t="str">
        <x:v>orcl:FixedRateSeniorNotesDueFebruary2031Member</x:v>
      </x:c>
      <x:c r="F132" s="201"/>
      <x:c r="G132" s="201"/>
      <x:c r="H132" s="2"/>
      <x:c r="I132" s="2"/>
      <x:c r="J132" s="2"/>
      <x:c r="K132" s="2"/>
      <x:c r="L132" s="2"/>
      <x:c r="M132" s="2"/>
      <x:c r="N132" s="2"/>
      <x:c r="O132" s="2"/>
      <x:c r="P132" s="2"/>
      <x:c r="Q132" s="2"/>
      <x:c r="R132" s="2"/>
      <x:c r="S132" s="2"/>
      <x:c r="T132" s="2"/>
      <x:c r="U132" s="2"/>
      <x:c r="V132" s="2"/>
      <x:c r="W132" s="2"/>
      <x:c r="X132" s="2"/>
      <x:c r="Y132" s="2"/>
      <x:c r="Z132" s="2"/>
      <x:c r="AA132" s="2"/>
      <x:c r="AB132" s="2"/>
      <x:c r="AC132" s="2"/>
      <x:c r="AD132" s="2"/>
      <x:c r="AE132" s="2"/>
      <x:c r="AF132" s="2"/>
      <x:c r="AG132" s="2"/>
      <x:c r="AH132" s="2"/>
      <x:c r="AI132" s="2"/>
      <x:c r="AJ132" s="2"/>
      <x:c r="AK132" s="2"/>
      <x:c r="AL132" s="2"/>
      <x:c r="AM132" s="2"/>
      <x:c r="AN132" s="2"/>
      <x:c r="AO132" s="2"/>
    </x:row>
    <x:row r="133" ht="60" customHeight="1">
      <x:c r="A133" s="503" t="d">
        <x:v>2031-03-31T00:00:00.000Z</x:v>
      </x:c>
      <x:c r="B133" s="446" t="n">
        <x:v>2031</x:v>
      </x:c>
      <x:c r="C133" s="446" t="str">
        <x:v>Fixed-rate notes</x:v>
      </x:c>
      <x:c r="D133" s="497" t="n">
        <x:f>'Payment dates'!E109</x:f>
        <x:v>3250000000</x:v>
      </x:c>
      <x:c r="E133" s="498" t="str">
        <x:v>orcl:FixedRateSeniorNotesDueMarch2031Member</x:v>
      </x:c>
      <x:c r="F133" s="201"/>
      <x:c r="G133" s="201"/>
      <x:c r="H133" s="2"/>
      <x:c r="I133" s="2"/>
      <x:c r="J133" s="2"/>
      <x:c r="K133" s="2"/>
      <x:c r="L133" s="2"/>
      <x:c r="M133" s="2"/>
      <x:c r="N133" s="2"/>
      <x:c r="O133" s="2"/>
      <x:c r="P133" s="2"/>
      <x:c r="Q133" s="2"/>
      <x:c r="R133" s="2"/>
      <x:c r="S133" s="2"/>
      <x:c r="T133" s="2"/>
      <x:c r="U133" s="2"/>
      <x:c r="V133" s="2"/>
      <x:c r="W133" s="2"/>
      <x:c r="X133" s="2"/>
      <x:c r="Y133" s="2"/>
      <x:c r="Z133" s="2"/>
      <x:c r="AA133" s="2"/>
      <x:c r="AB133" s="2"/>
      <x:c r="AC133" s="2"/>
      <x:c r="AD133" s="2"/>
      <x:c r="AE133" s="2"/>
      <x:c r="AF133" s="2"/>
      <x:c r="AG133" s="2"/>
      <x:c r="AH133" s="2"/>
      <x:c r="AI133" s="2"/>
      <x:c r="AJ133" s="2"/>
      <x:c r="AK133" s="2"/>
      <x:c r="AL133" s="2"/>
      <x:c r="AM133" s="2"/>
      <x:c r="AN133" s="2"/>
      <x:c r="AO133" s="2"/>
    </x:row>
    <x:row r="134" ht="60" customHeight="1">
      <x:c r="A134" s="503" t="d">
        <x:v>2032-02-03T00:00:00.000Z</x:v>
      </x:c>
      <x:c r="B134" s="446" t="n">
        <x:v>2032</x:v>
      </x:c>
      <x:c r="C134" s="446" t="str">
        <x:v>Fixed-rate notes</x:v>
      </x:c>
      <x:c r="D134" s="497" t="n">
        <x:f>'Payment dates'!E110</x:f>
        <x:v>1250000000</x:v>
      </x:c>
      <x:c r="E134" s="498" t="str">
        <x:v>orcl:Fixed-RateSeniorNotesDueFebruary2032Member</x:v>
      </x:c>
      <x:c r="F134" s="201"/>
      <x:c r="G134" s="201"/>
      <x:c r="H134" s="2"/>
      <x:c r="I134" s="2"/>
      <x:c r="J134" s="2"/>
      <x:c r="K134" s="2"/>
      <x:c r="L134" s="2"/>
      <x:c r="M134" s="2"/>
      <x:c r="N134" s="2"/>
      <x:c r="O134" s="2"/>
      <x:c r="P134" s="2"/>
      <x:c r="Q134" s="2"/>
      <x:c r="R134" s="2"/>
      <x:c r="S134" s="2"/>
      <x:c r="T134" s="2"/>
      <x:c r="U134" s="2"/>
      <x:c r="V134" s="2"/>
      <x:c r="W134" s="2"/>
      <x:c r="X134" s="2"/>
      <x:c r="Y134" s="2"/>
      <x:c r="Z134" s="2"/>
      <x:c r="AA134" s="2"/>
      <x:c r="AB134" s="2"/>
      <x:c r="AC134" s="2"/>
      <x:c r="AD134" s="2"/>
      <x:c r="AE134" s="2"/>
      <x:c r="AF134" s="2"/>
      <x:c r="AG134" s="2"/>
      <x:c r="AH134" s="2"/>
      <x:c r="AI134" s="2"/>
      <x:c r="AJ134" s="2"/>
      <x:c r="AK134" s="2"/>
      <x:c r="AL134" s="2"/>
      <x:c r="AM134" s="2"/>
      <x:c r="AN134" s="2"/>
      <x:c r="AO134" s="2"/>
    </x:row>
    <x:row r="135" ht="60" customHeight="1">
      <x:c r="A135" s="503" t="d">
        <x:v>2032-09-26T00:00:00.000Z</x:v>
      </x:c>
      <x:c r="B135" s="446" t="n">
        <x:v>2033</x:v>
      </x:c>
      <x:c r="C135" s="446" t="str">
        <x:v>Fixed-rate notes</x:v>
      </x:c>
      <x:c r="D135" s="497" t="n">
        <x:f>'Payment dates'!E111</x:f>
        <x:v>3000000000</x:v>
      </x:c>
      <x:c r="E135" s="498" t="str">
        <x:v>orcl:Fixed-RateSeniorNotesDueSeptember2032Member</x:v>
      </x:c>
      <x:c r="F135" s="201"/>
      <x:c r="G135" s="201"/>
      <x:c r="H135" s="2"/>
      <x:c r="I135" s="2"/>
      <x:c r="J135" s="2"/>
      <x:c r="K135" s="2"/>
      <x:c r="L135" s="2"/>
      <x:c r="M135" s="2"/>
      <x:c r="N135" s="2"/>
      <x:c r="O135" s="2"/>
      <x:c r="P135" s="2"/>
      <x:c r="Q135" s="2"/>
      <x:c r="R135" s="2"/>
      <x:c r="S135" s="2"/>
      <x:c r="T135" s="2"/>
      <x:c r="U135" s="2"/>
      <x:c r="V135" s="2"/>
      <x:c r="W135" s="2"/>
      <x:c r="X135" s="2"/>
      <x:c r="Y135" s="2"/>
      <x:c r="Z135" s="2"/>
      <x:c r="AA135" s="2"/>
      <x:c r="AB135" s="2"/>
      <x:c r="AC135" s="2"/>
      <x:c r="AD135" s="2"/>
      <x:c r="AE135" s="2"/>
      <x:c r="AF135" s="2"/>
      <x:c r="AG135" s="2"/>
      <x:c r="AH135" s="2"/>
      <x:c r="AI135" s="2"/>
      <x:c r="AJ135" s="2"/>
      <x:c r="AK135" s="2"/>
      <x:c r="AL135" s="2"/>
      <x:c r="AM135" s="2"/>
      <x:c r="AN135" s="2"/>
      <x:c r="AO135" s="2"/>
    </x:row>
    <x:row r="136" ht="60" customHeight="1">
      <x:c r="A136" s="503" t="d">
        <x:v>2032-11-09T00:00:00.000Z</x:v>
      </x:c>
      <x:c r="B136" s="446" t="n">
        <x:v>2033</x:v>
      </x:c>
      <x:c r="C136" s="446" t="str">
        <x:v>Fixed-rate notes</x:v>
      </x:c>
      <x:c r="D136" s="497" t="n">
        <x:f>'Payment dates'!E112</x:f>
        <x:v>2250000000</x:v>
      </x:c>
      <x:c r="E136" s="498" t="str">
        <x:v>orcl:FixedRateSeniorNotesDueNovember2032Member</x:v>
      </x:c>
      <x:c r="F136" s="201"/>
      <x:c r="G136" s="201"/>
      <x:c r="H136" s="2"/>
      <x:c r="I136" s="2"/>
      <x:c r="J136" s="2"/>
      <x:c r="K136" s="2"/>
      <x:c r="L136" s="2"/>
      <x:c r="M136" s="2"/>
      <x:c r="N136" s="2"/>
      <x:c r="O136" s="2"/>
      <x:c r="P136" s="2"/>
      <x:c r="Q136" s="2"/>
      <x:c r="R136" s="2"/>
      <x:c r="S136" s="2"/>
      <x:c r="T136" s="2"/>
      <x:c r="U136" s="2"/>
      <x:c r="V136" s="2"/>
      <x:c r="W136" s="2"/>
      <x:c r="X136" s="2"/>
      <x:c r="Y136" s="2"/>
      <x:c r="Z136" s="2"/>
      <x:c r="AA136" s="2"/>
      <x:c r="AB136" s="2"/>
      <x:c r="AC136" s="2"/>
      <x:c r="AD136" s="2"/>
      <x:c r="AE136" s="2"/>
      <x:c r="AF136" s="2"/>
      <x:c r="AG136" s="2"/>
      <x:c r="AH136" s="2"/>
      <x:c r="AI136" s="2"/>
      <x:c r="AJ136" s="2"/>
      <x:c r="AK136" s="2"/>
      <x:c r="AL136" s="2"/>
      <x:c r="AM136" s="2"/>
      <x:c r="AN136" s="2"/>
      <x:c r="AO136" s="2"/>
    </x:row>
    <x:row r="137" ht="60" customHeight="1">
      <x:c r="A137" s="503" t="d">
        <x:v>2033-02-28T00:00:00.000Z</x:v>
      </x:c>
      <x:c r="B137" s="446" t="n">
        <x:v>2033</x:v>
      </x:c>
      <x:c r="C137" s="446" t="str">
        <x:v>Fixed-rate notes</x:v>
      </x:c>
      <x:c r="D137" s="497" t="n">
        <x:f>'Payment dates'!E113</x:f>
        <x:v>1500000000</x:v>
      </x:c>
      <x:c r="E137" s="498" t="str">
        <x:v>orcl:FixedRateSeniorNotesDueFebruary2033Member</x:v>
      </x:c>
      <x:c r="F137" s="201"/>
      <x:c r="G137" s="201"/>
      <x:c r="H137" s="2"/>
      <x:c r="I137" s="2"/>
      <x:c r="J137" s="2"/>
      <x:c r="K137" s="2"/>
      <x:c r="L137" s="2"/>
      <x:c r="M137" s="2"/>
      <x:c r="N137" s="2"/>
      <x:c r="O137" s="2"/>
      <x:c r="P137" s="2"/>
      <x:c r="Q137" s="2"/>
      <x:c r="R137" s="2"/>
      <x:c r="S137" s="2"/>
      <x:c r="T137" s="2"/>
      <x:c r="U137" s="2"/>
      <x:c r="V137" s="2"/>
      <x:c r="W137" s="2"/>
      <x:c r="X137" s="2"/>
      <x:c r="Y137" s="2"/>
      <x:c r="Z137" s="2"/>
      <x:c r="AA137" s="2"/>
      <x:c r="AB137" s="2"/>
      <x:c r="AC137" s="2"/>
      <x:c r="AD137" s="2"/>
      <x:c r="AE137" s="2"/>
      <x:c r="AF137" s="2"/>
      <x:c r="AG137" s="2"/>
      <x:c r="AH137" s="2"/>
      <x:c r="AI137" s="2"/>
      <x:c r="AJ137" s="2"/>
      <x:c r="AK137" s="2"/>
      <x:c r="AL137" s="2"/>
      <x:c r="AM137" s="2"/>
      <x:c r="AN137" s="2"/>
      <x:c r="AO137" s="2"/>
    </x:row>
    <x:row r="138" ht="60" customHeight="1">
      <x:c r="A138" s="503" t="d">
        <x:v>2033-05-04T00:00:00.000Z</x:v>
      </x:c>
      <x:c r="B138" s="446" t="n">
        <x:v>2033</x:v>
      </x:c>
      <x:c r="C138" s="446" t="str">
        <x:v>Fixed-rate notes</x:v>
      </x:c>
      <x:c r="D138" s="497" t="n">
        <x:f>'Payment dates'!E114</x:f>
        <x:v>3000000000</x:v>
      </x:c>
      <x:c r="E138" s="498" t="str">
        <x:v>orcl:FixedRateSeniorNotesDueMay2033Member</x:v>
      </x:c>
      <x:c r="F138" s="201"/>
      <x:c r="G138" s="201"/>
      <x:c r="H138" s="2"/>
      <x:c r="I138" s="2"/>
      <x:c r="J138" s="2"/>
      <x:c r="K138" s="2"/>
      <x:c r="L138" s="2"/>
      <x:c r="M138" s="2"/>
      <x:c r="N138" s="2"/>
      <x:c r="O138" s="2"/>
      <x:c r="P138" s="2"/>
      <x:c r="Q138" s="2"/>
      <x:c r="R138" s="2"/>
      <x:c r="S138" s="2"/>
      <x:c r="T138" s="2"/>
      <x:c r="U138" s="2"/>
      <x:c r="V138" s="2"/>
      <x:c r="W138" s="2"/>
      <x:c r="X138" s="2"/>
      <x:c r="Y138" s="2"/>
      <x:c r="Z138" s="2"/>
      <x:c r="AA138" s="2"/>
      <x:c r="AB138" s="2"/>
      <x:c r="AC138" s="2"/>
      <x:c r="AD138" s="2"/>
      <x:c r="AE138" s="2"/>
      <x:c r="AF138" s="2"/>
      <x:c r="AG138" s="2"/>
      <x:c r="AH138" s="2"/>
      <x:c r="AI138" s="2"/>
      <x:c r="AJ138" s="2"/>
      <x:c r="AK138" s="2"/>
      <x:c r="AL138" s="2"/>
      <x:c r="AM138" s="2"/>
      <x:c r="AN138" s="2"/>
      <x:c r="AO138" s="2"/>
    </x:row>
    <x:row r="139" ht="60" customHeight="1">
      <x:c r="A139" s="503" t="d">
        <x:v>2034-07-08T00:00:00.000Z</x:v>
      </x:c>
      <x:c r="B139" s="446" t="n">
        <x:v>2035</x:v>
      </x:c>
      <x:c r="C139" s="446" t="str">
        <x:v>Fixed-rate notes</x:v>
      </x:c>
      <x:c r="D139" s="497" t="n">
        <x:f>'Payment dates'!E115</x:f>
        <x:v>1750000000</x:v>
      </x:c>
      <x:c r="E139" s="498" t="str">
        <x:v>orcl:FixedRateSeniorNotesDueJuly2034Member</x:v>
      </x:c>
      <x:c r="F139" s="201"/>
      <x:c r="G139" s="201"/>
      <x:c r="H139" s="2"/>
      <x:c r="I139" s="2"/>
      <x:c r="J139" s="2"/>
      <x:c r="K139" s="2"/>
      <x:c r="L139" s="2"/>
      <x:c r="M139" s="2"/>
      <x:c r="N139" s="2"/>
      <x:c r="O139" s="2"/>
      <x:c r="P139" s="2"/>
      <x:c r="Q139" s="2"/>
      <x:c r="R139" s="2"/>
      <x:c r="S139" s="2"/>
      <x:c r="T139" s="2"/>
      <x:c r="U139" s="2"/>
      <x:c r="V139" s="2"/>
      <x:c r="W139" s="2"/>
      <x:c r="X139" s="2"/>
      <x:c r="Y139" s="2"/>
      <x:c r="Z139" s="2"/>
      <x:c r="AA139" s="2"/>
      <x:c r="AB139" s="2"/>
      <x:c r="AC139" s="2"/>
      <x:c r="AD139" s="2"/>
      <x:c r="AE139" s="2"/>
      <x:c r="AF139" s="2"/>
      <x:c r="AG139" s="2"/>
      <x:c r="AH139" s="2"/>
      <x:c r="AI139" s="2"/>
      <x:c r="AJ139" s="2"/>
      <x:c r="AK139" s="2"/>
      <x:c r="AL139" s="2"/>
      <x:c r="AM139" s="2"/>
      <x:c r="AN139" s="2"/>
      <x:c r="AO139" s="2"/>
    </x:row>
    <x:row r="140" ht="60" customHeight="1">
      <x:c r="A140" s="503" t="d">
        <x:v>2034-09-27T00:00:00.000Z</x:v>
      </x:c>
      <x:c r="B140" s="446" t="n">
        <x:v>2035</x:v>
      </x:c>
      <x:c r="C140" s="446" t="str">
        <x:v>Fixed-rate notes</x:v>
      </x:c>
      <x:c r="D140" s="497" t="n">
        <x:f>'Payment dates'!E116</x:f>
        <x:v>1750000000</x:v>
      </x:c>
      <x:c r="E140" s="498" t="str">
        <x:v>orcl:Fixed-RateSeniorNotesDueSeptember2034Member</x:v>
      </x:c>
      <x:c r="F140" s="201"/>
      <x:c r="G140" s="201"/>
      <x:c r="H140" s="2"/>
      <x:c r="I140" s="2"/>
      <x:c r="J140" s="2"/>
      <x:c r="K140" s="2"/>
      <x:c r="L140" s="2"/>
      <x:c r="M140" s="2"/>
      <x:c r="N140" s="2"/>
      <x:c r="O140" s="2"/>
      <x:c r="P140" s="2"/>
      <x:c r="Q140" s="2"/>
      <x:c r="R140" s="2"/>
      <x:c r="S140" s="2"/>
      <x:c r="T140" s="2"/>
      <x:c r="U140" s="2"/>
      <x:c r="V140" s="2"/>
      <x:c r="W140" s="2"/>
      <x:c r="X140" s="2"/>
      <x:c r="Y140" s="2"/>
      <x:c r="Z140" s="2"/>
      <x:c r="AA140" s="2"/>
      <x:c r="AB140" s="2"/>
      <x:c r="AC140" s="2"/>
      <x:c r="AD140" s="2"/>
      <x:c r="AE140" s="2"/>
      <x:c r="AF140" s="2"/>
      <x:c r="AG140" s="2"/>
      <x:c r="AH140" s="2"/>
      <x:c r="AI140" s="2"/>
      <x:c r="AJ140" s="2"/>
      <x:c r="AK140" s="2"/>
      <x:c r="AL140" s="2"/>
      <x:c r="AM140" s="2"/>
      <x:c r="AN140" s="2"/>
      <x:c r="AO140" s="2"/>
    </x:row>
    <x:row r="141" ht="60" customHeight="1">
      <x:c r="A141" s="503" t="d">
        <x:v>2035-05-15T00:00:00.000Z</x:v>
      </x:c>
      <x:c r="B141" s="446" t="n">
        <x:v>2035</x:v>
      </x:c>
      <x:c r="C141" s="446" t="str">
        <x:v>Fixed-rate notes</x:v>
      </x:c>
      <x:c r="D141" s="497" t="n">
        <x:f>'Payment dates'!E117</x:f>
        <x:v>1250000000</x:v>
      </x:c>
      <x:c r="E141" s="498" t="str">
        <x:v>orcl:FixedRateSeniorNotesDueMay2035Member</x:v>
      </x:c>
      <x:c r="F141" s="201"/>
      <x:c r="G141" s="201"/>
      <x:c r="H141" s="2"/>
      <x:c r="I141" s="2"/>
      <x:c r="J141" s="2"/>
      <x:c r="K141" s="2"/>
      <x:c r="L141" s="2"/>
      <x:c r="M141" s="2"/>
      <x:c r="N141" s="2"/>
      <x:c r="O141" s="2"/>
      <x:c r="P141" s="2"/>
      <x:c r="Q141" s="2"/>
      <x:c r="R141" s="2"/>
      <x:c r="S141" s="2"/>
      <x:c r="T141" s="2"/>
      <x:c r="U141" s="2"/>
      <x:c r="V141" s="2"/>
      <x:c r="W141" s="2"/>
      <x:c r="X141" s="2"/>
      <x:c r="Y141" s="2"/>
      <x:c r="Z141" s="2"/>
      <x:c r="AA141" s="2"/>
      <x:c r="AB141" s="2"/>
      <x:c r="AC141" s="2"/>
      <x:c r="AD141" s="2"/>
      <x:c r="AE141" s="2"/>
      <x:c r="AF141" s="2"/>
      <x:c r="AG141" s="2"/>
      <x:c r="AH141" s="2"/>
      <x:c r="AI141" s="2"/>
      <x:c r="AJ141" s="2"/>
      <x:c r="AK141" s="2"/>
      <x:c r="AL141" s="2"/>
      <x:c r="AM141" s="2"/>
      <x:c r="AN141" s="2"/>
      <x:c r="AO141" s="2"/>
    </x:row>
    <x:row r="142" ht="60" customHeight="1">
      <x:c r="A142" s="503" t="d">
        <x:v>2035-08-03T00:00:00.000Z</x:v>
      </x:c>
      <x:c r="B142" s="446" t="n">
        <x:v>2036</x:v>
      </x:c>
      <x:c r="C142" s="446" t="str">
        <x:v>Fixed-rate notes</x:v>
      </x:c>
      <x:c r="D142" s="497" t="n">
        <x:f>'Payment dates'!E118</x:f>
        <x:v>1750000000</x:v>
      </x:c>
      <x:c r="E142" s="498" t="str">
        <x:v>orcl:Fixed-RateSeniorNotesDueAugust2035Member</x:v>
      </x:c>
      <x:c r="F142" s="201"/>
      <x:c r="G142" s="201"/>
      <x:c r="H142" s="2"/>
      <x:c r="I142" s="2"/>
      <x:c r="J142" s="2"/>
      <x:c r="K142" s="2"/>
      <x:c r="L142" s="2"/>
      <x:c r="M142" s="2"/>
      <x:c r="N142" s="2"/>
      <x:c r="O142" s="2"/>
      <x:c r="P142" s="2"/>
      <x:c r="Q142" s="2"/>
      <x:c r="R142" s="2"/>
      <x:c r="S142" s="2"/>
      <x:c r="T142" s="2"/>
      <x:c r="U142" s="2"/>
      <x:c r="V142" s="2"/>
      <x:c r="W142" s="2"/>
      <x:c r="X142" s="2"/>
      <x:c r="Y142" s="2"/>
      <x:c r="Z142" s="2"/>
      <x:c r="AA142" s="2"/>
      <x:c r="AB142" s="2"/>
      <x:c r="AC142" s="2"/>
      <x:c r="AD142" s="2"/>
      <x:c r="AE142" s="2"/>
      <x:c r="AF142" s="2"/>
      <x:c r="AG142" s="2"/>
      <x:c r="AH142" s="2"/>
      <x:c r="AI142" s="2"/>
      <x:c r="AJ142" s="2"/>
      <x:c r="AK142" s="2"/>
      <x:c r="AL142" s="2"/>
      <x:c r="AM142" s="2"/>
      <x:c r="AN142" s="2"/>
      <x:c r="AO142" s="2"/>
    </x:row>
    <x:row r="143" ht="60" customHeight="1">
      <x:c r="A143" s="503" t="d">
        <x:v>2035-09-26T00:00:00.000Z</x:v>
      </x:c>
      <x:c r="B143" s="446" t="n">
        <x:v>2036</x:v>
      </x:c>
      <x:c r="C143" s="446" t="str">
        <x:v>Fixed-rate notes</x:v>
      </x:c>
      <x:c r="D143" s="497" t="n">
        <x:f>'Payment dates'!E119</x:f>
        <x:v>4000000000</x:v>
      </x:c>
      <x:c r="E143" s="498" t="str">
        <x:v>orcl:Fixed-RateSeniorNotesDueSeptember2035Member</x:v>
      </x:c>
      <x:c r="F143" s="201"/>
      <x:c r="G143" s="201"/>
      <x:c r="H143" s="2"/>
      <x:c r="I143" s="2"/>
      <x:c r="J143" s="2"/>
      <x:c r="K143" s="2"/>
      <x:c r="L143" s="2"/>
      <x:c r="M143" s="2"/>
      <x:c r="N143" s="2"/>
      <x:c r="O143" s="2"/>
      <x:c r="P143" s="2"/>
      <x:c r="Q143" s="2"/>
      <x:c r="R143" s="2"/>
      <x:c r="S143" s="2"/>
      <x:c r="T143" s="2"/>
      <x:c r="U143" s="2"/>
      <x:c r="V143" s="2"/>
      <x:c r="W143" s="2"/>
      <x:c r="X143" s="2"/>
      <x:c r="Y143" s="2"/>
      <x:c r="Z143" s="2"/>
      <x:c r="AA143" s="2"/>
      <x:c r="AB143" s="2"/>
      <x:c r="AC143" s="2"/>
      <x:c r="AD143" s="2"/>
      <x:c r="AE143" s="2"/>
      <x:c r="AF143" s="2"/>
      <x:c r="AG143" s="2"/>
      <x:c r="AH143" s="2"/>
      <x:c r="AI143" s="2"/>
      <x:c r="AJ143" s="2"/>
      <x:c r="AK143" s="2"/>
      <x:c r="AL143" s="2"/>
      <x:c r="AM143" s="2"/>
      <x:c r="AN143" s="2"/>
      <x:c r="AO143" s="2"/>
    </x:row>
    <x:row r="144" ht="60" customHeight="1">
      <x:c r="A144" s="503" t="d">
        <x:v>2036-02-04T00:00:00.000Z</x:v>
      </x:c>
      <x:c r="B144" s="446" t="n">
        <x:v>2036</x:v>
      </x:c>
      <x:c r="C144" s="446" t="str">
        <x:v>Fixed-rate notes</x:v>
      </x:c>
      <x:c r="D144" s="497" t="n">
        <x:f>'Payment dates'!E120</x:f>
        <x:v>5000000000</x:v>
      </x:c>
      <x:c r="E144" s="498" t="str">
        <x:v>orcl:FixedRateSeniorNotesDueFebruary2036Member</x:v>
      </x:c>
      <x:c r="F144" s="201"/>
      <x:c r="G144" s="201"/>
      <x:c r="H144" s="2"/>
      <x:c r="I144" s="2"/>
      <x:c r="J144" s="2"/>
      <x:c r="K144" s="2"/>
      <x:c r="L144" s="2"/>
      <x:c r="M144" s="2"/>
      <x:c r="N144" s="2"/>
      <x:c r="O144" s="2"/>
      <x:c r="P144" s="2"/>
      <x:c r="Q144" s="2"/>
      <x:c r="R144" s="2"/>
      <x:c r="S144" s="2"/>
      <x:c r="T144" s="2"/>
      <x:c r="U144" s="2"/>
      <x:c r="V144" s="2"/>
      <x:c r="W144" s="2"/>
      <x:c r="X144" s="2"/>
      <x:c r="Y144" s="2"/>
      <x:c r="Z144" s="2"/>
      <x:c r="AA144" s="2"/>
      <x:c r="AB144" s="2"/>
      <x:c r="AC144" s="2"/>
      <x:c r="AD144" s="2"/>
      <x:c r="AE144" s="2"/>
      <x:c r="AF144" s="2"/>
      <x:c r="AG144" s="2"/>
      <x:c r="AH144" s="2"/>
      <x:c r="AI144" s="2"/>
      <x:c r="AJ144" s="2"/>
      <x:c r="AK144" s="2"/>
      <x:c r="AL144" s="2"/>
      <x:c r="AM144" s="2"/>
      <x:c r="AN144" s="2"/>
      <x:c r="AO144" s="2"/>
    </x:row>
    <x:row r="145" ht="60" customHeight="1">
      <x:c r="A145" s="503" t="d">
        <x:v>2036-07-15T00:00:00.000Z</x:v>
      </x:c>
      <x:c r="B145" s="446" t="n">
        <x:v>2037</x:v>
      </x:c>
      <x:c r="C145" s="446" t="str">
        <x:v>Fixed-rate notes</x:v>
      </x:c>
      <x:c r="D145" s="497" t="n">
        <x:f>'Payment dates'!E121</x:f>
        <x:v>1250000000</x:v>
      </x:c>
      <x:c r="E145" s="498" t="str">
        <x:v>orcl:FixedRateSeniorNotesDueJuly2036Member</x:v>
      </x:c>
      <x:c r="F145" s="201"/>
      <x:c r="G145" s="201"/>
      <x:c r="H145" s="2"/>
      <x:c r="I145" s="2"/>
      <x:c r="J145" s="2"/>
      <x:c r="K145" s="2"/>
      <x:c r="L145" s="2"/>
      <x:c r="M145" s="2"/>
      <x:c r="N145" s="2"/>
      <x:c r="O145" s="2"/>
      <x:c r="P145" s="2"/>
      <x:c r="Q145" s="2"/>
      <x:c r="R145" s="2"/>
      <x:c r="S145" s="2"/>
      <x:c r="T145" s="2"/>
      <x:c r="U145" s="2"/>
      <x:c r="V145" s="2"/>
      <x:c r="W145" s="2"/>
      <x:c r="X145" s="2"/>
      <x:c r="Y145" s="2"/>
      <x:c r="Z145" s="2"/>
      <x:c r="AA145" s="2"/>
      <x:c r="AB145" s="2"/>
      <x:c r="AC145" s="2"/>
      <x:c r="AD145" s="2"/>
      <x:c r="AE145" s="2"/>
      <x:c r="AF145" s="2"/>
      <x:c r="AG145" s="2"/>
      <x:c r="AH145" s="2"/>
      <x:c r="AI145" s="2"/>
      <x:c r="AJ145" s="2"/>
      <x:c r="AK145" s="2"/>
      <x:c r="AL145" s="2"/>
      <x:c r="AM145" s="2"/>
      <x:c r="AN145" s="2"/>
      <x:c r="AO145" s="2"/>
    </x:row>
    <x:row r="146" ht="60" customHeight="1">
      <x:c r="A146" s="503" t="d">
        <x:v>2037-11-15T00:00:00.000Z</x:v>
      </x:c>
      <x:c r="B146" s="446" t="n">
        <x:v>2038</x:v>
      </x:c>
      <x:c r="C146" s="446" t="str">
        <x:v>Fixed-rate notes</x:v>
      </x:c>
      <x:c r="D146" s="497" t="n">
        <x:f>'Payment dates'!E122</x:f>
        <x:v>1750000000</x:v>
      </x:c>
      <x:c r="E146" s="498" t="str">
        <x:v>orcl:FixedRateSeniorNotesDueNovember2037Member</x:v>
      </x:c>
      <x:c r="F146" s="201"/>
      <x:c r="G146" s="201"/>
      <x:c r="H146" s="2"/>
      <x:c r="I146" s="2"/>
      <x:c r="J146" s="2"/>
      <x:c r="K146" s="2"/>
      <x:c r="L146" s="2"/>
      <x:c r="M146" s="2"/>
      <x:c r="N146" s="2"/>
      <x:c r="O146" s="2"/>
      <x:c r="P146" s="2"/>
      <x:c r="Q146" s="2"/>
      <x:c r="R146" s="2"/>
      <x:c r="S146" s="2"/>
      <x:c r="T146" s="2"/>
      <x:c r="U146" s="2"/>
      <x:c r="V146" s="2"/>
      <x:c r="W146" s="2"/>
      <x:c r="X146" s="2"/>
      <x:c r="Y146" s="2"/>
      <x:c r="Z146" s="2"/>
      <x:c r="AA146" s="2"/>
      <x:c r="AB146" s="2"/>
      <x:c r="AC146" s="2"/>
      <x:c r="AD146" s="2"/>
      <x:c r="AE146" s="2"/>
      <x:c r="AF146" s="2"/>
      <x:c r="AG146" s="2"/>
      <x:c r="AH146" s="2"/>
      <x:c r="AI146" s="2"/>
      <x:c r="AJ146" s="2"/>
      <x:c r="AK146" s="2"/>
      <x:c r="AL146" s="2"/>
      <x:c r="AM146" s="2"/>
      <x:c r="AN146" s="2"/>
      <x:c r="AO146" s="2"/>
    </x:row>
    <x:row r="147" ht="60" customHeight="1">
      <x:c r="A147" s="503" t="d">
        <x:v>2038-04-15T00:00:00.000Z</x:v>
      </x:c>
      <x:c r="B147" s="446" t="n">
        <x:v>2038</x:v>
      </x:c>
      <x:c r="C147" s="446" t="str">
        <x:v>Fixed-rate notes</x:v>
      </x:c>
      <x:c r="D147" s="497" t="n">
        <x:f>'Payment dates'!E123</x:f>
        <x:v>1250000000</x:v>
      </x:c>
      <x:c r="E147" s="498" t="str">
        <x:v>orcl:FixedRateSeniorNotesDueApril2038Member</x:v>
      </x:c>
      <x:c r="F147" s="201"/>
      <x:c r="G147" s="201"/>
      <x:c r="H147" s="2"/>
      <x:c r="I147" s="2"/>
      <x:c r="J147" s="2"/>
      <x:c r="K147" s="2"/>
      <x:c r="L147" s="2"/>
      <x:c r="M147" s="2"/>
      <x:c r="N147" s="2"/>
      <x:c r="O147" s="2"/>
      <x:c r="P147" s="2"/>
      <x:c r="Q147" s="2"/>
      <x:c r="R147" s="2"/>
      <x:c r="S147" s="2"/>
      <x:c r="T147" s="2"/>
      <x:c r="U147" s="2"/>
      <x:c r="V147" s="2"/>
      <x:c r="W147" s="2"/>
      <x:c r="X147" s="2"/>
      <x:c r="Y147" s="2"/>
      <x:c r="Z147" s="2"/>
      <x:c r="AA147" s="2"/>
      <x:c r="AB147" s="2"/>
      <x:c r="AC147" s="2"/>
      <x:c r="AD147" s="2"/>
      <x:c r="AE147" s="2"/>
      <x:c r="AF147" s="2"/>
      <x:c r="AG147" s="2"/>
      <x:c r="AH147" s="2"/>
      <x:c r="AI147" s="2"/>
      <x:c r="AJ147" s="2"/>
      <x:c r="AK147" s="2"/>
      <x:c r="AL147" s="2"/>
      <x:c r="AM147" s="2"/>
      <x:c r="AN147" s="2"/>
      <x:c r="AO147" s="2"/>
    </x:row>
    <x:row r="148" ht="60" customHeight="1">
      <x:c r="A148" s="503" t="d">
        <x:v>2039-07-08T00:00:00.000Z</x:v>
      </x:c>
      <x:c r="B148" s="446" t="n">
        <x:v>2040</x:v>
      </x:c>
      <x:c r="C148" s="446" t="str">
        <x:v>Fixed-rate notes</x:v>
      </x:c>
      <x:c r="D148" s="497" t="n">
        <x:f>'Payment dates'!E124</x:f>
        <x:v>1250000000</x:v>
      </x:c>
      <x:c r="E148" s="498" t="str">
        <x:v>orcl:FixedRateSeniorNotesDueJuly2039Member</x:v>
      </x:c>
      <x:c r="F148" s="201"/>
      <x:c r="G148" s="201"/>
      <x:c r="H148" s="2"/>
      <x:c r="I148" s="2"/>
      <x:c r="J148" s="2"/>
      <x:c r="K148" s="2"/>
      <x:c r="L148" s="2"/>
      <x:c r="M148" s="2"/>
      <x:c r="N148" s="2"/>
      <x:c r="O148" s="2"/>
      <x:c r="P148" s="2"/>
      <x:c r="Q148" s="2"/>
      <x:c r="R148" s="2"/>
      <x:c r="S148" s="2"/>
      <x:c r="T148" s="2"/>
      <x:c r="U148" s="2"/>
      <x:c r="V148" s="2"/>
      <x:c r="W148" s="2"/>
      <x:c r="X148" s="2"/>
      <x:c r="Y148" s="2"/>
      <x:c r="Z148" s="2"/>
      <x:c r="AA148" s="2"/>
      <x:c r="AB148" s="2"/>
      <x:c r="AC148" s="2"/>
      <x:c r="AD148" s="2"/>
      <x:c r="AE148" s="2"/>
      <x:c r="AF148" s="2"/>
      <x:c r="AG148" s="2"/>
      <x:c r="AH148" s="2"/>
      <x:c r="AI148" s="2"/>
      <x:c r="AJ148" s="2"/>
      <x:c r="AK148" s="2"/>
      <x:c r="AL148" s="2"/>
      <x:c r="AM148" s="2"/>
      <x:c r="AN148" s="2"/>
      <x:c r="AO148" s="2"/>
    </x:row>
    <x:row r="149" ht="60" customHeight="1">
      <x:c r="A149" s="503" t="d">
        <x:v>2040-04-01T00:00:00.000Z</x:v>
      </x:c>
      <x:c r="B149" s="446" t="n">
        <x:v>2040</x:v>
      </x:c>
      <x:c r="C149" s="446" t="str">
        <x:v>Fixed-rate notes</x:v>
      </x:c>
      <x:c r="D149" s="497" t="n">
        <x:f>'Payment dates'!E125</x:f>
        <x:v>3000000000</x:v>
      </x:c>
      <x:c r="E149" s="498" t="str">
        <x:v>orcl:FixedRateSeniorNotesDueApril2040Member</x:v>
      </x:c>
      <x:c r="F149" s="201"/>
      <x:c r="G149" s="201"/>
      <x:c r="H149" s="2"/>
      <x:c r="I149" s="2"/>
      <x:c r="J149" s="2"/>
      <x:c r="K149" s="2"/>
      <x:c r="L149" s="2"/>
      <x:c r="M149" s="2"/>
      <x:c r="N149" s="2"/>
      <x:c r="O149" s="2"/>
      <x:c r="P149" s="2"/>
      <x:c r="Q149" s="2"/>
      <x:c r="R149" s="2"/>
      <x:c r="S149" s="2"/>
      <x:c r="T149" s="2"/>
      <x:c r="U149" s="2"/>
      <x:c r="V149" s="2"/>
      <x:c r="W149" s="2"/>
      <x:c r="X149" s="2"/>
      <x:c r="Y149" s="2"/>
      <x:c r="Z149" s="2"/>
      <x:c r="AA149" s="2"/>
      <x:c r="AB149" s="2"/>
      <x:c r="AC149" s="2"/>
      <x:c r="AD149" s="2"/>
      <x:c r="AE149" s="2"/>
      <x:c r="AF149" s="2"/>
      <x:c r="AG149" s="2"/>
      <x:c r="AH149" s="2"/>
      <x:c r="AI149" s="2"/>
      <x:c r="AJ149" s="2"/>
      <x:c r="AK149" s="2"/>
      <x:c r="AL149" s="2"/>
      <x:c r="AM149" s="2"/>
      <x:c r="AN149" s="2"/>
      <x:c r="AO149" s="2"/>
    </x:row>
    <x:row r="150" ht="60" customHeight="1">
      <x:c r="A150" s="503" t="d">
        <x:v>2040-07-15T00:00:00.000Z</x:v>
      </x:c>
      <x:c r="B150" s="446" t="n">
        <x:v>2041</x:v>
      </x:c>
      <x:c r="C150" s="446" t="str">
        <x:v>Fixed-rate notes</x:v>
      </x:c>
      <x:c r="D150" s="497" t="n">
        <x:f>'Payment dates'!E126</x:f>
        <x:v>2250000000</x:v>
      </x:c>
      <x:c r="E150" s="498" t="str">
        <x:v>orcl:FixedRateSeniorNotesDueJuly2040Member</x:v>
      </x:c>
      <x:c r="F150" s="201"/>
      <x:c r="G150" s="201"/>
      <x:c r="H150" s="2"/>
      <x:c r="I150" s="2"/>
      <x:c r="J150" s="2"/>
      <x:c r="K150" s="2"/>
      <x:c r="L150" s="2"/>
      <x:c r="M150" s="2"/>
      <x:c r="N150" s="2"/>
      <x:c r="O150" s="2"/>
      <x:c r="P150" s="2"/>
      <x:c r="Q150" s="2"/>
      <x:c r="R150" s="2"/>
      <x:c r="S150" s="2"/>
      <x:c r="T150" s="2"/>
      <x:c r="U150" s="2"/>
      <x:c r="V150" s="2"/>
      <x:c r="W150" s="2"/>
      <x:c r="X150" s="2"/>
      <x:c r="Y150" s="2"/>
      <x:c r="Z150" s="2"/>
      <x:c r="AA150" s="2"/>
      <x:c r="AB150" s="2"/>
      <x:c r="AC150" s="2"/>
      <x:c r="AD150" s="2"/>
      <x:c r="AE150" s="2"/>
      <x:c r="AF150" s="2"/>
      <x:c r="AG150" s="2"/>
      <x:c r="AH150" s="2"/>
      <x:c r="AI150" s="2"/>
      <x:c r="AJ150" s="2"/>
      <x:c r="AK150" s="2"/>
      <x:c r="AL150" s="2"/>
      <x:c r="AM150" s="2"/>
      <x:c r="AN150" s="2"/>
      <x:c r="AO150" s="2"/>
    </x:row>
    <x:row r="151" ht="60" customHeight="1">
      <x:c r="A151" s="503" t="d">
        <x:v>2041-03-25T00:00:00.000Z</x:v>
      </x:c>
      <x:c r="B151" s="446" t="n">
        <x:v>2041</x:v>
      </x:c>
      <x:c r="C151" s="446" t="str">
        <x:v>Fixed-rate notes</x:v>
      </x:c>
      <x:c r="D151" s="497" t="n">
        <x:f>'Payment dates'!E127</x:f>
        <x:v>2250000000</x:v>
      </x:c>
      <x:c r="E151" s="498" t="str">
        <x:v>orcl:FixedRateSeniorNotesDueMarch2041Member</x:v>
      </x:c>
      <x:c r="F151" s="201"/>
      <x:c r="G151" s="201"/>
      <x:c r="H151" s="2"/>
      <x:c r="I151" s="2"/>
      <x:c r="J151" s="2"/>
      <x:c r="K151" s="2"/>
      <x:c r="L151" s="2"/>
      <x:c r="M151" s="2"/>
      <x:c r="N151" s="2"/>
      <x:c r="O151" s="2"/>
      <x:c r="P151" s="2"/>
      <x:c r="Q151" s="2"/>
      <x:c r="R151" s="2"/>
      <x:c r="S151" s="2"/>
      <x:c r="T151" s="2"/>
      <x:c r="U151" s="2"/>
      <x:c r="V151" s="2"/>
      <x:c r="W151" s="2"/>
      <x:c r="X151" s="2"/>
      <x:c r="Y151" s="2"/>
      <x:c r="Z151" s="2"/>
      <x:c r="AA151" s="2"/>
      <x:c r="AB151" s="2"/>
      <x:c r="AC151" s="2"/>
      <x:c r="AD151" s="2"/>
      <x:c r="AE151" s="2"/>
      <x:c r="AF151" s="2"/>
      <x:c r="AG151" s="2"/>
      <x:c r="AH151" s="2"/>
      <x:c r="AI151" s="2"/>
      <x:c r="AJ151" s="2"/>
      <x:c r="AK151" s="2"/>
      <x:c r="AL151" s="2"/>
      <x:c r="AM151" s="2"/>
      <x:c r="AN151" s="2"/>
      <x:c r="AO151" s="2"/>
    </x:row>
    <x:row r="152" ht="60" customHeight="1">
      <x:c r="A152" s="503" t="d">
        <x:v>2044-07-08T00:00:00.000Z</x:v>
      </x:c>
      <x:c r="B152" s="446" t="n">
        <x:v>2045</x:v>
      </x:c>
      <x:c r="C152" s="446" t="str">
        <x:v>Fixed-rate notes</x:v>
      </x:c>
      <x:c r="D152" s="497" t="n">
        <x:f>'Payment dates'!E128</x:f>
        <x:v>1000000000</x:v>
      </x:c>
      <x:c r="E152" s="498" t="str">
        <x:v>orcl:FixedRateSeniorNotesDueJuly2044Member</x:v>
      </x:c>
      <x:c r="F152" s="201"/>
      <x:c r="G152" s="201"/>
      <x:c r="H152" s="2"/>
      <x:c r="I152" s="2"/>
      <x:c r="J152" s="2"/>
      <x:c r="K152" s="2"/>
      <x:c r="L152" s="2"/>
      <x:c r="M152" s="2"/>
      <x:c r="N152" s="2"/>
      <x:c r="O152" s="2"/>
      <x:c r="P152" s="2"/>
      <x:c r="Q152" s="2"/>
      <x:c r="R152" s="2"/>
      <x:c r="S152" s="2"/>
      <x:c r="T152" s="2"/>
      <x:c r="U152" s="2"/>
      <x:c r="V152" s="2"/>
      <x:c r="W152" s="2"/>
      <x:c r="X152" s="2"/>
      <x:c r="Y152" s="2"/>
      <x:c r="Z152" s="2"/>
      <x:c r="AA152" s="2"/>
      <x:c r="AB152" s="2"/>
      <x:c r="AC152" s="2"/>
      <x:c r="AD152" s="2"/>
      <x:c r="AE152" s="2"/>
      <x:c r="AF152" s="2"/>
      <x:c r="AG152" s="2"/>
      <x:c r="AH152" s="2"/>
      <x:c r="AI152" s="2"/>
      <x:c r="AJ152" s="2"/>
      <x:c r="AK152" s="2"/>
      <x:c r="AL152" s="2"/>
      <x:c r="AM152" s="2"/>
      <x:c r="AN152" s="2"/>
      <x:c r="AO152" s="2"/>
    </x:row>
    <x:row r="153" ht="60" customHeight="1">
      <x:c r="A153" s="503" t="d">
        <x:v>2045-05-15T00:00:00.000Z</x:v>
      </x:c>
      <x:c r="B153" s="446" t="n">
        <x:v>2045</x:v>
      </x:c>
      <x:c r="C153" s="446" t="str">
        <x:v>Fixed-rate notes</x:v>
      </x:c>
      <x:c r="D153" s="497" t="n">
        <x:f>'Payment dates'!E129</x:f>
        <x:v>2000000000</x:v>
      </x:c>
      <x:c r="E153" s="498" t="str">
        <x:v>orcl:FixedRateSeniorNotesDueMay2045Member</x:v>
      </x:c>
      <x:c r="F153" s="201"/>
      <x:c r="G153" s="201"/>
      <x:c r="H153" s="2"/>
      <x:c r="I153" s="2"/>
      <x:c r="J153" s="2"/>
      <x:c r="K153" s="2"/>
      <x:c r="L153" s="2"/>
      <x:c r="M153" s="2"/>
      <x:c r="N153" s="2"/>
      <x:c r="O153" s="2"/>
      <x:c r="P153" s="2"/>
      <x:c r="Q153" s="2"/>
      <x:c r="R153" s="2"/>
      <x:c r="S153" s="2"/>
      <x:c r="T153" s="2"/>
      <x:c r="U153" s="2"/>
      <x:c r="V153" s="2"/>
      <x:c r="W153" s="2"/>
      <x:c r="X153" s="2"/>
      <x:c r="Y153" s="2"/>
      <x:c r="Z153" s="2"/>
      <x:c r="AA153" s="2"/>
      <x:c r="AB153" s="2"/>
      <x:c r="AC153" s="2"/>
      <x:c r="AD153" s="2"/>
      <x:c r="AE153" s="2"/>
      <x:c r="AF153" s="2"/>
      <x:c r="AG153" s="2"/>
      <x:c r="AH153" s="2"/>
      <x:c r="AI153" s="2"/>
      <x:c r="AJ153" s="2"/>
      <x:c r="AK153" s="2"/>
      <x:c r="AL153" s="2"/>
      <x:c r="AM153" s="2"/>
      <x:c r="AN153" s="2"/>
      <x:c r="AO153" s="2"/>
    </x:row>
    <x:row r="154" ht="60" customHeight="1">
      <x:c r="A154" s="503" t="d">
        <x:v>2045-09-26T00:00:00.000Z</x:v>
      </x:c>
      <x:c r="B154" s="446" t="n">
        <x:v>2046</x:v>
      </x:c>
      <x:c r="C154" s="446" t="str">
        <x:v>Fixed-rate notes</x:v>
      </x:c>
      <x:c r="D154" s="497" t="n">
        <x:f>'Payment dates'!E130</x:f>
        <x:v>2500000000</x:v>
      </x:c>
      <x:c r="E154" s="498" t="str">
        <x:v>orcl:FixedRateSeniorNotesDueSeptember2045Member</x:v>
      </x:c>
      <x:c r="F154" s="201"/>
      <x:c r="G154" s="201"/>
      <x:c r="H154" s="2"/>
      <x:c r="I154" s="2"/>
      <x:c r="J154" s="2"/>
      <x:c r="K154" s="2"/>
      <x:c r="L154" s="2"/>
      <x:c r="M154" s="2"/>
      <x:c r="N154" s="2"/>
      <x:c r="O154" s="2"/>
      <x:c r="P154" s="2"/>
      <x:c r="Q154" s="2"/>
      <x:c r="R154" s="2"/>
      <x:c r="S154" s="2"/>
      <x:c r="T154" s="2"/>
      <x:c r="U154" s="2"/>
      <x:c r="V154" s="2"/>
      <x:c r="W154" s="2"/>
      <x:c r="X154" s="2"/>
      <x:c r="Y154" s="2"/>
      <x:c r="Z154" s="2"/>
      <x:c r="AA154" s="2"/>
      <x:c r="AB154" s="2"/>
      <x:c r="AC154" s="2"/>
      <x:c r="AD154" s="2"/>
      <x:c r="AE154" s="2"/>
      <x:c r="AF154" s="2"/>
      <x:c r="AG154" s="2"/>
      <x:c r="AH154" s="2"/>
      <x:c r="AI154" s="2"/>
      <x:c r="AJ154" s="2"/>
      <x:c r="AK154" s="2"/>
      <x:c r="AL154" s="2"/>
      <x:c r="AM154" s="2"/>
      <x:c r="AN154" s="2"/>
      <x:c r="AO154" s="2"/>
    </x:row>
    <x:row r="155" ht="60" customHeight="1">
      <x:c r="A155" s="503" t="d">
        <x:v>2046-02-04T00:00:00.000Z</x:v>
      </x:c>
      <x:c r="B155" s="446" t="n">
        <x:v>2046</x:v>
      </x:c>
      <x:c r="C155" s="446" t="str">
        <x:v>Fixed-rate notes</x:v>
      </x:c>
      <x:c r="D155" s="497" t="n">
        <x:f>'Payment dates'!E131</x:f>
        <x:v>2250000000</x:v>
      </x:c>
      <x:c r="E155" s="498" t="str">
        <x:v>orcl:FixedRateSeniorNotesDueFebruary2046Member</x:v>
      </x:c>
      <x:c r="F155" s="201"/>
      <x:c r="G155" s="201"/>
      <x:c r="H155" s="2"/>
      <x:c r="I155" s="2"/>
      <x:c r="J155" s="2"/>
      <x:c r="K155" s="2"/>
      <x:c r="L155" s="2"/>
      <x:c r="M155" s="2"/>
      <x:c r="N155" s="2"/>
      <x:c r="O155" s="2"/>
      <x:c r="P155" s="2"/>
      <x:c r="Q155" s="2"/>
      <x:c r="R155" s="2"/>
      <x:c r="S155" s="2"/>
      <x:c r="T155" s="2"/>
      <x:c r="U155" s="2"/>
      <x:c r="V155" s="2"/>
      <x:c r="W155" s="2"/>
      <x:c r="X155" s="2"/>
      <x:c r="Y155" s="2"/>
      <x:c r="Z155" s="2"/>
      <x:c r="AA155" s="2"/>
      <x:c r="AB155" s="2"/>
      <x:c r="AC155" s="2"/>
      <x:c r="AD155" s="2"/>
      <x:c r="AE155" s="2"/>
      <x:c r="AF155" s="2"/>
      <x:c r="AG155" s="2"/>
      <x:c r="AH155" s="2"/>
      <x:c r="AI155" s="2"/>
      <x:c r="AJ155" s="2"/>
      <x:c r="AK155" s="2"/>
      <x:c r="AL155" s="2"/>
      <x:c r="AM155" s="2"/>
      <x:c r="AN155" s="2"/>
      <x:c r="AO155" s="2"/>
    </x:row>
    <x:row r="156" ht="60" customHeight="1">
      <x:c r="A156" s="503" t="d">
        <x:v>2046-07-15T00:00:00.000Z</x:v>
      </x:c>
      <x:c r="B156" s="446" t="n">
        <x:v>2047</x:v>
      </x:c>
      <x:c r="C156" s="446" t="str">
        <x:v>Fixed-rate notes</x:v>
      </x:c>
      <x:c r="D156" s="497" t="n">
        <x:f>'Payment dates'!E132</x:f>
        <x:v>3000000000</x:v>
      </x:c>
      <x:c r="E156" s="498" t="str">
        <x:v>orcl:FixedRateSeniorNotesDueJuly2046Member</x:v>
      </x:c>
      <x:c r="F156" s="201"/>
      <x:c r="G156" s="201"/>
      <x:c r="H156" s="2"/>
      <x:c r="I156" s="2"/>
      <x:c r="J156" s="2"/>
      <x:c r="K156" s="2"/>
      <x:c r="L156" s="2"/>
      <x:c r="M156" s="2"/>
      <x:c r="N156" s="2"/>
      <x:c r="O156" s="2"/>
      <x:c r="P156" s="2"/>
      <x:c r="Q156" s="2"/>
      <x:c r="R156" s="2"/>
      <x:c r="S156" s="2"/>
      <x:c r="T156" s="2"/>
      <x:c r="U156" s="2"/>
      <x:c r="V156" s="2"/>
      <x:c r="W156" s="2"/>
      <x:c r="X156" s="2"/>
      <x:c r="Y156" s="2"/>
      <x:c r="Z156" s="2"/>
      <x:c r="AA156" s="2"/>
      <x:c r="AB156" s="2"/>
      <x:c r="AC156" s="2"/>
      <x:c r="AD156" s="2"/>
      <x:c r="AE156" s="2"/>
      <x:c r="AF156" s="2"/>
      <x:c r="AG156" s="2"/>
      <x:c r="AH156" s="2"/>
      <x:c r="AI156" s="2"/>
      <x:c r="AJ156" s="2"/>
      <x:c r="AK156" s="2"/>
      <x:c r="AL156" s="2"/>
      <x:c r="AM156" s="2"/>
      <x:c r="AN156" s="2"/>
      <x:c r="AO156" s="2"/>
    </x:row>
    <x:row r="157" ht="60" customHeight="1">
      <x:c r="A157" s="503" t="d">
        <x:v>2047-11-15T00:00:00.000Z</x:v>
      </x:c>
      <x:c r="B157" s="446" t="n">
        <x:v>2048</x:v>
      </x:c>
      <x:c r="C157" s="446" t="str">
        <x:v>Fixed-rate notes</x:v>
      </x:c>
      <x:c r="D157" s="497" t="n">
        <x:f>'Payment dates'!E133</x:f>
        <x:v>2250000000</x:v>
      </x:c>
      <x:c r="E157" s="498" t="str">
        <x:v>orcl:FixedRateSeniorNotesDueNovember2047Member</x:v>
      </x:c>
      <x:c r="F157" s="201"/>
      <x:c r="G157" s="201"/>
      <x:c r="H157" s="2"/>
      <x:c r="I157" s="2"/>
      <x:c r="J157" s="2"/>
      <x:c r="K157" s="2"/>
      <x:c r="L157" s="2"/>
      <x:c r="M157" s="2"/>
      <x:c r="N157" s="2"/>
      <x:c r="O157" s="2"/>
      <x:c r="P157" s="2"/>
      <x:c r="Q157" s="2"/>
      <x:c r="R157" s="2"/>
      <x:c r="S157" s="2"/>
      <x:c r="T157" s="2"/>
      <x:c r="U157" s="2"/>
      <x:c r="V157" s="2"/>
      <x:c r="W157" s="2"/>
      <x:c r="X157" s="2"/>
      <x:c r="Y157" s="2"/>
      <x:c r="Z157" s="2"/>
      <x:c r="AA157" s="2"/>
      <x:c r="AB157" s="2"/>
      <x:c r="AC157" s="2"/>
      <x:c r="AD157" s="2"/>
      <x:c r="AE157" s="2"/>
      <x:c r="AF157" s="2"/>
      <x:c r="AG157" s="2"/>
      <x:c r="AH157" s="2"/>
      <x:c r="AI157" s="2"/>
      <x:c r="AJ157" s="2"/>
      <x:c r="AK157" s="2"/>
      <x:c r="AL157" s="2"/>
      <x:c r="AM157" s="2"/>
      <x:c r="AN157" s="2"/>
      <x:c r="AO157" s="2"/>
    </x:row>
    <x:row r="158" ht="60" customHeight="1">
      <x:c r="A158" s="503" t="d">
        <x:v>2050-04-01T00:00:00.000Z</x:v>
      </x:c>
      <x:c r="B158" s="446" t="n">
        <x:v>2050</x:v>
      </x:c>
      <x:c r="C158" s="446" t="str">
        <x:v>Fixed-rate notes</x:v>
      </x:c>
      <x:c r="D158" s="497" t="n">
        <x:f>'Payment dates'!E134</x:f>
        <x:v>4500000000</x:v>
      </x:c>
      <x:c r="E158" s="498" t="str">
        <x:v>orcl:FixedRateSeniorNotesDueApril2050Member</x:v>
      </x:c>
      <x:c r="F158" s="201"/>
      <x:c r="G158" s="201"/>
      <x:c r="H158" s="2"/>
      <x:c r="I158" s="2"/>
      <x:c r="J158" s="2"/>
      <x:c r="K158" s="2"/>
      <x:c r="L158" s="2"/>
      <x:c r="M158" s="2"/>
      <x:c r="N158" s="2"/>
      <x:c r="O158" s="2"/>
      <x:c r="P158" s="2"/>
      <x:c r="Q158" s="2"/>
      <x:c r="R158" s="2"/>
      <x:c r="S158" s="2"/>
      <x:c r="T158" s="2"/>
      <x:c r="U158" s="2"/>
      <x:c r="V158" s="2"/>
      <x:c r="W158" s="2"/>
      <x:c r="X158" s="2"/>
      <x:c r="Y158" s="2"/>
      <x:c r="Z158" s="2"/>
      <x:c r="AA158" s="2"/>
      <x:c r="AB158" s="2"/>
      <x:c r="AC158" s="2"/>
      <x:c r="AD158" s="2"/>
      <x:c r="AE158" s="2"/>
      <x:c r="AF158" s="2"/>
      <x:c r="AG158" s="2"/>
      <x:c r="AH158" s="2"/>
      <x:c r="AI158" s="2"/>
      <x:c r="AJ158" s="2"/>
      <x:c r="AK158" s="2"/>
      <x:c r="AL158" s="2"/>
      <x:c r="AM158" s="2"/>
      <x:c r="AN158" s="2"/>
      <x:c r="AO158" s="2"/>
    </x:row>
    <x:row r="159" ht="60" customHeight="1">
      <x:c r="A159" s="503" t="d">
        <x:v>2051-03-25T00:00:00.000Z</x:v>
      </x:c>
      <x:c r="B159" s="446" t="n">
        <x:v>2051</x:v>
      </x:c>
      <x:c r="C159" s="446" t="str">
        <x:v>Fixed-rate notes</x:v>
      </x:c>
      <x:c r="D159" s="497" t="n">
        <x:f>'Payment dates'!E135</x:f>
        <x:v>3250000000</x:v>
      </x:c>
      <x:c r="E159" s="498" t="str">
        <x:v>orcl:FixedRateSeniorNotesDueMarch2051Member</x:v>
      </x:c>
      <x:c r="F159" s="201"/>
      <x:c r="G159" s="201"/>
      <x:c r="H159" s="2"/>
      <x:c r="I159" s="2"/>
      <x:c r="J159" s="2"/>
      <x:c r="K159" s="2"/>
      <x:c r="L159" s="2"/>
      <x:c r="M159" s="2"/>
      <x:c r="N159" s="2"/>
      <x:c r="O159" s="2"/>
      <x:c r="P159" s="2"/>
      <x:c r="Q159" s="2"/>
      <x:c r="R159" s="2"/>
      <x:c r="S159" s="2"/>
      <x:c r="T159" s="2"/>
      <x:c r="U159" s="2"/>
      <x:c r="V159" s="2"/>
      <x:c r="W159" s="2"/>
      <x:c r="X159" s="2"/>
      <x:c r="Y159" s="2"/>
      <x:c r="Z159" s="2"/>
      <x:c r="AA159" s="2"/>
      <x:c r="AB159" s="2"/>
      <x:c r="AC159" s="2"/>
      <x:c r="AD159" s="2"/>
      <x:c r="AE159" s="2"/>
      <x:c r="AF159" s="2"/>
      <x:c r="AG159" s="2"/>
      <x:c r="AH159" s="2"/>
      <x:c r="AI159" s="2"/>
      <x:c r="AJ159" s="2"/>
      <x:c r="AK159" s="2"/>
      <x:c r="AL159" s="2"/>
      <x:c r="AM159" s="2"/>
      <x:c r="AN159" s="2"/>
      <x:c r="AO159" s="2"/>
    </x:row>
    <x:row r="160" ht="60" customHeight="1">
      <x:c r="A160" s="503" t="d">
        <x:v>2052-11-09T00:00:00.000Z</x:v>
      </x:c>
      <x:c r="B160" s="446" t="n">
        <x:v>2053</x:v>
      </x:c>
      <x:c r="C160" s="446" t="str">
        <x:v>Fixed-rate notes</x:v>
      </x:c>
      <x:c r="D160" s="497" t="n">
        <x:f>'Payment dates'!E136</x:f>
        <x:v>2500000000</x:v>
      </x:c>
      <x:c r="E160" s="498" t="str">
        <x:v>orcl:FixedRateSeniorNotesDueNovember2052Member</x:v>
      </x:c>
      <x:c r="F160" s="201"/>
      <x:c r="G160" s="201"/>
      <x:c r="H160" s="2"/>
      <x:c r="I160" s="2"/>
      <x:c r="J160" s="2"/>
      <x:c r="K160" s="2"/>
      <x:c r="L160" s="2"/>
      <x:c r="M160" s="2"/>
      <x:c r="N160" s="2"/>
      <x:c r="O160" s="2"/>
      <x:c r="P160" s="2"/>
      <x:c r="Q160" s="2"/>
      <x:c r="R160" s="2"/>
      <x:c r="S160" s="2"/>
      <x:c r="T160" s="2"/>
      <x:c r="U160" s="2"/>
      <x:c r="V160" s="2"/>
      <x:c r="W160" s="2"/>
      <x:c r="X160" s="2"/>
      <x:c r="Y160" s="2"/>
      <x:c r="Z160" s="2"/>
      <x:c r="AA160" s="2"/>
      <x:c r="AB160" s="2"/>
      <x:c r="AC160" s="2"/>
      <x:c r="AD160" s="2"/>
      <x:c r="AE160" s="2"/>
      <x:c r="AF160" s="2"/>
      <x:c r="AG160" s="2"/>
      <x:c r="AH160" s="2"/>
      <x:c r="AI160" s="2"/>
      <x:c r="AJ160" s="2"/>
      <x:c r="AK160" s="2"/>
      <x:c r="AL160" s="2"/>
      <x:c r="AM160" s="2"/>
      <x:c r="AN160" s="2"/>
      <x:c r="AO160" s="2"/>
    </x:row>
    <x:row r="161" ht="60" customHeight="1">
      <x:c r="A161" s="503" t="d">
        <x:v>2053-02-28T00:00:00.000Z</x:v>
      </x:c>
      <x:c r="B161" s="446" t="n">
        <x:v>2053</x:v>
      </x:c>
      <x:c r="C161" s="446" t="str">
        <x:v>Fixed-rate notes</x:v>
      </x:c>
      <x:c r="D161" s="497" t="n">
        <x:f>'Payment dates'!E137</x:f>
        <x:v>2250000000</x:v>
      </x:c>
      <x:c r="E161" s="498" t="str">
        <x:v>orcl:FixedRateSeniorNotesDueFebruary2053Member</x:v>
      </x:c>
      <x:c r="F161" s="201"/>
      <x:c r="G161" s="201"/>
      <x:c r="H161" s="2"/>
      <x:c r="I161" s="2"/>
      <x:c r="J161" s="2"/>
      <x:c r="K161" s="2"/>
      <x:c r="L161" s="2"/>
      <x:c r="M161" s="2"/>
      <x:c r="N161" s="2"/>
      <x:c r="O161" s="2"/>
      <x:c r="P161" s="2"/>
      <x:c r="Q161" s="2"/>
      <x:c r="R161" s="2"/>
      <x:c r="S161" s="2"/>
      <x:c r="T161" s="2"/>
      <x:c r="U161" s="2"/>
      <x:c r="V161" s="2"/>
      <x:c r="W161" s="2"/>
      <x:c r="X161" s="2"/>
      <x:c r="Y161" s="2"/>
      <x:c r="Z161" s="2"/>
      <x:c r="AA161" s="2"/>
      <x:c r="AB161" s="2"/>
      <x:c r="AC161" s="2"/>
      <x:c r="AD161" s="2"/>
      <x:c r="AE161" s="2"/>
      <x:c r="AF161" s="2"/>
      <x:c r="AG161" s="2"/>
      <x:c r="AH161" s="2"/>
      <x:c r="AI161" s="2"/>
      <x:c r="AJ161" s="2"/>
      <x:c r="AK161" s="2"/>
      <x:c r="AL161" s="2"/>
      <x:c r="AM161" s="2"/>
      <x:c r="AN161" s="2"/>
      <x:c r="AO161" s="2"/>
    </x:row>
    <x:row r="162" ht="60" customHeight="1">
      <x:c r="A162" s="503" t="d">
        <x:v>2054-09-27T00:00:00.000Z</x:v>
      </x:c>
      <x:c r="B162" s="446" t="n">
        <x:v>2055</x:v>
      </x:c>
      <x:c r="C162" s="446" t="str">
        <x:v>Fixed-rate notes</x:v>
      </x:c>
      <x:c r="D162" s="497" t="n">
        <x:f>'Payment dates'!E138</x:f>
        <x:v>1750000000</x:v>
      </x:c>
      <x:c r="E162" s="498" t="str">
        <x:v>orcl:Fixed-RateSeniorNotesDueSeptember2054Member</x:v>
      </x:c>
      <x:c r="F162" s="201"/>
      <x:c r="G162" s="201"/>
      <x:c r="H162" s="2"/>
      <x:c r="I162" s="2"/>
      <x:c r="J162" s="2"/>
      <x:c r="K162" s="2"/>
      <x:c r="L162" s="2"/>
      <x:c r="M162" s="2"/>
      <x:c r="N162" s="2"/>
      <x:c r="O162" s="2"/>
      <x:c r="P162" s="2"/>
      <x:c r="Q162" s="2"/>
      <x:c r="R162" s="2"/>
      <x:c r="S162" s="2"/>
      <x:c r="T162" s="2"/>
      <x:c r="U162" s="2"/>
      <x:c r="V162" s="2"/>
      <x:c r="W162" s="2"/>
      <x:c r="X162" s="2"/>
      <x:c r="Y162" s="2"/>
      <x:c r="Z162" s="2"/>
      <x:c r="AA162" s="2"/>
      <x:c r="AB162" s="2"/>
      <x:c r="AC162" s="2"/>
      <x:c r="AD162" s="2"/>
      <x:c r="AE162" s="2"/>
      <x:c r="AF162" s="2"/>
      <x:c r="AG162" s="2"/>
      <x:c r="AH162" s="2"/>
      <x:c r="AI162" s="2"/>
      <x:c r="AJ162" s="2"/>
      <x:c r="AK162" s="2"/>
      <x:c r="AL162" s="2"/>
      <x:c r="AM162" s="2"/>
      <x:c r="AN162" s="2"/>
      <x:c r="AO162" s="2"/>
    </x:row>
    <x:row r="163" ht="60" customHeight="1">
      <x:c r="A163" s="503" t="d">
        <x:v>2055-05-15T00:00:00.000Z</x:v>
      </x:c>
      <x:c r="B163" s="446" t="n">
        <x:v>2055</x:v>
      </x:c>
      <x:c r="C163" s="446" t="str">
        <x:v>Fixed-rate notes</x:v>
      </x:c>
      <x:c r="D163" s="497" t="n">
        <x:f>'Payment dates'!E139</x:f>
        <x:v>1250000000</x:v>
      </x:c>
      <x:c r="E163" s="498" t="str">
        <x:v>orcl:FixedRateSeniorNotesDueMay2055Member</x:v>
      </x:c>
      <x:c r="F163" s="201"/>
      <x:c r="G163" s="201"/>
      <x:c r="H163" s="2"/>
      <x:c r="I163" s="2"/>
      <x:c r="J163" s="2"/>
      <x:c r="K163" s="2"/>
      <x:c r="L163" s="2"/>
      <x:c r="M163" s="2"/>
      <x:c r="N163" s="2"/>
      <x:c r="O163" s="2"/>
      <x:c r="P163" s="2"/>
      <x:c r="Q163" s="2"/>
      <x:c r="R163" s="2"/>
      <x:c r="S163" s="2"/>
      <x:c r="T163" s="2"/>
      <x:c r="U163" s="2"/>
      <x:c r="V163" s="2"/>
      <x:c r="W163" s="2"/>
      <x:c r="X163" s="2"/>
      <x:c r="Y163" s="2"/>
      <x:c r="Z163" s="2"/>
      <x:c r="AA163" s="2"/>
      <x:c r="AB163" s="2"/>
      <x:c r="AC163" s="2"/>
      <x:c r="AD163" s="2"/>
      <x:c r="AE163" s="2"/>
      <x:c r="AF163" s="2"/>
      <x:c r="AG163" s="2"/>
      <x:c r="AH163" s="2"/>
      <x:c r="AI163" s="2"/>
      <x:c r="AJ163" s="2"/>
      <x:c r="AK163" s="2"/>
      <x:c r="AL163" s="2"/>
      <x:c r="AM163" s="2"/>
      <x:c r="AN163" s="2"/>
      <x:c r="AO163" s="2"/>
    </x:row>
    <x:row r="164" ht="60" customHeight="1">
      <x:c r="A164" s="503" t="d">
        <x:v>2055-08-03T00:00:00.000Z</x:v>
      </x:c>
      <x:c r="B164" s="446" t="n">
        <x:v>2056</x:v>
      </x:c>
      <x:c r="C164" s="446" t="str">
        <x:v>Fixed-rate notes</x:v>
      </x:c>
      <x:c r="D164" s="497" t="n">
        <x:f>'Payment dates'!E140</x:f>
        <x:v>1750000000</x:v>
      </x:c>
      <x:c r="E164" s="498" t="str">
        <x:v>orcl:Fixed-RateSeniorNotesDueAugust2055Member</x:v>
      </x:c>
      <x:c r="F164" s="201"/>
      <x:c r="G164" s="201"/>
      <x:c r="H164" s="2"/>
      <x:c r="I164" s="2"/>
      <x:c r="J164" s="2"/>
      <x:c r="K164" s="2"/>
      <x:c r="L164" s="2"/>
      <x:c r="M164" s="2"/>
      <x:c r="N164" s="2"/>
      <x:c r="O164" s="2"/>
      <x:c r="P164" s="2"/>
      <x:c r="Q164" s="2"/>
      <x:c r="R164" s="2"/>
      <x:c r="S164" s="2"/>
      <x:c r="T164" s="2"/>
      <x:c r="U164" s="2"/>
      <x:c r="V164" s="2"/>
      <x:c r="W164" s="2"/>
      <x:c r="X164" s="2"/>
      <x:c r="Y164" s="2"/>
      <x:c r="Z164" s="2"/>
      <x:c r="AA164" s="2"/>
      <x:c r="AB164" s="2"/>
      <x:c r="AC164" s="2"/>
      <x:c r="AD164" s="2"/>
      <x:c r="AE164" s="2"/>
      <x:c r="AF164" s="2"/>
      <x:c r="AG164" s="2"/>
      <x:c r="AH164" s="2"/>
      <x:c r="AI164" s="2"/>
      <x:c r="AJ164" s="2"/>
      <x:c r="AK164" s="2"/>
      <x:c r="AL164" s="2"/>
      <x:c r="AM164" s="2"/>
      <x:c r="AN164" s="2"/>
      <x:c r="AO164" s="2"/>
    </x:row>
    <x:row r="165" ht="60" customHeight="1">
      <x:c r="A165" s="503" t="d">
        <x:v>2055-09-26T00:00:00.000Z</x:v>
      </x:c>
      <x:c r="B165" s="446" t="n">
        <x:v>2056</x:v>
      </x:c>
      <x:c r="C165" s="446" t="str">
        <x:v>Fixed-rate notes</x:v>
      </x:c>
      <x:c r="D165" s="497" t="n">
        <x:f>'Payment dates'!E141</x:f>
        <x:v>3500000000</x:v>
      </x:c>
      <x:c r="E165" s="498" t="str">
        <x:v>orcl:Fixed-RateSeniorNotesDueSeptember2055Member</x:v>
      </x:c>
      <x:c r="F165" s="201"/>
      <x:c r="G165" s="201"/>
      <x:c r="H165" s="2"/>
      <x:c r="I165" s="2"/>
      <x:c r="J165" s="2"/>
      <x:c r="K165" s="2"/>
      <x:c r="L165" s="2"/>
      <x:c r="M165" s="2"/>
      <x:c r="N165" s="2"/>
      <x:c r="O165" s="2"/>
      <x:c r="P165" s="2"/>
      <x:c r="Q165" s="2"/>
      <x:c r="R165" s="2"/>
      <x:c r="S165" s="2"/>
      <x:c r="T165" s="2"/>
      <x:c r="U165" s="2"/>
      <x:c r="V165" s="2"/>
      <x:c r="W165" s="2"/>
      <x:c r="X165" s="2"/>
      <x:c r="Y165" s="2"/>
      <x:c r="Z165" s="2"/>
      <x:c r="AA165" s="2"/>
      <x:c r="AB165" s="2"/>
      <x:c r="AC165" s="2"/>
      <x:c r="AD165" s="2"/>
      <x:c r="AE165" s="2"/>
      <x:c r="AF165" s="2"/>
      <x:c r="AG165" s="2"/>
      <x:c r="AH165" s="2"/>
      <x:c r="AI165" s="2"/>
      <x:c r="AJ165" s="2"/>
      <x:c r="AK165" s="2"/>
      <x:c r="AL165" s="2"/>
      <x:c r="AM165" s="2"/>
      <x:c r="AN165" s="2"/>
      <x:c r="AO165" s="2"/>
    </x:row>
    <x:row r="166" ht="60" customHeight="1">
      <x:c r="A166" s="503" t="d">
        <x:v>2056-02-04T00:00:00.000Z</x:v>
      </x:c>
      <x:c r="B166" s="446" t="n">
        <x:v>2056</x:v>
      </x:c>
      <x:c r="C166" s="446" t="str">
        <x:v>Fixed-rate notes</x:v>
      </x:c>
      <x:c r="D166" s="497" t="n">
        <x:f>'Payment dates'!E142</x:f>
        <x:v>5000000000</x:v>
      </x:c>
      <x:c r="E166" s="498" t="str">
        <x:v>orcl:Fixed-RateSeniorNotesDueFebruary2056Member</x:v>
      </x:c>
      <x:c r="F166" s="201"/>
      <x:c r="G166" s="201"/>
      <x:c r="H166" s="2"/>
      <x:c r="I166" s="2"/>
      <x:c r="J166" s="2"/>
      <x:c r="K166" s="2"/>
      <x:c r="L166" s="2"/>
      <x:c r="M166" s="2"/>
      <x:c r="N166" s="2"/>
      <x:c r="O166" s="2"/>
      <x:c r="P166" s="2"/>
      <x:c r="Q166" s="2"/>
      <x:c r="R166" s="2"/>
      <x:c r="S166" s="2"/>
      <x:c r="T166" s="2"/>
      <x:c r="U166" s="2"/>
      <x:c r="V166" s="2"/>
      <x:c r="W166" s="2"/>
      <x:c r="X166" s="2"/>
      <x:c r="Y166" s="2"/>
      <x:c r="Z166" s="2"/>
      <x:c r="AA166" s="2"/>
      <x:c r="AB166" s="2"/>
      <x:c r="AC166" s="2"/>
      <x:c r="AD166" s="2"/>
      <x:c r="AE166" s="2"/>
      <x:c r="AF166" s="2"/>
      <x:c r="AG166" s="2"/>
      <x:c r="AH166" s="2"/>
      <x:c r="AI166" s="2"/>
      <x:c r="AJ166" s="2"/>
      <x:c r="AK166" s="2"/>
      <x:c r="AL166" s="2"/>
      <x:c r="AM166" s="2"/>
      <x:c r="AN166" s="2"/>
      <x:c r="AO166" s="2"/>
    </x:row>
    <x:row r="167" ht="60" customHeight="1">
      <x:c r="A167" s="503" t="d">
        <x:v>2060-04-01T00:00:00.000Z</x:v>
      </x:c>
      <x:c r="B167" s="446" t="n">
        <x:v>2060</x:v>
      </x:c>
      <x:c r="C167" s="446" t="str">
        <x:v>Fixed-rate notes</x:v>
      </x:c>
      <x:c r="D167" s="497" t="n">
        <x:f>'Payment dates'!E143</x:f>
        <x:v>3500000000</x:v>
      </x:c>
      <x:c r="E167" s="498" t="str">
        <x:v>orcl:FixedRateSeniorNotesDueApril2060Member</x:v>
      </x:c>
      <x:c r="F167" s="201"/>
      <x:c r="G167" s="201"/>
      <x:c r="H167" s="2"/>
      <x:c r="I167" s="2"/>
      <x:c r="J167" s="2"/>
      <x:c r="K167" s="2"/>
      <x:c r="L167" s="2"/>
      <x:c r="M167" s="2"/>
      <x:c r="N167" s="2"/>
      <x:c r="O167" s="2"/>
      <x:c r="P167" s="2"/>
      <x:c r="Q167" s="2"/>
      <x:c r="R167" s="2"/>
      <x:c r="S167" s="2"/>
      <x:c r="T167" s="2"/>
      <x:c r="U167" s="2"/>
      <x:c r="V167" s="2"/>
      <x:c r="W167" s="2"/>
      <x:c r="X167" s="2"/>
      <x:c r="Y167" s="2"/>
      <x:c r="Z167" s="2"/>
      <x:c r="AA167" s="2"/>
      <x:c r="AB167" s="2"/>
      <x:c r="AC167" s="2"/>
      <x:c r="AD167" s="2"/>
      <x:c r="AE167" s="2"/>
      <x:c r="AF167" s="2"/>
      <x:c r="AG167" s="2"/>
      <x:c r="AH167" s="2"/>
      <x:c r="AI167" s="2"/>
      <x:c r="AJ167" s="2"/>
      <x:c r="AK167" s="2"/>
      <x:c r="AL167" s="2"/>
      <x:c r="AM167" s="2"/>
      <x:c r="AN167" s="2"/>
      <x:c r="AO167" s="2"/>
    </x:row>
    <x:row r="168" ht="60" customHeight="1">
      <x:c r="A168" s="503" t="d">
        <x:v>2061-03-25T00:00:00.000Z</x:v>
      </x:c>
      <x:c r="B168" s="446" t="n">
        <x:v>2061</x:v>
      </x:c>
      <x:c r="C168" s="446" t="str">
        <x:v>Fixed-rate notes</x:v>
      </x:c>
      <x:c r="D168" s="497" t="n">
        <x:f>'Payment dates'!E144</x:f>
        <x:v>1500000000</x:v>
      </x:c>
      <x:c r="E168" s="498" t="str">
        <x:v>orcl:FixedRateSeniorNotesDueMarch2061Member</x:v>
      </x:c>
      <x:c r="F168" s="201"/>
      <x:c r="G168" s="201"/>
      <x:c r="H168" s="2"/>
      <x:c r="I168" s="2"/>
      <x:c r="J168" s="2"/>
      <x:c r="K168" s="2"/>
      <x:c r="L168" s="2"/>
      <x:c r="M168" s="2"/>
      <x:c r="N168" s="2"/>
      <x:c r="O168" s="2"/>
      <x:c r="P168" s="2"/>
      <x:c r="Q168" s="2"/>
      <x:c r="R168" s="2"/>
      <x:c r="S168" s="2"/>
      <x:c r="T168" s="2"/>
      <x:c r="U168" s="2"/>
      <x:c r="V168" s="2"/>
      <x:c r="W168" s="2"/>
      <x:c r="X168" s="2"/>
      <x:c r="Y168" s="2"/>
      <x:c r="Z168" s="2"/>
      <x:c r="AA168" s="2"/>
      <x:c r="AB168" s="2"/>
      <x:c r="AC168" s="2"/>
      <x:c r="AD168" s="2"/>
      <x:c r="AE168" s="2"/>
      <x:c r="AF168" s="2"/>
      <x:c r="AG168" s="2"/>
      <x:c r="AH168" s="2"/>
      <x:c r="AI168" s="2"/>
      <x:c r="AJ168" s="2"/>
      <x:c r="AK168" s="2"/>
      <x:c r="AL168" s="2"/>
      <x:c r="AM168" s="2"/>
      <x:c r="AN168" s="2"/>
      <x:c r="AO168" s="2"/>
    </x:row>
    <x:row r="169" ht="60" customHeight="1">
      <x:c r="A169" s="503" t="d">
        <x:v>2064-09-27T00:00:00.000Z</x:v>
      </x:c>
      <x:c r="B169" s="446" t="n">
        <x:v>2065</x:v>
      </x:c>
      <x:c r="C169" s="446" t="str">
        <x:v>Fixed-rate notes</x:v>
      </x:c>
      <x:c r="D169" s="497" t="n">
        <x:f>'Payment dates'!E145</x:f>
        <x:v>1250000000</x:v>
      </x:c>
      <x:c r="E169" s="498" t="str">
        <x:v>orcl:Fixed-RateSeniorNotesDueSeptember2064Member</x:v>
      </x:c>
      <x:c r="F169" s="201"/>
      <x:c r="G169" s="201"/>
      <x:c r="H169" s="2"/>
      <x:c r="I169" s="2"/>
      <x:c r="J169" s="2"/>
      <x:c r="K169" s="2"/>
      <x:c r="L169" s="2"/>
      <x:c r="M169" s="2"/>
      <x:c r="N169" s="2"/>
      <x:c r="O169" s="2"/>
      <x:c r="P169" s="2"/>
      <x:c r="Q169" s="2"/>
      <x:c r="R169" s="2"/>
      <x:c r="S169" s="2"/>
      <x:c r="T169" s="2"/>
      <x:c r="U169" s="2"/>
      <x:c r="V169" s="2"/>
      <x:c r="W169" s="2"/>
      <x:c r="X169" s="2"/>
      <x:c r="Y169" s="2"/>
      <x:c r="Z169" s="2"/>
      <x:c r="AA169" s="2"/>
      <x:c r="AB169" s="2"/>
      <x:c r="AC169" s="2"/>
      <x:c r="AD169" s="2"/>
      <x:c r="AE169" s="2"/>
      <x:c r="AF169" s="2"/>
      <x:c r="AG169" s="2"/>
      <x:c r="AH169" s="2"/>
      <x:c r="AI169" s="2"/>
      <x:c r="AJ169" s="2"/>
      <x:c r="AK169" s="2"/>
      <x:c r="AL169" s="2"/>
      <x:c r="AM169" s="2"/>
      <x:c r="AN169" s="2"/>
      <x:c r="AO169" s="2"/>
    </x:row>
    <x:row r="170" ht="60" customHeight="1">
      <x:c r="A170" s="503" t="d">
        <x:v>2065-08-03T00:00:00.000Z</x:v>
      </x:c>
      <x:c r="B170" s="446" t="n">
        <x:v>2066</x:v>
      </x:c>
      <x:c r="C170" s="446" t="str">
        <x:v>Fixed-rate notes</x:v>
      </x:c>
      <x:c r="D170" s="497" t="n">
        <x:f>'Payment dates'!E146</x:f>
        <x:v>1000000000</x:v>
      </x:c>
      <x:c r="E170" s="498" t="str">
        <x:v>orcl:Fixed-RateSeniorNotesDueAugust2065Member</x:v>
      </x:c>
      <x:c r="F170" s="201"/>
      <x:c r="G170" s="201"/>
      <x:c r="H170" s="2"/>
      <x:c r="I170" s="2"/>
      <x:c r="J170" s="2"/>
      <x:c r="K170" s="2"/>
      <x:c r="L170" s="2"/>
      <x:c r="M170" s="2"/>
      <x:c r="N170" s="2"/>
      <x:c r="O170" s="2"/>
      <x:c r="P170" s="2"/>
      <x:c r="Q170" s="2"/>
      <x:c r="R170" s="2"/>
      <x:c r="S170" s="2"/>
      <x:c r="T170" s="2"/>
      <x:c r="U170" s="2"/>
      <x:c r="V170" s="2"/>
      <x:c r="W170" s="2"/>
      <x:c r="X170" s="2"/>
      <x:c r="Y170" s="2"/>
      <x:c r="Z170" s="2"/>
      <x:c r="AA170" s="2"/>
      <x:c r="AB170" s="2"/>
      <x:c r="AC170" s="2"/>
      <x:c r="AD170" s="2"/>
      <x:c r="AE170" s="2"/>
      <x:c r="AF170" s="2"/>
      <x:c r="AG170" s="2"/>
      <x:c r="AH170" s="2"/>
      <x:c r="AI170" s="2"/>
      <x:c r="AJ170" s="2"/>
      <x:c r="AK170" s="2"/>
      <x:c r="AL170" s="2"/>
      <x:c r="AM170" s="2"/>
      <x:c r="AN170" s="2"/>
      <x:c r="AO170" s="2"/>
    </x:row>
    <x:row r="171" ht="60" customHeight="1">
      <x:c r="A171" s="503" t="d">
        <x:v>2065-09-26T00:00:00.000Z</x:v>
      </x:c>
      <x:c r="B171" s="446" t="n">
        <x:v>2066</x:v>
      </x:c>
      <x:c r="C171" s="446" t="str">
        <x:v>Fixed-rate notes</x:v>
      </x:c>
      <x:c r="D171" s="497" t="n">
        <x:f>'Payment dates'!E147</x:f>
        <x:v>2000000000</x:v>
      </x:c>
      <x:c r="E171" s="498" t="str">
        <x:v>orcl:Fixed-RateSeniorNotesDueSeptember2065Member</x:v>
      </x:c>
      <x:c r="F171" s="201"/>
      <x:c r="G171" s="201"/>
      <x:c r="H171" s="2"/>
      <x:c r="I171" s="2"/>
      <x:c r="J171" s="2"/>
      <x:c r="K171" s="2"/>
      <x:c r="L171" s="2"/>
      <x:c r="M171" s="2"/>
      <x:c r="N171" s="2"/>
      <x:c r="O171" s="2"/>
      <x:c r="P171" s="2"/>
      <x:c r="Q171" s="2"/>
      <x:c r="R171" s="2"/>
      <x:c r="S171" s="2"/>
      <x:c r="T171" s="2"/>
      <x:c r="U171" s="2"/>
      <x:c r="V171" s="2"/>
      <x:c r="W171" s="2"/>
      <x:c r="X171" s="2"/>
      <x:c r="Y171" s="2"/>
      <x:c r="Z171" s="2"/>
      <x:c r="AA171" s="2"/>
      <x:c r="AB171" s="2"/>
      <x:c r="AC171" s="2"/>
      <x:c r="AD171" s="2"/>
      <x:c r="AE171" s="2"/>
      <x:c r="AF171" s="2"/>
      <x:c r="AG171" s="2"/>
      <x:c r="AH171" s="2"/>
      <x:c r="AI171" s="2"/>
      <x:c r="AJ171" s="2"/>
      <x:c r="AK171" s="2"/>
      <x:c r="AL171" s="2"/>
      <x:c r="AM171" s="2"/>
      <x:c r="AN171" s="2"/>
      <x:c r="AO171" s="2"/>
    </x:row>
    <x:row r="172" ht="60" customHeight="1">
      <x:c r="A172" s="503" t="d">
        <x:v>2066-02-04T00:00:00.000Z</x:v>
      </x:c>
      <x:c r="B172" s="446" t="n">
        <x:v>2066</x:v>
      </x:c>
      <x:c r="C172" s="446" t="str">
        <x:v>Fixed-rate notes</x:v>
      </x:c>
      <x:c r="D172" s="497" t="n">
        <x:f>'Payment dates'!E148</x:f>
        <x:v>2750000000</x:v>
      </x:c>
      <x:c r="E172" s="498" t="str">
        <x:v>orcl:Fixed-RateSeniorNotesDueFebruary2066Member</x:v>
      </x:c>
      <x:c r="F172" s="201"/>
      <x:c r="G172" s="201"/>
      <x:c r="H172" s="2"/>
      <x:c r="I172" s="2"/>
      <x:c r="J172" s="2"/>
      <x:c r="K172" s="2"/>
      <x:c r="L172" s="2"/>
      <x:c r="M172" s="2"/>
      <x:c r="N172" s="2"/>
      <x:c r="O172" s="2"/>
      <x:c r="P172" s="2"/>
      <x:c r="Q172" s="2"/>
      <x:c r="R172" s="2"/>
      <x:c r="S172" s="2"/>
      <x:c r="T172" s="2"/>
      <x:c r="U172" s="2"/>
      <x:c r="V172" s="2"/>
      <x:c r="W172" s="2"/>
      <x:c r="X172" s="2"/>
      <x:c r="Y172" s="2"/>
      <x:c r="Z172" s="2"/>
      <x:c r="AA172" s="2"/>
      <x:c r="AB172" s="2"/>
      <x:c r="AC172" s="2"/>
      <x:c r="AD172" s="2"/>
      <x:c r="AE172" s="2"/>
      <x:c r="AF172" s="2"/>
      <x:c r="AG172" s="2"/>
      <x:c r="AH172" s="2"/>
      <x:c r="AI172" s="2"/>
      <x:c r="AJ172" s="2"/>
      <x:c r="AK172" s="2"/>
      <x:c r="AL172" s="2"/>
      <x:c r="AM172" s="2"/>
      <x:c r="AN172" s="2"/>
      <x:c r="AO172" s="2"/>
    </x:row>
    <x:row r="173" ht="60" customHeight="1">
      <x:c r="A173" s="503" t="d">
        <x:v>2028-08-03T00:00:00.000Z</x:v>
      </x:c>
      <x:c r="B173" s="446" t="n">
        <x:v>2029</x:v>
      </x:c>
      <x:c r="C173" s="446" t="str">
        <x:v>Floating-rate notes</x:v>
      </x:c>
      <x:c r="D173" s="497" t="n">
        <x:f>'Payment dates'!E149</x:f>
        <x:v>500000000</x:v>
      </x:c>
      <x:c r="E173" s="498" t="str">
        <x:v>orcl:Floating-RateSeniorNotesDueAugust2028Member</x:v>
      </x:c>
      <x:c r="F173" s="201"/>
      <x:c r="G173" s="201"/>
      <x:c r="H173" s="2"/>
      <x:c r="I173" s="2"/>
      <x:c r="J173" s="2"/>
      <x:c r="K173" s="2"/>
      <x:c r="L173" s="2"/>
      <x:c r="M173" s="2"/>
      <x:c r="N173" s="2"/>
      <x:c r="O173" s="2"/>
      <x:c r="P173" s="2"/>
      <x:c r="Q173" s="2"/>
      <x:c r="R173" s="2"/>
      <x:c r="S173" s="2"/>
      <x:c r="T173" s="2"/>
      <x:c r="U173" s="2"/>
      <x:c r="V173" s="2"/>
      <x:c r="W173" s="2"/>
      <x:c r="X173" s="2"/>
      <x:c r="Y173" s="2"/>
      <x:c r="Z173" s="2"/>
      <x:c r="AA173" s="2"/>
      <x:c r="AB173" s="2"/>
      <x:c r="AC173" s="2"/>
      <x:c r="AD173" s="2"/>
      <x:c r="AE173" s="2"/>
      <x:c r="AF173" s="2"/>
      <x:c r="AG173" s="2"/>
      <x:c r="AH173" s="2"/>
      <x:c r="AI173" s="2"/>
      <x:c r="AJ173" s="2"/>
      <x:c r="AK173" s="2"/>
      <x:c r="AL173" s="2"/>
      <x:c r="AM173" s="2"/>
      <x:c r="AN173" s="2"/>
      <x:c r="AO173" s="2"/>
    </x:row>
    <x:row r="174" ht="60" customHeight="1">
      <x:c r="A174" s="503" t="d">
        <x:v>2029-02-04T00:00:00.000Z</x:v>
      </x:c>
      <x:c r="B174" s="446" t="n">
        <x:v>2029</x:v>
      </x:c>
      <x:c r="C174" s="446" t="str">
        <x:v>Floating-rate notes</x:v>
      </x:c>
      <x:c r="D174" s="497" t="n">
        <x:f>'Payment dates'!E150</x:f>
        <x:v>500000000</x:v>
      </x:c>
      <x:c r="E174" s="498" t="str">
        <x:v>orcl:Floating-RateSeniorNotesDueFebruary2029Member</x:v>
      </x:c>
      <x:c r="F174" s="201"/>
      <x:c r="G174" s="201"/>
      <x:c r="H174" s="2"/>
      <x:c r="I174" s="2"/>
      <x:c r="J174" s="2"/>
      <x:c r="K174" s="2"/>
      <x:c r="L174" s="2"/>
      <x:c r="M174" s="2"/>
      <x:c r="N174" s="2"/>
      <x:c r="O174" s="2"/>
      <x:c r="P174" s="2"/>
      <x:c r="Q174" s="2"/>
      <x:c r="R174" s="2"/>
      <x:c r="S174" s="2"/>
      <x:c r="T174" s="2"/>
      <x:c r="U174" s="2"/>
      <x:c r="V174" s="2"/>
      <x:c r="W174" s="2"/>
      <x:c r="X174" s="2"/>
      <x:c r="Y174" s="2"/>
      <x:c r="Z174" s="2"/>
      <x:c r="AA174" s="2"/>
      <x:c r="AB174" s="2"/>
      <x:c r="AC174" s="2"/>
      <x:c r="AD174" s="2"/>
      <x:c r="AE174" s="2"/>
      <x:c r="AF174" s="2"/>
      <x:c r="AG174" s="2"/>
      <x:c r="AH174" s="2"/>
      <x:c r="AI174" s="2"/>
      <x:c r="AJ174" s="2"/>
      <x:c r="AK174" s="2"/>
      <x:c r="AL174" s="2"/>
      <x:c r="AM174" s="2"/>
      <x:c r="AN174" s="2"/>
      <x:c r="AO174" s="2"/>
    </x:row>
    <x:row r="175" ht="60" customHeight="1">
      <x:c r="A175" s="503" t="d">
        <x:v>2026-09-30T00:00:00.000Z</x:v>
      </x:c>
      <x:c r="B175" s="446" t="n">
        <x:v>2027</x:v>
      </x:c>
      <x:c r="C175" s="446" t="str">
        <x:v>Term loan</x:v>
      </x:c>
      <x:c r="D175" s="497" t="n">
        <x:f>'Payment dates'!C86</x:f>
        <x:v>140750000</x:v>
      </x:c>
      <x:c r="E175" s="498" t="str">
        <x:v>orcl:TermLoanCreditAgreementDueAugust2027ThreeMember</x:v>
      </x:c>
      <x:c r="F175" s="201"/>
      <x:c r="G175" s="201"/>
      <x:c r="H175" s="2"/>
      <x:c r="I175" s="2"/>
      <x:c r="J175" s="2"/>
      <x:c r="K175" s="2"/>
      <x:c r="L175" s="2"/>
      <x:c r="M175" s="2"/>
      <x:c r="N175" s="2"/>
      <x:c r="O175" s="2"/>
      <x:c r="P175" s="2"/>
      <x:c r="Q175" s="2"/>
      <x:c r="R175" s="2"/>
      <x:c r="S175" s="2"/>
      <x:c r="T175" s="2"/>
      <x:c r="U175" s="2"/>
      <x:c r="V175" s="2"/>
      <x:c r="W175" s="2"/>
      <x:c r="X175" s="2"/>
      <x:c r="Y175" s="2"/>
      <x:c r="Z175" s="2"/>
      <x:c r="AA175" s="2"/>
      <x:c r="AB175" s="2"/>
      <x:c r="AC175" s="2"/>
      <x:c r="AD175" s="2"/>
      <x:c r="AE175" s="2"/>
      <x:c r="AF175" s="2"/>
      <x:c r="AG175" s="2"/>
      <x:c r="AH175" s="2"/>
      <x:c r="AI175" s="2"/>
      <x:c r="AJ175" s="2"/>
      <x:c r="AK175" s="2"/>
      <x:c r="AL175" s="2"/>
      <x:c r="AM175" s="2"/>
      <x:c r="AN175" s="2"/>
      <x:c r="AO175" s="2"/>
    </x:row>
    <x:row r="176" ht="60" customHeight="1">
      <x:c r="A176" s="503" t="d">
        <x:v>2026-12-31T00:00:00.000Z</x:v>
      </x:c>
      <x:c r="B176" s="446" t="n">
        <x:v>2027</x:v>
      </x:c>
      <x:c r="C176" s="446" t="str">
        <x:v>Term loan</x:v>
      </x:c>
      <x:c r="D176" s="497" t="n">
        <x:f>'Payment dates'!C87</x:f>
        <x:v>140750000</x:v>
      </x:c>
      <x:c r="E176" s="498" t="str">
        <x:v>orcl:TermLoanCreditAgreementDueAugust2027ThreeMember</x:v>
      </x:c>
      <x:c r="F176" s="201"/>
      <x:c r="G176" s="201"/>
      <x:c r="H176" s="2"/>
      <x:c r="I176" s="2"/>
      <x:c r="J176" s="2"/>
      <x:c r="K176" s="2"/>
      <x:c r="L176" s="2"/>
      <x:c r="M176" s="2"/>
      <x:c r="N176" s="2"/>
      <x:c r="O176" s="2"/>
      <x:c r="P176" s="2"/>
      <x:c r="Q176" s="2"/>
      <x:c r="R176" s="2"/>
      <x:c r="S176" s="2"/>
      <x:c r="T176" s="2"/>
      <x:c r="U176" s="2"/>
      <x:c r="V176" s="2"/>
      <x:c r="W176" s="2"/>
      <x:c r="X176" s="2"/>
      <x:c r="Y176" s="2"/>
      <x:c r="Z176" s="2"/>
      <x:c r="AA176" s="2"/>
      <x:c r="AB176" s="2"/>
      <x:c r="AC176" s="2"/>
      <x:c r="AD176" s="2"/>
      <x:c r="AE176" s="2"/>
      <x:c r="AF176" s="2"/>
      <x:c r="AG176" s="2"/>
      <x:c r="AH176" s="2"/>
      <x:c r="AI176" s="2"/>
      <x:c r="AJ176" s="2"/>
      <x:c r="AK176" s="2"/>
      <x:c r="AL176" s="2"/>
      <x:c r="AM176" s="2"/>
      <x:c r="AN176" s="2"/>
      <x:c r="AO176" s="2"/>
    </x:row>
    <x:row r="177" ht="60" customHeight="1">
      <x:c r="A177" s="503" t="d">
        <x:v>2027-03-31T00:00:00.000Z</x:v>
      </x:c>
      <x:c r="B177" s="446" t="n">
        <x:v>2027</x:v>
      </x:c>
      <x:c r="C177" s="446" t="str">
        <x:v>Term loan</x:v>
      </x:c>
      <x:c r="D177" s="497" t="n">
        <x:f>'Payment dates'!C88</x:f>
        <x:v>140750000</x:v>
      </x:c>
      <x:c r="E177" s="498" t="str">
        <x:v>orcl:TermLoanCreditAgreementDueAugust2027ThreeMember</x:v>
      </x:c>
      <x:c r="F177" s="201"/>
      <x:c r="G177" s="201"/>
      <x:c r="H177" s="2"/>
      <x:c r="I177" s="2"/>
      <x:c r="J177" s="2"/>
      <x:c r="K177" s="2"/>
      <x:c r="L177" s="2"/>
      <x:c r="M177" s="2"/>
      <x:c r="N177" s="2"/>
      <x:c r="O177" s="2"/>
      <x:c r="P177" s="2"/>
      <x:c r="Q177" s="2"/>
      <x:c r="R177" s="2"/>
      <x:c r="S177" s="2"/>
      <x:c r="T177" s="2"/>
      <x:c r="U177" s="2"/>
      <x:c r="V177" s="2"/>
      <x:c r="W177" s="2"/>
      <x:c r="X177" s="2"/>
      <x:c r="Y177" s="2"/>
      <x:c r="Z177" s="2"/>
      <x:c r="AA177" s="2"/>
      <x:c r="AB177" s="2"/>
      <x:c r="AC177" s="2"/>
      <x:c r="AD177" s="2"/>
      <x:c r="AE177" s="2"/>
      <x:c r="AF177" s="2"/>
      <x:c r="AG177" s="2"/>
      <x:c r="AH177" s="2"/>
      <x:c r="AI177" s="2"/>
      <x:c r="AJ177" s="2"/>
      <x:c r="AK177" s="2"/>
      <x:c r="AL177" s="2"/>
      <x:c r="AM177" s="2"/>
      <x:c r="AN177" s="2"/>
      <x:c r="AO177" s="2"/>
    </x:row>
    <x:row r="178" ht="60" customHeight="1">
      <x:c r="A178" s="503" t="d">
        <x:v>2027-06-30T00:00:00.000Z</x:v>
      </x:c>
      <x:c r="B178" s="446" t="n">
        <x:v>2028</x:v>
      </x:c>
      <x:c r="C178" s="446" t="str">
        <x:v>Term loan</x:v>
      </x:c>
      <x:c r="D178" s="497" t="n">
        <x:f>'Payment dates'!C89</x:f>
        <x:v>140750000</x:v>
      </x:c>
      <x:c r="E178" s="498" t="str">
        <x:v>orcl:TermLoanCreditAgreementDueAugust2027ThreeMember</x:v>
      </x:c>
      <x:c r="F178" s="201"/>
      <x:c r="G178" s="201"/>
      <x:c r="H178" s="2"/>
      <x:c r="I178" s="2"/>
      <x:c r="J178" s="2"/>
      <x:c r="K178" s="2"/>
      <x:c r="L178" s="2"/>
      <x:c r="M178" s="2"/>
      <x:c r="N178" s="2"/>
      <x:c r="O178" s="2"/>
      <x:c r="P178" s="2"/>
      <x:c r="Q178" s="2"/>
      <x:c r="R178" s="2"/>
      <x:c r="S178" s="2"/>
      <x:c r="T178" s="2"/>
      <x:c r="U178" s="2"/>
      <x:c r="V178" s="2"/>
      <x:c r="W178" s="2"/>
      <x:c r="X178" s="2"/>
      <x:c r="Y178" s="2"/>
      <x:c r="Z178" s="2"/>
      <x:c r="AA178" s="2"/>
      <x:c r="AB178" s="2"/>
      <x:c r="AC178" s="2"/>
      <x:c r="AD178" s="2"/>
      <x:c r="AE178" s="2"/>
      <x:c r="AF178" s="2"/>
      <x:c r="AG178" s="2"/>
      <x:c r="AH178" s="2"/>
      <x:c r="AI178" s="2"/>
      <x:c r="AJ178" s="2"/>
      <x:c r="AK178" s="2"/>
      <x:c r="AL178" s="2"/>
      <x:c r="AM178" s="2"/>
      <x:c r="AN178" s="2"/>
      <x:c r="AO178" s="2"/>
    </x:row>
    <x:row r="179" ht="60" customHeight="1">
      <x:c r="A179" s="504" t="d">
        <x:v>2027-08-16T00:00:00.000Z</x:v>
      </x:c>
      <x:c r="B179" s="451" t="n">
        <x:v>2028</x:v>
      </x:c>
      <x:c r="C179" s="451" t="str">
        <x:v>Term loan</x:v>
      </x:c>
      <x:c r="D179" s="501" t="n">
        <x:f>'Payment dates'!C90</x:f>
        <x:v>4504000000</x:v>
      </x:c>
      <x:c r="E179" s="502" t="str">
        <x:v>orcl:TermLoanCreditAgreementDueAugust2027ThreeMember</x:v>
      </x:c>
      <x:c r="F179" s="201"/>
      <x:c r="G179" s="201"/>
      <x:c r="H179" s="2"/>
      <x:c r="I179" s="2"/>
      <x:c r="J179" s="2"/>
      <x:c r="K179" s="2"/>
      <x:c r="L179" s="2"/>
      <x:c r="M179" s="2"/>
      <x:c r="N179" s="2"/>
      <x:c r="O179" s="2"/>
      <x:c r="P179" s="2"/>
      <x:c r="Q179" s="2"/>
      <x:c r="R179" s="2"/>
      <x:c r="S179" s="2"/>
      <x:c r="T179" s="2"/>
      <x:c r="U179" s="2"/>
      <x:c r="V179" s="2"/>
      <x:c r="W179" s="2"/>
      <x:c r="X179" s="2"/>
      <x:c r="Y179" s="2"/>
      <x:c r="Z179" s="2"/>
      <x:c r="AA179" s="2"/>
      <x:c r="AB179" s="2"/>
      <x:c r="AC179" s="2"/>
      <x:c r="AD179" s="2"/>
      <x:c r="AE179" s="2"/>
      <x:c r="AF179" s="2"/>
      <x:c r="AG179" s="2"/>
      <x:c r="AH179" s="2"/>
      <x:c r="AI179" s="2"/>
      <x:c r="AJ179" s="2"/>
      <x:c r="AK179" s="2"/>
      <x:c r="AL179" s="2"/>
      <x:c r="AM179" s="2"/>
      <x:c r="AN179" s="2"/>
      <x:c r="AO179" s="2"/>
    </x:row>
  </x:sheetData>
  <x:hyperlinks xmlns:r="http://schemas.openxmlformats.org/officeDocument/2006/relationships">
    <x:hyperlink ref="A50" r:id="rIdSource1"/>
  </x:hyperlinks>
  <x:pageMargins left="0.7" right="0.7" top="0.75" bottom="0.75" header="0.3" footer="0.3"/>
  <x:drawing xmlns:r="http://schemas.openxmlformats.org/officeDocument/2006/relationships" r:id="R9dfea4c0dfab4afd"/>
</x:worksheet>
</file>

<file path=xl/worksheets/sheet1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except ratios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None (consolidated total)</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None (consolidated total)</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None (consolidated total)</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None (consolidated total)</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None (consolidated total)</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None (consolidated total)</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None (consolidated total)</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None (consolidated total)</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None (consolidated total)</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7">
      <x:c r="A87" s="1"/>
      <x:c r="B87" s="1"/>
      <x:c r="C87" s="1"/>
      <x:c r="D87" s="1"/>
      <x:c r="E87" s="1"/>
      <x:c r="F87" s="1"/>
      <x:c r="G87" s="1"/>
      <x:c r="H87" s="1"/>
      <x:c r="I87" s="1"/>
      <x:c r="J87" s="1"/>
      <x:c r="K87" s="1"/>
      <x:c r="L87" s="1"/>
      <x:c r="M87" s="1"/>
      <x:c r="N87" s="1"/>
      <x:c r="O87" s="1"/>
      <x:c r="P87" s="1"/>
      <x:c r="Q87" s="1"/>
      <x:c r="R87" s="1"/>
    </x:row>
    <x:row r="88">
      <x:c r="A88" s="1"/>
      <x:c r="B88" s="1"/>
      <x:c r="C88" s="1"/>
      <x:c r="D88" s="1"/>
      <x:c r="E88" s="1"/>
      <x:c r="F88" s="1"/>
      <x:c r="G88" s="1"/>
      <x:c r="H88" s="1"/>
      <x:c r="I88" s="1"/>
      <x:c r="J88" s="1"/>
      <x:c r="K88" s="1"/>
      <x:c r="L88" s="1"/>
      <x:c r="M88" s="1"/>
      <x:c r="N88" s="1"/>
      <x:c r="O88" s="1"/>
      <x:c r="P88" s="1"/>
      <x:c r="Q88" s="1"/>
      <x:c r="R88" s="1"/>
    </x:row>
    <x:row r="89" ht="72" customHeight="1">
      <x:c r="A89" s="13" t="str">
        <x:v>Funding conclusion evidence</x:v>
      </x:c>
      <x:c r="B89" s="219" t="str">
        <x:v>Filing / filed date</x:v>
      </x:c>
      <x:c r="C89" s="219" t="str">
        <x:v>Accession</x:v>
      </x:c>
      <x:c r="D89" s="14" t="str">
        <x:v>Location</x:v>
      </x:c>
      <x:c r="E89" s="1"/>
      <x:c r="F89" s="1"/>
      <x:c r="G89" s="1"/>
      <x:c r="H89" s="1"/>
      <x:c r="I89" s="1"/>
      <x:c r="J89" s="1"/>
      <x:c r="K89" s="1"/>
      <x:c r="L89" s="1"/>
      <x:c r="M89" s="223" t="str">
        <x:v>SEC source</x:v>
      </x:c>
      <x:c r="N89" s="1"/>
      <x:c r="O89" s="1"/>
      <x:c r="P89" s="1"/>
      <x:c r="Q89" s="1"/>
      <x:c r="R89" s="1"/>
    </x:row>
    <x:row r="90" ht="72" customHeight="1">
      <x:c r="A90" s="25" t="str">
        <x:v>Near-term obligations</x:v>
      </x:c>
      <x:c r="B90" s="205" t="str">
        <x:v>10-Q filed Sep 11, 2026</x:v>
      </x:c>
      <x:c r="C90" s="205" t="str">
        <x:v>0001193125-26-389274</x:v>
      </x:c>
      <x:c r="D90" s="16" t="str">
        <x:v>pp. 1–2, 5–7, 12–14, 32–35</x:v>
      </x:c>
      <x:c r="E90" s="1"/>
      <x:c r="F90" s="1"/>
      <x:c r="G90" s="1"/>
      <x:c r="H90" s="1"/>
      <x:c r="I90" s="1"/>
      <x:c r="J90" s="1"/>
      <x:c r="K90" s="1"/>
      <x:c r="L90" s="1"/>
      <x:c r="M90" s="208" t="str">
        <x:v>https://www.sec.gov/Archives/edgar/data/1341439/000119312526389274/orcl-20260831.htm</x:v>
      </x:c>
      <x:c r="N90" s="1"/>
      <x:c r="O90" s="1"/>
      <x:c r="P90" s="1"/>
      <x:c r="Q90" s="1"/>
      <x:c r="R90" s="1"/>
    </x:row>
    <x:row r="91" ht="72" customHeight="1">
      <x:c r="A91" s="25" t="str">
        <x:v>Near-term obligations</x:v>
      </x:c>
      <x:c r="B91" s="205" t="str">
        <x:v>10-K filed Jun 22, 2026</x:v>
      </x:c>
      <x:c r="C91" s="205" t="str">
        <x:v>0001193125-26-277521</x:v>
      </x:c>
      <x:c r="D91" s="16" t="str">
        <x:v>Note 6 debt table and term-loan terms, pp. 83–86</x:v>
      </x:c>
      <x:c r="E91" s="1"/>
      <x:c r="F91" s="1"/>
      <x:c r="G91" s="1"/>
      <x:c r="H91" s="1"/>
      <x:c r="I91" s="1"/>
      <x:c r="J91" s="1"/>
      <x:c r="K91" s="1"/>
      <x:c r="L91" s="1"/>
      <x:c r="M91" s="208" t="str">
        <x:v>https://www.sec.gov/Archives/edgar/data/1341439/000119312526277521/orcl-20260531.htm</x:v>
      </x:c>
      <x:c r="N91" s="1"/>
      <x:c r="O91" s="1"/>
      <x:c r="P91" s="1"/>
      <x:c r="Q91" s="1"/>
      <x:c r="R91" s="1"/>
    </x:row>
    <x:row r="92" ht="72" customHeight="1">
      <x:c r="A92" s="25" t="str">
        <x:v>Resources and access</x:v>
      </x:c>
      <x:c r="B92" s="205" t="str">
        <x:v>10-Q filed Sep 11, 2026</x:v>
      </x:c>
      <x:c r="C92" s="205" t="str">
        <x:v>0001193125-26-389274</x:v>
      </x:c>
      <x:c r="D92" s="16" t="str">
        <x:v>pp. 1–2, 5–7, 12–14, 32–35</x:v>
      </x:c>
      <x:c r="E92" s="1"/>
      <x:c r="F92" s="1"/>
      <x:c r="G92" s="1"/>
      <x:c r="H92" s="1"/>
      <x:c r="I92" s="1"/>
      <x:c r="J92" s="1"/>
      <x:c r="K92" s="1"/>
      <x:c r="L92" s="1"/>
      <x:c r="M92" s="208" t="str">
        <x:v>https://www.sec.gov/Archives/edgar/data/1341439/000119312526389274/orcl-20260831.htm</x:v>
      </x:c>
      <x:c r="N92" s="1"/>
      <x:c r="O92" s="1"/>
      <x:c r="P92" s="1"/>
      <x:c r="Q92" s="1"/>
      <x:c r="R92" s="1"/>
    </x:row>
    <x:row r="93" ht="72" customHeight="1">
      <x:c r="A93" s="25" t="str">
        <x:v>Resources and access</x:v>
      </x:c>
      <x:c r="B93" s="205" t="str">
        <x:v>10-K filed Jun 22, 2026</x:v>
      </x:c>
      <x:c r="C93" s="205" t="str">
        <x:v>0001193125-26-277521</x:v>
      </x:c>
      <x:c r="D93" s="16" t="str">
        <x:v>pp. 50, 65, 83–85, 88</x:v>
      </x:c>
      <x:c r="E93" s="1"/>
      <x:c r="F93" s="1"/>
      <x:c r="G93" s="1"/>
      <x:c r="H93" s="1"/>
      <x:c r="I93" s="1"/>
      <x:c r="J93" s="1"/>
      <x:c r="K93" s="1"/>
      <x:c r="L93" s="1"/>
      <x:c r="M93" s="208" t="str">
        <x:v>https://www.sec.gov/Archives/edgar/data/1341439/000119312526277521/orcl-20260531.htm</x:v>
      </x:c>
      <x:c r="N93" s="1"/>
      <x:c r="O93" s="1"/>
      <x:c r="P93" s="1"/>
      <x:c r="Q93" s="1"/>
      <x:c r="R93" s="1"/>
    </x:row>
    <x:row r="94" ht="72" customHeight="1">
      <x:c r="A94" s="25" t="str">
        <x:v>Resources and access</x:v>
      </x:c>
      <x:c r="B94" s="205" t="str">
        <x:v>Credit agreement filed Mar 11, 2026</x:v>
      </x:c>
      <x:c r="C94" s="205" t="str">
        <x:v>0001193125-26-101045</x:v>
      </x:c>
      <x:c r="D94" s="16" t="str">
        <x:v>§§2.01, 2.21, 4.02, 6.02(c)</x:v>
      </x:c>
      <x:c r="E94" s="1"/>
      <x:c r="F94" s="1"/>
      <x:c r="G94" s="1"/>
      <x:c r="H94" s="1"/>
      <x:c r="I94" s="1"/>
      <x:c r="J94" s="1"/>
      <x:c r="K94" s="1"/>
      <x:c r="L94" s="1"/>
      <x:c r="M94" s="208" t="str">
        <x:v>https://www.sec.gov/Archives/edgar/data/1341439/000119312526101045/orcl-ex10_17.htm</x:v>
      </x:c>
      <x:c r="N94" s="1"/>
      <x:c r="O94" s="1"/>
      <x:c r="P94" s="1"/>
      <x:c r="Q94" s="1"/>
      <x:c r="R94" s="1"/>
    </x:row>
    <x:row r="95" ht="72" customHeight="1">
      <x:c r="A95" s="25" t="str">
        <x:v>Competing cash uses</x:v>
      </x:c>
      <x:c r="B95" s="205" t="str">
        <x:v>10-Q filed Sep 11, 2026</x:v>
      </x:c>
      <x:c r="C95" s="205" t="str">
        <x:v>0001193125-26-389274</x:v>
      </x:c>
      <x:c r="D95" s="16" t="str">
        <x:v>pp. 1–2, 5–7, 12–14, 32–35</x:v>
      </x:c>
      <x:c r="E95" s="1"/>
      <x:c r="F95" s="1"/>
      <x:c r="G95" s="1"/>
      <x:c r="H95" s="1"/>
      <x:c r="I95" s="1"/>
      <x:c r="J95" s="1"/>
      <x:c r="K95" s="1"/>
      <x:c r="L95" s="1"/>
      <x:c r="M95" s="208" t="str">
        <x:v>https://www.sec.gov/Archives/edgar/data/1341439/000119312526389274/orcl-20260831.htm</x:v>
      </x:c>
      <x:c r="N95" s="1"/>
      <x:c r="O95" s="1"/>
      <x:c r="P95" s="1"/>
      <x:c r="Q95" s="1"/>
      <x:c r="R95" s="1"/>
    </x:row>
    <x:row r="96" ht="72" customHeight="1">
      <x:c r="A96" s="25" t="str">
        <x:v>Decisive unknowns</x:v>
      </x:c>
      <x:c r="B96" s="205" t="str">
        <x:v>10-Q filed Sep 11, 2026</x:v>
      </x:c>
      <x:c r="C96" s="205" t="str">
        <x:v>0001193125-26-389274</x:v>
      </x:c>
      <x:c r="D96" s="16" t="str">
        <x:v>pp. 1–2, 5–7, 12–14, 32–35</x:v>
      </x:c>
      <x:c r="E96" s="1"/>
      <x:c r="F96" s="1"/>
      <x:c r="G96" s="1"/>
      <x:c r="H96" s="1"/>
      <x:c r="I96" s="1"/>
      <x:c r="J96" s="1"/>
      <x:c r="K96" s="1"/>
      <x:c r="L96" s="1"/>
      <x:c r="M96" s="208" t="str">
        <x:v>https://www.sec.gov/Archives/edgar/data/1341439/000119312526389274/orcl-20260831.htm</x:v>
      </x:c>
      <x:c r="N96" s="1"/>
      <x:c r="O96" s="1"/>
      <x:c r="P96" s="1"/>
      <x:c r="Q96" s="1"/>
      <x:c r="R96" s="1"/>
    </x:row>
    <x:row r="97" ht="72" customHeight="1">
      <x:c r="A97" s="25" t="str">
        <x:v>Decisive unknowns</x:v>
      </x:c>
      <x:c r="B97" s="205" t="str">
        <x:v>10-K filed Jun 22, 2026</x:v>
      </x:c>
      <x:c r="C97" s="205" t="str">
        <x:v>0001193125-26-277521</x:v>
      </x:c>
      <x:c r="D97" s="16" t="str">
        <x:v>pp. 50, 65, 83–85, 88</x:v>
      </x:c>
      <x:c r="E97" s="1"/>
      <x:c r="F97" s="1"/>
      <x:c r="G97" s="1"/>
      <x:c r="H97" s="1"/>
      <x:c r="I97" s="1"/>
      <x:c r="J97" s="1"/>
      <x:c r="K97" s="1"/>
      <x:c r="L97" s="1"/>
      <x:c r="M97" s="208" t="str">
        <x:v>https://www.sec.gov/Archives/edgar/data/1341439/000119312526277521/orcl-20260531.htm</x:v>
      </x:c>
      <x:c r="N97" s="1"/>
      <x:c r="O97" s="1"/>
      <x:c r="P97" s="1"/>
      <x:c r="Q97" s="1"/>
      <x:c r="R97" s="1"/>
    </x:row>
    <x:row r="98" ht="72" customHeight="1">
      <x:c r="A98" s="25" t="str">
        <x:v>Decisive unknowns</x:v>
      </x:c>
      <x:c r="B98" s="205" t="str">
        <x:v>Credit agreement filed Mar 11, 2026</x:v>
      </x:c>
      <x:c r="C98" s="205" t="str">
        <x:v>0001193125-26-101045</x:v>
      </x:c>
      <x:c r="D98" s="16" t="str">
        <x:v>§§2.01, 2.21, 4.02, 6.02(c)</x:v>
      </x:c>
      <x:c r="E98" s="1"/>
      <x:c r="F98" s="1"/>
      <x:c r="G98" s="1"/>
      <x:c r="H98" s="1"/>
      <x:c r="I98" s="1"/>
      <x:c r="J98" s="1"/>
      <x:c r="K98" s="1"/>
      <x:c r="L98" s="1"/>
      <x:c r="M98" s="208" t="str">
        <x:v>https://www.sec.gov/Archives/edgar/data/1341439/000119312526101045/orcl-ex10_17.htm</x:v>
      </x:c>
      <x:c r="N98" s="1"/>
      <x:c r="O98" s="1"/>
      <x:c r="P98" s="1"/>
      <x:c r="Q98" s="1"/>
      <x:c r="R98" s="1"/>
    </x:row>
    <x:row r="99" ht="72" customHeight="1">
      <x:c r="A99" s="25" t="str">
        <x:v>Historical coverage</x:v>
      </x:c>
      <x:c r="B99" s="205" t="str">
        <x:v>10-Q filed Sep 11, 2026</x:v>
      </x:c>
      <x:c r="C99" s="205" t="str">
        <x:v>0001193125-26-389274</x:v>
      </x:c>
      <x:c r="D99" s="16" t="str">
        <x:v>Operations p. 2; lease Note 6 p. 12; MD&amp;A p. 32</x:v>
      </x:c>
      <x:c r="E99" s="1"/>
      <x:c r="F99" s="1"/>
      <x:c r="G99" s="1"/>
      <x:c r="H99" s="1"/>
      <x:c r="I99" s="1"/>
      <x:c r="J99" s="1"/>
      <x:c r="K99" s="1"/>
      <x:c r="L99" s="1"/>
      <x:c r="M99" s="208" t="str">
        <x:v>https://www.sec.gov/Archives/edgar/data/1341439/000119312526389274/orcl-20260831.htm</x:v>
      </x:c>
      <x:c r="N99" s="1"/>
      <x:c r="O99" s="1"/>
      <x:c r="P99" s="1"/>
      <x:c r="Q99" s="1"/>
      <x:c r="R99" s="1"/>
    </x:row>
    <x:row r="100" ht="72" customHeight="1">
      <x:c r="A100" s="26" t="str">
        <x:v>Historical coverage</x:v>
      </x:c>
      <x:c r="B100" s="206" t="str">
        <x:v>10-K filed Jun 22, 2026</x:v>
      </x:c>
      <x:c r="C100" s="206" t="str">
        <x:v>0001193125-26-277521</x:v>
      </x:c>
      <x:c r="D100" s="18" t="str">
        <x:v>Operations p. 65; MD&amp;A p. 50; lease Note 9 p. 88</x:v>
      </x:c>
      <x:c r="E100" s="1"/>
      <x:c r="F100" s="1"/>
      <x:c r="G100" s="1"/>
      <x:c r="H100" s="1"/>
      <x:c r="I100" s="1"/>
      <x:c r="J100" s="1"/>
      <x:c r="K100" s="1"/>
      <x:c r="L100" s="1"/>
      <x:c r="M100" s="209" t="str">
        <x:v>https://www.sec.gov/Archives/edgar/data/1341439/000119312526277521/orcl-20260531.htm</x:v>
      </x:c>
      <x:c r="N100" s="1"/>
      <x:c r="O100" s="1"/>
      <x:c r="P100" s="1"/>
      <x:c r="Q100" s="1"/>
      <x:c r="R100" s="1"/>
    </x:row>
    <x:row r="101">
      <x:c r="A101" s="1"/>
      <x:c r="B101" s="1"/>
      <x:c r="C101" s="1"/>
      <x:c r="D101" s="1"/>
      <x:c r="E101" s="1"/>
      <x:c r="F101" s="1"/>
      <x:c r="G101" s="1"/>
      <x:c r="H101" s="1"/>
      <x:c r="I101" s="1"/>
      <x:c r="J101" s="1"/>
      <x:c r="K101" s="1"/>
      <x:c r="L101" s="1"/>
      <x:c r="M101" s="1"/>
      <x:c r="N101" s="1"/>
      <x:c r="O101" s="1"/>
      <x:c r="P101" s="1"/>
      <x:c r="Q101" s="1"/>
      <x:c r="R101" s="1"/>
    </x:row>
    <x:row r="102">
      <x:c r="A102" s="1"/>
      <x:c r="B102" s="1"/>
      <x:c r="C102" s="1"/>
      <x:c r="D102" s="1"/>
      <x:c r="E102" s="1"/>
      <x:c r="F102" s="1"/>
      <x:c r="G102" s="1"/>
      <x:c r="H102" s="1"/>
      <x:c r="I102" s="1"/>
      <x:c r="J102" s="1"/>
      <x:c r="K102" s="1"/>
      <x:c r="L102" s="1"/>
      <x:c r="M102" s="1"/>
      <x:c r="N102" s="1"/>
      <x:c r="O102" s="1"/>
      <x:c r="P102" s="1"/>
      <x:c r="Q102" s="1"/>
      <x:c r="R102" s="1"/>
    </x:row>
    <x:row r="103" ht="78" customHeight="1">
      <x:c r="A103" s="13" t="str">
        <x:v>Key</x:v>
      </x:c>
      <x:c r="B103" s="219" t="str">
        <x:v>USD millions, except ratios (x)</x:v>
      </x:c>
      <x:c r="C103" s="219" t="str">
        <x:v>Reported input</x:v>
      </x:c>
      <x:c r="D103" s="219" t="str">
        <x:v>Period start</x:v>
      </x:c>
      <x:c r="E103" s="219" t="str">
        <x:v>Period end / as of</x:v>
      </x:c>
      <x:c r="F103" s="219" t="str">
        <x:v>Form</x:v>
      </x:c>
      <x:c r="G103" s="219" t="str">
        <x:v>Filed</x:v>
      </x:c>
      <x:c r="H103" s="219" t="str">
        <x:v>Accession</x:v>
      </x:c>
      <x:c r="I103" s="219" t="str">
        <x:v>Tag</x:v>
      </x:c>
      <x:c r="J103" s="219" t="str">
        <x:v>Context ID</x:v>
      </x:c>
      <x:c r="K103" s="219" t="str">
        <x:v>Scale</x:v>
      </x:c>
      <x:c r="L103" s="219" t="str">
        <x:v>Decimals</x:v>
      </x:c>
      <x:c r="M103" s="219" t="str">
        <x:v>Source</x:v>
      </x:c>
      <x:c r="N103" s="219" t="str">
        <x:v>Filing location</x:v>
      </x:c>
      <x:c r="O103" s="219" t="str">
        <x:v>Finding / Unavailable reason</x:v>
      </x:c>
      <x:c r="P103" s="219" t="str">
        <x:v>Dimensions</x:v>
      </x:c>
      <x:c r="Q103" s="219" t="str">
        <x:v>Reviewed source SHA256</x:v>
      </x:c>
      <x:c r="R103" s="14" t="str">
        <x:v>Unit and selection rule</x:v>
      </x:c>
    </x:row>
    <x:row r="104" ht="78" customHeight="1">
      <x:c r="A104" s="25" t="str">
        <x:v>Current notes and other borrowing — instrument split unavailable</x:v>
      </x:c>
      <x:c r="B104" s="233" t="n">
        <x:v>7625000000</x:v>
      </x:c>
      <x:c r="C104" s="205" t="str">
        <x:v>Current notes and other borrowing — instrument split unavailable</x:v>
      </x:c>
      <x:c r="D104" s="205"/>
      <x:c r="E104" s="228" t="d">
        <x:v>2026-08-31T00:00:00.000Z</x:v>
      </x:c>
      <x:c r="F104" s="205" t="str">
        <x:v>10-Q</x:v>
      </x:c>
      <x:c r="G104" s="228" t="d">
        <x:v>2026-09-11T00:00:00.000Z</x:v>
      </x:c>
      <x:c r="H104" s="205" t="str">
        <x:v>0001193125-26-389274</x:v>
      </x:c>
      <x:c r="I104" s="205" t="str">
        <x:v>us-gaap:NotesPayableCurrent</x:v>
      </x:c>
      <x:c r="J104" s="205"/>
      <x:c r="K104" s="205"/>
      <x:c r="L104" s="205"/>
      <x:c r="M104" s="205" t="str">
        <x:v>https://www.sec.gov/Archives/edgar/data/1341439/000119312526389274/orcl-20260831.htm</x:v>
      </x:c>
      <x:c r="N104" s="205" t="str">
        <x:v>10-Q balance sheet, p. 1</x:v>
      </x:c>
      <x:c r="O104" s="205" t="str"/>
      <x:c r="P104" s="205" t="str">
        <x:v>None (consolidated total)</x:v>
      </x:c>
      <x:c r="Q104" s="205" t="str"/>
      <x:c r="R104" s="16" t="str">
        <x:v>USD; USD instant at the balance-sheet date, from the latest original 10-K or 10-Q itself</x:v>
      </x:c>
    </x:row>
    <x:row r="105" ht="78" customHeight="1">
      <x:c r="A105" s="25" t="str">
        <x:v>Noncurrent borrowing</x:v>
      </x:c>
      <x:c r="B105" s="233" t="n">
        <x:v>117712000000</x:v>
      </x:c>
      <x:c r="C105" s="205" t="str">
        <x:v>Noncurrent borrowing</x:v>
      </x:c>
      <x:c r="D105" s="205"/>
      <x:c r="E105" s="228" t="d">
        <x:v>2026-08-31T00:00:00.000Z</x:v>
      </x:c>
      <x:c r="F105" s="205" t="str">
        <x:v>10-Q</x:v>
      </x:c>
      <x:c r="G105" s="228" t="d">
        <x:v>2026-09-11T00:00:00.000Z</x:v>
      </x:c>
      <x:c r="H105" s="205" t="str">
        <x:v>0001193125-26-389274</x:v>
      </x:c>
      <x:c r="I105" s="205" t="str">
        <x:v>us-gaap:LongTermNotesAndLoans</x:v>
      </x:c>
      <x:c r="J105" s="205"/>
      <x:c r="K105" s="205"/>
      <x:c r="L105" s="205"/>
      <x:c r="M105" s="205" t="str">
        <x:v>https://www.sec.gov/Archives/edgar/data/1341439/000119312526389274/orcl-20260831.htm</x:v>
      </x:c>
      <x:c r="N105" s="205" t="str">
        <x:v>10-Q balance sheet, p. 1</x:v>
      </x:c>
      <x:c r="O105" s="205" t="str"/>
      <x:c r="P105" s="205" t="str">
        <x:v>None (consolidated total)</x:v>
      </x:c>
      <x:c r="Q105" s="205" t="str"/>
      <x:c r="R105" s="16" t="str">
        <x:v>USD; USD instant at the balance-sheet date, from the latest original 10-K or 10-Q itself</x:v>
      </x:c>
    </x:row>
    <x:row r="106" ht="78" customHeight="1">
      <x:c r="A106" s="25" t="str">
        <x:v>Operating lease liabilities — current</x:v>
      </x:c>
      <x:c r="B106" s="233" t="n">
        <x:v>4027000000</x:v>
      </x:c>
      <x:c r="C106" s="205" t="str">
        <x:v>Operating lease liabilities — current</x:v>
      </x:c>
      <x:c r="D106" s="205"/>
      <x:c r="E106" s="228" t="d">
        <x:v>2026-08-31T00:00:00.000Z</x:v>
      </x:c>
      <x:c r="F106" s="205" t="str">
        <x:v>10-Q</x:v>
      </x:c>
      <x:c r="G106" s="228" t="d">
        <x:v>2026-09-11T00:00:00.000Z</x:v>
      </x:c>
      <x:c r="H106" s="205" t="str">
        <x:v>0001193125-26-389274</x:v>
      </x:c>
      <x:c r="I106" s="205" t="str">
        <x:v>us-gaap:OperatingLeaseLiabilityCurrent</x:v>
      </x:c>
      <x:c r="J106" s="205" t="str">
        <x:v>C_6aa4717d-0551-43f7-9cf4-c8a0049a656e</x:v>
      </x:c>
      <x:c r="K106" s="205" t="n">
        <x:v>6</x:v>
      </x:c>
      <x:c r="L106" s="205" t="str">
        <x:v>-6</x:v>
      </x:c>
      <x:c r="M106" s="205" t="str">
        <x:v>https://www.sec.gov/Archives/edgar/data/1341439/000119312526389274/orcl-20260831.htm</x:v>
      </x:c>
      <x:c r="N106" s="205" t="str">
        <x:v>10-Q Note 6, pp. 12–13</x:v>
      </x:c>
      <x:c r="O106" s="205" t="str"/>
      <x:c r="P106" s="205" t="str">
        <x:v>None (consolidated total)</x:v>
      </x:c>
      <x:c r="Q106" s="205" t="str">
        <x:v>051dd4893fa497f36d99c8a355cbc90107f56e1a628c78e38c76e7dca0d4a6fd</x:v>
      </x:c>
      <x:c r="R106" s="16" t="str">
        <x:v>USD; Exact prefixed tag; exact stated instant; USD; no dimensions; agreeing duplicates.</x:v>
      </x:c>
    </x:row>
    <x:row r="107" ht="78" customHeight="1">
      <x:c r="A107" s="25" t="str">
        <x:v>Operating lease liabilities — noncurrent</x:v>
      </x:c>
      <x:c r="B107" s="233" t="n">
        <x:v>30594000000</x:v>
      </x:c>
      <x:c r="C107" s="205" t="str">
        <x:v>Operating lease liabilities — noncurrent</x:v>
      </x:c>
      <x:c r="D107" s="205"/>
      <x:c r="E107" s="228" t="d">
        <x:v>2026-08-31T00:00:00.000Z</x:v>
      </x:c>
      <x:c r="F107" s="205" t="str">
        <x:v>10-Q</x:v>
      </x:c>
      <x:c r="G107" s="228" t="d">
        <x:v>2026-09-11T00:00:00.000Z</x:v>
      </x:c>
      <x:c r="H107" s="205" t="str">
        <x:v>0001193125-26-389274</x:v>
      </x:c>
      <x:c r="I107" s="205" t="str">
        <x:v>us-gaap:OperatingLeaseLiabilityNoncurrent</x:v>
      </x:c>
      <x:c r="J107" s="205" t="str">
        <x:v>C_6aa4717d-0551-43f7-9cf4-c8a0049a656e</x:v>
      </x:c>
      <x:c r="K107" s="205" t="n">
        <x:v>6</x:v>
      </x:c>
      <x:c r="L107" s="205" t="str">
        <x:v>-6</x:v>
      </x:c>
      <x:c r="M107" s="205" t="str">
        <x:v>https://www.sec.gov/Archives/edgar/data/1341439/000119312526389274/orcl-20260831.htm</x:v>
      </x:c>
      <x:c r="N107" s="205" t="str">
        <x:v>10-Q Note 6, pp. 12–13</x:v>
      </x:c>
      <x:c r="O107" s="205" t="str"/>
      <x:c r="P107" s="205" t="str">
        <x:v>None (consolidated total)</x:v>
      </x:c>
      <x:c r="Q107" s="205" t="str">
        <x:v>051dd4893fa497f36d99c8a355cbc90107f56e1a628c78e38c76e7dca0d4a6fd</x:v>
      </x:c>
      <x:c r="R107" s="16" t="str">
        <x:v>USD; Exact prefixed tag; exact stated instant; USD; no dimensions; agreeing duplicates.</x:v>
      </x:c>
    </x:row>
    <x:row r="108" ht="78" customHeight="1">
      <x:c r="A108" s="25" t="str">
        <x:v>Operating lease liabilities — reported total control</x:v>
      </x:c>
      <x:c r="B108" s="233" t="n">
        <x:v>34621000000</x:v>
      </x:c>
      <x:c r="C108" s="205" t="str">
        <x:v>Operating lease liabilities — reported total control</x:v>
      </x:c>
      <x:c r="D108" s="205"/>
      <x:c r="E108" s="228" t="d">
        <x:v>2026-08-31T00:00:00.000Z</x:v>
      </x:c>
      <x:c r="F108" s="205" t="str">
        <x:v>10-Q</x:v>
      </x:c>
      <x:c r="G108" s="228" t="d">
        <x:v>2026-09-11T00:00:00.000Z</x:v>
      </x:c>
      <x:c r="H108" s="205" t="str">
        <x:v>0001193125-26-389274</x:v>
      </x:c>
      <x:c r="I108" s="205" t="str">
        <x:v>us-gaap:OperatingLeaseLiability</x:v>
      </x:c>
      <x:c r="J108" s="205" t="str">
        <x:v>C_6aa4717d-0551-43f7-9cf4-c8a0049a656e</x:v>
      </x:c>
      <x:c r="K108" s="205" t="n">
        <x:v>6</x:v>
      </x:c>
      <x:c r="L108" s="205" t="str">
        <x:v>-6</x:v>
      </x:c>
      <x:c r="M108" s="205" t="str">
        <x:v>https://www.sec.gov/Archives/edgar/data/1341439/000119312526389274/orcl-20260831.htm</x:v>
      </x:c>
      <x:c r="N108" s="205" t="str">
        <x:v>10-Q Note 6, pp. 12–13</x:v>
      </x:c>
      <x:c r="O108" s="205" t="str"/>
      <x:c r="P108" s="205" t="str">
        <x:v>None (consolidated total)</x:v>
      </x:c>
      <x:c r="Q108" s="205" t="str">
        <x:v>051dd4893fa497f36d99c8a355cbc90107f56e1a628c78e38c76e7dca0d4a6fd</x:v>
      </x:c>
      <x:c r="R108" s="16" t="str">
        <x:v>USD; Exact prefixed tag; exact stated instant; USD; no dimensions; agreeing duplicates.</x:v>
      </x:c>
    </x:row>
    <x:row r="109" ht="78" customHeight="1">
      <x:c r="A109" s="25" t="str">
        <x:v>Finance lease liabilities — current</x:v>
      </x:c>
      <x:c r="B109" s="233" t="n">
        <x:v>749000000</x:v>
      </x:c>
      <x:c r="C109" s="205" t="str">
        <x:v>Finance lease liabilities — current</x:v>
      </x:c>
      <x:c r="D109" s="205"/>
      <x:c r="E109" s="228" t="d">
        <x:v>2026-08-31T00:00:00.000Z</x:v>
      </x:c>
      <x:c r="F109" s="205" t="str">
        <x:v>10-Q</x:v>
      </x:c>
      <x:c r="G109" s="228" t="d">
        <x:v>2026-09-11T00:00:00.000Z</x:v>
      </x:c>
      <x:c r="H109" s="205" t="str">
        <x:v>0001193125-26-389274</x:v>
      </x:c>
      <x:c r="I109" s="205" t="str">
        <x:v>us-gaap:FinanceLeaseLiabilityCurrent</x:v>
      </x:c>
      <x:c r="J109" s="205" t="str">
        <x:v>C_6aa4717d-0551-43f7-9cf4-c8a0049a656e</x:v>
      </x:c>
      <x:c r="K109" s="205" t="n">
        <x:v>6</x:v>
      </x:c>
      <x:c r="L109" s="205" t="str">
        <x:v>-6</x:v>
      </x:c>
      <x:c r="M109" s="205" t="str">
        <x:v>https://www.sec.gov/Archives/edgar/data/1341439/000119312526389274/orcl-20260831.htm</x:v>
      </x:c>
      <x:c r="N109" s="205" t="str">
        <x:v>10-Q Note 6, pp. 12–13</x:v>
      </x:c>
      <x:c r="O109" s="205" t="str"/>
      <x:c r="P109" s="205" t="str">
        <x:v>None (consolidated total)</x:v>
      </x:c>
      <x:c r="Q109" s="205" t="str">
        <x:v>051dd4893fa497f36d99c8a355cbc90107f56e1a628c78e38c76e7dca0d4a6fd</x:v>
      </x:c>
      <x:c r="R109" s="16" t="str">
        <x:v>USD; Exact prefixed tag; exact stated instant; USD; no dimensions; agreeing duplicates.</x:v>
      </x:c>
    </x:row>
    <x:row r="110" ht="78" customHeight="1">
      <x:c r="A110" s="25" t="str">
        <x:v>Finance lease liabilities — noncurrent</x:v>
      </x:c>
      <x:c r="B110" s="233" t="n">
        <x:v>8436000000</x:v>
      </x:c>
      <x:c r="C110" s="205" t="str">
        <x:v>Finance lease liabilities — noncurrent</x:v>
      </x:c>
      <x:c r="D110" s="205"/>
      <x:c r="E110" s="228" t="d">
        <x:v>2026-08-31T00:00:00.000Z</x:v>
      </x:c>
      <x:c r="F110" s="205" t="str">
        <x:v>10-Q</x:v>
      </x:c>
      <x:c r="G110" s="228" t="d">
        <x:v>2026-09-11T00:00:00.000Z</x:v>
      </x:c>
      <x:c r="H110" s="205" t="str">
        <x:v>0001193125-26-389274</x:v>
      </x:c>
      <x:c r="I110" s="205" t="str">
        <x:v>us-gaap:FinanceLeaseLiabilityNoncurrent</x:v>
      </x:c>
      <x:c r="J110" s="205" t="str">
        <x:v>C_6aa4717d-0551-43f7-9cf4-c8a0049a656e</x:v>
      </x:c>
      <x:c r="K110" s="205" t="n">
        <x:v>6</x:v>
      </x:c>
      <x:c r="L110" s="205" t="str">
        <x:v>-6</x:v>
      </x:c>
      <x:c r="M110" s="205" t="str">
        <x:v>https://www.sec.gov/Archives/edgar/data/1341439/000119312526389274/orcl-20260831.htm</x:v>
      </x:c>
      <x:c r="N110" s="205" t="str">
        <x:v>10-Q Note 6, pp. 12–13</x:v>
      </x:c>
      <x:c r="O110" s="205" t="str"/>
      <x:c r="P110" s="205" t="str">
        <x:v>None (consolidated total)</x:v>
      </x:c>
      <x:c r="Q110" s="205" t="str">
        <x:v>051dd4893fa497f36d99c8a355cbc90107f56e1a628c78e38c76e7dca0d4a6fd</x:v>
      </x:c>
      <x:c r="R110" s="16" t="str">
        <x:v>USD; Exact prefixed tag; exact stated instant; USD; no dimensions; agreeing duplicates.</x:v>
      </x:c>
    </x:row>
    <x:row r="111" ht="78" customHeight="1">
      <x:c r="A111" s="25" t="str">
        <x:v>Finance lease liabilities — reported total control</x:v>
      </x:c>
      <x:c r="B111" s="233" t="n">
        <x:v>9185000000</x:v>
      </x:c>
      <x:c r="C111" s="205" t="str">
        <x:v>Finance lease liabilities — reported total control</x:v>
      </x:c>
      <x:c r="D111" s="205"/>
      <x:c r="E111" s="228" t="d">
        <x:v>2026-08-31T00:00:00.000Z</x:v>
      </x:c>
      <x:c r="F111" s="205" t="str">
        <x:v>10-Q</x:v>
      </x:c>
      <x:c r="G111" s="228" t="d">
        <x:v>2026-09-11T00:00:00.000Z</x:v>
      </x:c>
      <x:c r="H111" s="205" t="str">
        <x:v>0001193125-26-389274</x:v>
      </x:c>
      <x:c r="I111" s="205" t="str">
        <x:v>us-gaap:FinanceLeaseLiability</x:v>
      </x:c>
      <x:c r="J111" s="205" t="str">
        <x:v>C_6aa4717d-0551-43f7-9cf4-c8a0049a656e</x:v>
      </x:c>
      <x:c r="K111" s="205" t="n">
        <x:v>6</x:v>
      </x:c>
      <x:c r="L111" s="205" t="str">
        <x:v>-6</x:v>
      </x:c>
      <x:c r="M111" s="205" t="str">
        <x:v>https://www.sec.gov/Archives/edgar/data/1341439/000119312526389274/orcl-20260831.htm</x:v>
      </x:c>
      <x:c r="N111" s="205" t="str">
        <x:v>10-Q Note 6, pp. 12–13</x:v>
      </x:c>
      <x:c r="O111" s="205" t="str"/>
      <x:c r="P111" s="205" t="str">
        <x:v>None (consolidated total)</x:v>
      </x:c>
      <x:c r="Q111" s="205" t="str">
        <x:v>051dd4893fa497f36d99c8a355cbc90107f56e1a628c78e38c76e7dca0d4a6fd</x:v>
      </x:c>
      <x:c r="R111" s="16" t="str">
        <x:v>USD; Exact prefixed tag; exact stated instant; USD; no dimensions; agreeing duplicates.</x:v>
      </x:c>
    </x:row>
    <x:row r="112" ht="78" customHeight="1">
      <x:c r="A112" s="25" t="str">
        <x:v>Leases not yet commenced</x:v>
      </x:c>
      <x:c r="B112" s="233" t="n">
        <x:v>288000000000</x:v>
      </x:c>
      <x:c r="C112" s="205" t="str">
        <x:v>Leases not yet commenced</x:v>
      </x:c>
      <x:c r="D112" s="205"/>
      <x:c r="E112" s="228" t="d">
        <x:v>2026-08-31T00:00:00.000Z</x:v>
      </x:c>
      <x:c r="F112" s="205" t="str">
        <x:v>10-Q</x:v>
      </x:c>
      <x:c r="G112" s="228" t="d">
        <x:v>2026-09-11T00:00:00.000Z</x:v>
      </x:c>
      <x:c r="H112" s="205" t="str">
        <x:v>0001193125-26-389274</x:v>
      </x:c>
      <x:c r="I112" s="205" t="str">
        <x:v>orcl:LesseeOperatingLeaseLeaseNotYetCommencedLeaseCommitments</x:v>
      </x:c>
      <x:c r="J112" s="205" t="str">
        <x:v>C_6aa4717d-0551-43f7-9cf4-c8a0049a656e</x:v>
      </x:c>
      <x:c r="K112" s="205" t="n">
        <x:v>9</x:v>
      </x:c>
      <x:c r="L112" s="205" t="str">
        <x:v>-9</x:v>
      </x:c>
      <x:c r="M112" s="205" t="str">
        <x:v>https://www.sec.gov/Archives/edgar/data/1341439/000119312526389274/orcl-20260831.htm</x:v>
      </x:c>
      <x:c r="N112" s="205" t="str">
        <x:v>10-Q Note 6, p. 13</x:v>
      </x:c>
      <x:c r="O112" s="205" t="str">
        <x:v>Amount reported in rounded billions. Future commitment, not a recognized lease liability. Expected to commence Q2 fiscal 2027–fiscal 2029, with 15–19 year terms. Annual payment timing is Unavailable.</x:v>
      </x:c>
      <x:c r="P112" s="205" t="str">
        <x:v>None (consolidated total)</x:v>
      </x:c>
      <x:c r="Q112" s="205" t="str">
        <x:v>051dd4893fa497f36d99c8a355cbc90107f56e1a628c78e38c76e7dca0d4a6fd</x:v>
      </x:c>
      <x:c r="R112" s="16" t="str">
        <x:v>USD; Exact prefixed tag; exact stated instant; USD; no dimensions; agreeing duplicates.</x:v>
      </x:c>
    </x:row>
    <x:row r="113" ht="78" customHeight="1">
      <x:c r="A113" s="25" t="str">
        <x:v>Current notes and other borrowing</x:v>
      </x:c>
      <x:c r="B113" s="247" t="n">
        <x:f>B104</x:f>
        <x:v>7625000000</x:v>
      </x:c>
      <x:c r="C113" s="205" t="str">
        <x:v>Current notes and other borrowing</x:v>
      </x:c>
      <x:c r="D113" s="205"/>
      <x:c r="E113" s="228" t="d">
        <x:v>2026-08-31T00:00:00.000Z</x:v>
      </x:c>
      <x:c r="F113" s="205" t="str">
        <x:v>10-Q</x:v>
      </x:c>
      <x:c r="G113" s="228" t="d">
        <x:v>2026-09-11T00:00:00.000Z</x:v>
      </x:c>
      <x:c r="H113" s="205" t="str">
        <x:v>0001193125-26-389274</x:v>
      </x:c>
      <x:c r="I113" s="205" t="str">
        <x:v>us-gaap:NotesPayableCurrent</x:v>
      </x:c>
      <x:c r="J113" s="205"/>
      <x:c r="K113" s="205"/>
      <x:c r="L113" s="205"/>
      <x:c r="M113" s="205" t="str">
        <x:v>https://www.sec.gov/Archives/edgar/data/1341439/000119312526389274/orcl-20260831.htm</x:v>
      </x:c>
      <x:c r="N113" s="205" t="str">
        <x:v>10-Q balance sheet, p. 1</x:v>
      </x:c>
      <x:c r="O113" s="205" t="str"/>
      <x:c r="P113" s="205" t="str">
        <x:v>None (consolidated total)</x:v>
      </x:c>
      <x:c r="Q113" s="205" t="str"/>
      <x:c r="R113" s="16" t="str">
        <x:v>USD; USD instant at the balance-sheet date, from the latest original 10-K or 10-Q itself</x:v>
      </x:c>
    </x:row>
    <x:row r="114" ht="78" customHeight="1">
      <x:c r="A114" s="25" t="str">
        <x:v>Current liabilities</x:v>
      </x:c>
      <x:c r="B114" s="233" t="n">
        <x:v>47514000000</x:v>
      </x:c>
      <x:c r="C114" s="205" t="str">
        <x:v>Current liabilities</x:v>
      </x:c>
      <x:c r="D114" s="205"/>
      <x:c r="E114" s="228" t="d">
        <x:v>2026-08-31T00:00:00.000Z</x:v>
      </x:c>
      <x:c r="F114" s="205" t="str">
        <x:v>10-Q</x:v>
      </x:c>
      <x:c r="G114" s="228" t="d">
        <x:v>2026-09-11T00:00:00.000Z</x:v>
      </x:c>
      <x:c r="H114" s="205" t="str">
        <x:v>0001193125-26-389274</x:v>
      </x:c>
      <x:c r="I114" s="205" t="str">
        <x:v>us-gaap:LiabilitiesCurrent</x:v>
      </x:c>
      <x:c r="J114" s="205" t="str">
        <x:v>C_6aa4717d-0551-43f7-9cf4-c8a0049a656e</x:v>
      </x:c>
      <x:c r="K114" s="205" t="n">
        <x:v>6</x:v>
      </x:c>
      <x:c r="L114" s="205" t="str">
        <x:v>-6</x:v>
      </x:c>
      <x:c r="M114" s="205" t="str">
        <x:v>https://www.sec.gov/Archives/edgar/data/1341439/000119312526389274/orcl-20260831.htm</x:v>
      </x:c>
      <x:c r="N114" s="205" t="str">
        <x:v>Balance sheet, p. 1</x:v>
      </x:c>
      <x:c r="O114" s="205" t="str"/>
      <x:c r="P114" s="205" t="str">
        <x:v>None (consolidated total)</x:v>
      </x:c>
      <x:c r="Q114" s="205" t="str">
        <x:v>051dd4893fa497f36d99c8a355cbc90107f56e1a628c78e38c76e7dca0d4a6fd</x:v>
      </x:c>
      <x:c r="R114" s="16" t="str">
        <x:v>USD; Exact filing, entity, USD instant and allowed dimensions; agreeing duplicates only.</x:v>
      </x:c>
    </x:row>
    <x:row r="115" ht="78" customHeight="1">
      <x:c r="A115" s="26" t="str">
        <x:v>Noncurrent liabilities</x:v>
      </x:c>
      <x:c r="B115" s="234" t="n">
        <x:v>188549000000</x:v>
      </x:c>
      <x:c r="C115" s="206" t="str">
        <x:v>Noncurrent liabilities</x:v>
      </x:c>
      <x:c r="D115" s="206"/>
      <x:c r="E115" s="230" t="d">
        <x:v>2026-08-31T00:00:00.000Z</x:v>
      </x:c>
      <x:c r="F115" s="206" t="str">
        <x:v>10-Q</x:v>
      </x:c>
      <x:c r="G115" s="230" t="d">
        <x:v>2026-09-11T00:00:00.000Z</x:v>
      </x:c>
      <x:c r="H115" s="206" t="str">
        <x:v>0001193125-26-389274</x:v>
      </x:c>
      <x:c r="I115" s="206" t="str">
        <x:v>us-gaap:LiabilitiesNoncurrent</x:v>
      </x:c>
      <x:c r="J115" s="206" t="str">
        <x:v>C_6aa4717d-0551-43f7-9cf4-c8a0049a656e</x:v>
      </x:c>
      <x:c r="K115" s="206" t="n">
        <x:v>6</x:v>
      </x:c>
      <x:c r="L115" s="206" t="str">
        <x:v>-6</x:v>
      </x:c>
      <x:c r="M115" s="206" t="str">
        <x:v>https://www.sec.gov/Archives/edgar/data/1341439/000119312526389274/orcl-20260831.htm</x:v>
      </x:c>
      <x:c r="N115" s="206" t="str">
        <x:v>Balance sheet, p. 1</x:v>
      </x:c>
      <x:c r="O115" s="206" t="str"/>
      <x:c r="P115" s="206" t="str">
        <x:v>None (consolidated total)</x:v>
      </x:c>
      <x:c r="Q115" s="206" t="str">
        <x:v>051dd4893fa497f36d99c8a355cbc90107f56e1a628c78e38c76e7dca0d4a6fd</x:v>
      </x:c>
      <x:c r="R115" s="18" t="str">
        <x:v>USD; Exact filing, entity, USD instant and allowed dimensions; agreeing duplicates only.</x:v>
      </x:c>
    </x:row>
    <x:row r="116">
      <x:c r="A116" s="1"/>
      <x:c r="B116" s="1"/>
      <x:c r="C116" s="1"/>
      <x:c r="D116" s="1"/>
      <x:c r="E116" s="1"/>
      <x:c r="F116" s="1"/>
      <x:c r="G116" s="1"/>
      <x:c r="H116" s="1"/>
      <x:c r="I116" s="1"/>
      <x:c r="J116" s="1"/>
      <x:c r="K116" s="1"/>
      <x:c r="L116" s="1"/>
      <x:c r="M116" s="1"/>
      <x:c r="N116" s="1"/>
      <x:c r="O116" s="1"/>
      <x:c r="P116" s="1"/>
      <x:c r="Q116" s="1"/>
      <x:c r="R116" s="1"/>
    </x:row>
    <x:row r="117">
      <x:c r="A117" s="1"/>
      <x:c r="B117" s="1"/>
      <x:c r="C117" s="1"/>
      <x:c r="D117" s="1"/>
      <x:c r="E117" s="1"/>
      <x:c r="F117" s="1"/>
      <x:c r="G117" s="1"/>
      <x:c r="H117" s="1"/>
      <x:c r="I117" s="1"/>
      <x:c r="J117" s="1"/>
      <x:c r="K117" s="1"/>
      <x:c r="L117" s="1"/>
      <x:c r="M117" s="1"/>
      <x:c r="N117" s="1"/>
      <x:c r="O117" s="1"/>
      <x:c r="P117" s="1"/>
      <x:c r="Q117" s="1"/>
      <x:c r="R117" s="1"/>
    </x:row>
    <x:row r="118" ht="86" customHeight="1">
      <x:c r="A118" s="13" t="str">
        <x:v>Key</x:v>
      </x:c>
      <x:c r="B118" s="219" t="str">
        <x:v>USD millions, except ratios (x)</x:v>
      </x:c>
      <x:c r="C118" s="219" t="str">
        <x:v>Reported input</x:v>
      </x:c>
      <x:c r="D118" s="219" t="str">
        <x:v>Period start</x:v>
      </x:c>
      <x:c r="E118" s="219" t="str">
        <x:v>Period end / as of</x:v>
      </x:c>
      <x:c r="F118" s="219" t="str">
        <x:v>Form</x:v>
      </x:c>
      <x:c r="G118" s="219" t="str">
        <x:v>Filed</x:v>
      </x:c>
      <x:c r="H118" s="219" t="str">
        <x:v>Accession</x:v>
      </x:c>
      <x:c r="I118" s="219" t="str">
        <x:v>Tag</x:v>
      </x:c>
      <x:c r="J118" s="219" t="str">
        <x:v>Context ID</x:v>
      </x:c>
      <x:c r="K118" s="219" t="str">
        <x:v>Scale</x:v>
      </x:c>
      <x:c r="L118" s="219" t="str">
        <x:v>Decimals</x:v>
      </x:c>
      <x:c r="M118" s="219" t="str">
        <x:v>Source</x:v>
      </x:c>
      <x:c r="N118" s="219" t="str">
        <x:v>Filing location</x:v>
      </x:c>
      <x:c r="O118" s="219" t="str">
        <x:v>Finding / Unavailable reason</x:v>
      </x:c>
      <x:c r="P118" s="219" t="str">
        <x:v>Dimensions</x:v>
      </x:c>
      <x:c r="Q118" s="219" t="str">
        <x:v>Reviewed source SHA256</x:v>
      </x:c>
      <x:c r="R118" s="14" t="str">
        <x:v>Unit and selection rule</x:v>
      </x:c>
    </x:row>
    <x:row r="119" ht="86" customHeight="1">
      <x:c r="A119" s="25" t="str">
        <x:v>Ratio input: Cash and cash equivalents</x:v>
      </x:c>
      <x:c r="B119" s="233" t="n">
        <x:v>36369000000</x:v>
      </x:c>
      <x:c r="C119" s="205" t="str">
        <x:v>Cash and cash equivalents</x:v>
      </x:c>
      <x:c r="D119" s="228"/>
      <x:c r="E119" s="228" t="d">
        <x:v>2026-08-31T00:00:00.000Z</x:v>
      </x:c>
      <x:c r="F119" s="205" t="str">
        <x:v>10-Q</x:v>
      </x:c>
      <x:c r="G119" s="228" t="d">
        <x:v>2026-09-11T00:00:00.000Z</x:v>
      </x:c>
      <x:c r="H119" s="205" t="str">
        <x:v>0001193125-26-389274</x:v>
      </x:c>
      <x:c r="I119" s="205" t="str">
        <x:v>us-gaap:CashAndCashEquivalentsAtCarryingValue</x:v>
      </x:c>
      <x:c r="J119" s="205"/>
      <x:c r="K119" s="205"/>
      <x:c r="L119" s="205"/>
      <x:c r="M119" s="205" t="str">
        <x:v>https://www.sec.gov/Archives/edgar/data/1341439/000119312526389274/orcl-20260831.htm</x:v>
      </x:c>
      <x:c r="N119" s="205" t="str">
        <x:v>Checked balance sheet / cash-flow statement</x:v>
      </x:c>
      <x:c r="O119" s="205" t="str">
        <x:v>USD instant at the balance-sheet date, from the latest original 10-K or 10-Q itself</x:v>
      </x:c>
      <x:c r="P119" s="205" t="str">
        <x:v>None (consolidated total)</x:v>
      </x:c>
      <x:c r="Q119" s="205"/>
      <x:c r="R119" s="16" t="str">
        <x:v>USD</x:v>
      </x:c>
    </x:row>
    <x:row r="120" ht="86" customHeight="1">
      <x:c r="A120" s="25" t="str">
        <x:v>Ratio input: Notes payable and other borrowings, current</x:v>
      </x:c>
      <x:c r="B120" s="247" t="n">
        <x:f>B104</x:f>
        <x:v>7625000000</x:v>
      </x:c>
      <x:c r="C120" s="205" t="str">
        <x:v>Notes payable and other borrowings, current</x:v>
      </x:c>
      <x:c r="D120" s="228"/>
      <x:c r="E120" s="228" t="d">
        <x:v>2026-08-31T00:00:00.000Z</x:v>
      </x:c>
      <x:c r="F120" s="205" t="str">
        <x:v>10-Q</x:v>
      </x:c>
      <x:c r="G120" s="228" t="d">
        <x:v>2026-09-11T00:00:00.000Z</x:v>
      </x:c>
      <x:c r="H120" s="205" t="str">
        <x:v>0001193125-26-389274</x:v>
      </x:c>
      <x:c r="I120" s="205" t="str">
        <x:v>us-gaap:NotesPayableCurrent</x:v>
      </x:c>
      <x:c r="J120" s="205"/>
      <x:c r="K120" s="205"/>
      <x:c r="L120" s="205"/>
      <x:c r="M120" s="205" t="str">
        <x:v>https://www.sec.gov/Archives/edgar/data/1341439/000119312526389274/orcl-20260831.htm</x:v>
      </x:c>
      <x:c r="N120" s="205" t="str">
        <x:v>Checked balance sheet / cash-flow statement</x:v>
      </x:c>
      <x:c r="O120" s="205" t="str">
        <x:v>USD instant at the balance-sheet date, from the latest original 10-K or 10-Q itself</x:v>
      </x:c>
      <x:c r="P120" s="205" t="str">
        <x:v>None (consolidated total)</x:v>
      </x:c>
      <x:c r="Q120" s="205"/>
      <x:c r="R120" s="16" t="str">
        <x:v>USD</x:v>
      </x:c>
    </x:row>
    <x:row r="121" ht="86" customHeight="1">
      <x:c r="A121" s="25" t="str">
        <x:v>Ratio input: Notes payable and other borrowings, non-current</x:v>
      </x:c>
      <x:c r="B121" s="247" t="n">
        <x:f>B105</x:f>
        <x:v>117712000000</x:v>
      </x:c>
      <x:c r="C121" s="205" t="str">
        <x:v>Notes payable and other borrowings, non-current</x:v>
      </x:c>
      <x:c r="D121" s="228"/>
      <x:c r="E121" s="228" t="d">
        <x:v>2026-08-31T00:00:00.000Z</x:v>
      </x:c>
      <x:c r="F121" s="205" t="str">
        <x:v>10-Q</x:v>
      </x:c>
      <x:c r="G121" s="228" t="d">
        <x:v>2026-09-11T00:00:00.000Z</x:v>
      </x:c>
      <x:c r="H121" s="205" t="str">
        <x:v>0001193125-26-389274</x:v>
      </x:c>
      <x:c r="I121" s="205" t="str">
        <x:v>us-gaap:LongTermNotesAndLoans</x:v>
      </x:c>
      <x:c r="J121" s="205"/>
      <x:c r="K121" s="205"/>
      <x:c r="L121" s="205"/>
      <x:c r="M121" s="205" t="str">
        <x:v>https://www.sec.gov/Archives/edgar/data/1341439/000119312526389274/orcl-20260831.htm</x:v>
      </x:c>
      <x:c r="N121" s="205" t="str">
        <x:v>Checked balance sheet / cash-flow statement</x:v>
      </x:c>
      <x:c r="O121" s="205" t="str">
        <x:v>USD instant at the balance-sheet date, from the latest original 10-K or 10-Q itself</x:v>
      </x:c>
      <x:c r="P121" s="205" t="str">
        <x:v>None (consolidated total)</x:v>
      </x:c>
      <x:c r="Q121" s="205"/>
      <x:c r="R121" s="16" t="str">
        <x:v>USD</x:v>
      </x:c>
    </x:row>
    <x:row r="122" ht="86" customHeight="1">
      <x:c r="A122" s="25" t="str">
        <x:v>Ratio input: Current liabilities</x:v>
      </x:c>
      <x:c r="B122" s="233" t="n">
        <x:v>47514000000</x:v>
      </x:c>
      <x:c r="C122" s="205" t="str">
        <x:v>Current liabilities</x:v>
      </x:c>
      <x:c r="D122" s="228"/>
      <x:c r="E122" s="228" t="d">
        <x:v>2026-08-31T00:00:00.000Z</x:v>
      </x:c>
      <x:c r="F122" s="205" t="str">
        <x:v>10-Q</x:v>
      </x:c>
      <x:c r="G122" s="228" t="d">
        <x:v>2026-09-11T00:00:00.000Z</x:v>
      </x:c>
      <x:c r="H122" s="205" t="str">
        <x:v>0001193125-26-389274</x:v>
      </x:c>
      <x:c r="I122" s="205" t="str">
        <x:v>us-gaap:LiabilitiesCurrent</x:v>
      </x:c>
      <x:c r="J122" s="205"/>
      <x:c r="K122" s="205"/>
      <x:c r="L122" s="205"/>
      <x:c r="M122" s="205" t="str">
        <x:v>https://www.sec.gov/Archives/edgar/data/1341439/000119312526389274/orcl-20260831.htm</x:v>
      </x:c>
      <x:c r="N122" s="205" t="str">
        <x:v>Checked balance sheet / cash-flow statement</x:v>
      </x:c>
      <x:c r="O122" s="205" t="str">
        <x:v>USD instant at the balance-sheet date, from the latest original 10-K or 10-Q itself</x:v>
      </x:c>
      <x:c r="P122" s="205" t="str">
        <x:v>None (consolidated total)</x:v>
      </x:c>
      <x:c r="Q122" s="205"/>
      <x:c r="R122" s="16" t="str">
        <x:v>USD</x:v>
      </x:c>
    </x:row>
    <x:row r="123" ht="86" customHeight="1">
      <x:c r="A123" s="25" t="str">
        <x:v>Ratio input: Current assets</x:v>
      </x:c>
      <x:c r="B123" s="233" t="n">
        <x:v>55630000000</x:v>
      </x:c>
      <x:c r="C123" s="205" t="str">
        <x:v>Current assets</x:v>
      </x:c>
      <x:c r="D123" s="228"/>
      <x:c r="E123" s="228" t="d">
        <x:v>2026-08-31T00:00:00.000Z</x:v>
      </x:c>
      <x:c r="F123" s="205" t="str">
        <x:v>10-Q</x:v>
      </x:c>
      <x:c r="G123" s="228" t="d">
        <x:v>2026-09-11T00:00:00.000Z</x:v>
      </x:c>
      <x:c r="H123" s="205" t="str">
        <x:v>0001193125-26-389274</x:v>
      </x:c>
      <x:c r="I123" s="205" t="str">
        <x:v>us-gaap:AssetsCurrent</x:v>
      </x:c>
      <x:c r="J123" s="205"/>
      <x:c r="K123" s="205"/>
      <x:c r="L123" s="205"/>
      <x:c r="M123" s="205" t="str">
        <x:v>https://www.sec.gov/Archives/edgar/data/1341439/000119312526389274/orcl-20260831.htm</x:v>
      </x:c>
      <x:c r="N123" s="205" t="str">
        <x:v>Checked balance sheet / cash-flow statement</x:v>
      </x:c>
      <x:c r="O123" s="205" t="str">
        <x:v>USD instant at the balance-sheet date, from the latest original 10-K or 10-Q itself</x:v>
      </x:c>
      <x:c r="P123" s="205" t="str">
        <x:v>None (consolidated total)</x:v>
      </x:c>
      <x:c r="Q123" s="205"/>
      <x:c r="R123" s="16" t="str">
        <x:v>USD</x:v>
      </x:c>
    </x:row>
    <x:row r="124" ht="86" customHeight="1">
      <x:c r="A124" s="25" t="str">
        <x:v>Ratio input: Operating cash flow · fiscal year</x:v>
      </x:c>
      <x:c r="B124" s="233" t="n">
        <x:v>31977000000</x:v>
      </x:c>
      <x:c r="C124" s="205" t="str">
        <x:v>Operating cash flow · fiscal year</x:v>
      </x:c>
      <x:c r="D124" s="228" t="d">
        <x:v>2025-06-01T00:00:00.000Z</x:v>
      </x:c>
      <x:c r="E124" s="228" t="d">
        <x:v>2026-05-31T00:00:00.000Z</x:v>
      </x:c>
      <x:c r="F124" s="205" t="str">
        <x:v>10-K</x:v>
      </x:c>
      <x:c r="G124" s="228" t="d">
        <x:v>2026-06-22T00:00:00.000Z</x:v>
      </x:c>
      <x:c r="H124" s="205" t="str">
        <x:v>0001193125-26-277521</x:v>
      </x:c>
      <x:c r="I124" s="205" t="str">
        <x:v>us-gaap:NetCashProvidedByUsedInOperatingActivities</x:v>
      </x:c>
      <x:c r="J124" s="205" t="str">
        <x:v>C_24317829-d237-4c29-bae3-2e46dd1ae625</x:v>
      </x:c>
      <x:c r="K124" s="205" t="n">
        <x:v>6</x:v>
      </x:c>
      <x:c r="L124" s="205" t="str">
        <x:v>-6</x:v>
      </x:c>
      <x:c r="M124" s="205" t="str">
        <x:v>https://www.sec.gov/Archives/edgar/data/1341439/000119312526277521/orcl-20260531.htm</x:v>
      </x:c>
      <x:c r="N124" s="205" t="str">
        <x:v>Checked balance sheet / cash-flow statement</x:v>
      </x:c>
      <x:c r="O124" s="205" t="str">
        <x:v>Exact tag, USD duration, exact start and end dates, no dimensions</x:v>
      </x:c>
      <x:c r="P124" s="205" t="str">
        <x:v>None (consolidated total)</x:v>
      </x:c>
      <x:c r="Q124" s="205"/>
      <x:c r="R124" s="16" t="str">
        <x:v>USD</x:v>
      </x:c>
    </x:row>
    <x:row r="125" ht="86" customHeight="1">
      <x:c r="A125" s="25" t="str">
        <x:v>Ratio input: Operating cash flow · current year to date</x:v>
      </x:c>
      <x:c r="B125" s="233" t="n">
        <x:v>23103000000</x:v>
      </x:c>
      <x:c r="C125" s="205" t="str">
        <x:v>Operating cash flow · current year to date</x:v>
      </x:c>
      <x:c r="D125" s="228" t="d">
        <x:v>2026-06-01T00:00:00.000Z</x:v>
      </x:c>
      <x:c r="E125" s="228" t="d">
        <x:v>2026-08-31T00:00:00.000Z</x:v>
      </x:c>
      <x:c r="F125" s="205" t="str">
        <x:v>10-Q</x:v>
      </x:c>
      <x:c r="G125" s="228" t="d">
        <x:v>2026-09-11T00:00:00.000Z</x:v>
      </x:c>
      <x:c r="H125" s="205" t="str">
        <x:v>0001193125-26-389274</x:v>
      </x:c>
      <x:c r="I125" s="205" t="str">
        <x:v>us-gaap:NetCashProvidedByUsedInOperatingActivities</x:v>
      </x:c>
      <x:c r="J125" s="205" t="str">
        <x:v>C_f2f9ad85-08df-4e59-8948-bfd9405570de</x:v>
      </x:c>
      <x:c r="K125" s="205" t="n">
        <x:v>6</x:v>
      </x:c>
      <x:c r="L125" s="205" t="str">
        <x:v>-6</x:v>
      </x:c>
      <x:c r="M125" s="205" t="str">
        <x:v>https://www.sec.gov/Archives/edgar/data/1341439/000119312526389274/orcl-20260831.htm</x:v>
      </x:c>
      <x:c r="N125" s="205" t="str">
        <x:v>Checked balance sheet / cash-flow statement</x:v>
      </x:c>
      <x:c r="O125" s="205" t="str">
        <x:v>Exact tag, USD duration, exact start and end dates, no dimensions</x:v>
      </x:c>
      <x:c r="P125" s="205" t="str">
        <x:v>None (consolidated total)</x:v>
      </x:c>
      <x:c r="Q125" s="205"/>
      <x:c r="R125" s="16" t="str">
        <x:v>USD</x:v>
      </x:c>
    </x:row>
    <x:row r="126" ht="86" customHeight="1">
      <x:c r="A126" s="25" t="str">
        <x:v>Ratio input: Operating cash flow · prior year to date</x:v>
      </x:c>
      <x:c r="B126" s="233" t="n">
        <x:v>8140000000</x:v>
      </x:c>
      <x:c r="C126" s="205" t="str">
        <x:v>Operating cash flow · prior year to date</x:v>
      </x:c>
      <x:c r="D126" s="228" t="d">
        <x:v>2025-06-01T00:00:00.000Z</x:v>
      </x:c>
      <x:c r="E126" s="228" t="d">
        <x:v>2025-08-31T00:00:00.000Z</x:v>
      </x:c>
      <x:c r="F126" s="205" t="str">
        <x:v>10-Q</x:v>
      </x:c>
      <x:c r="G126" s="228" t="d">
        <x:v>2026-09-11T00:00:00.000Z</x:v>
      </x:c>
      <x:c r="H126" s="205" t="str">
        <x:v>0001193125-26-389274</x:v>
      </x:c>
      <x:c r="I126" s="205" t="str">
        <x:v>us-gaap:NetCashProvidedByUsedInOperatingActivities</x:v>
      </x:c>
      <x:c r="J126" s="205" t="str">
        <x:v>C_a0bdcecc-b2bf-40f4-8106-f50197737571</x:v>
      </x:c>
      <x:c r="K126" s="205" t="n">
        <x:v>6</x:v>
      </x:c>
      <x:c r="L126" s="205" t="str">
        <x:v>-6</x:v>
      </x:c>
      <x:c r="M126" s="205" t="str">
        <x:v>https://www.sec.gov/Archives/edgar/data/1341439/000119312526389274/orcl-20260831.htm</x:v>
      </x:c>
      <x:c r="N126" s="205" t="str">
        <x:v>Checked balance sheet / cash-flow statement</x:v>
      </x:c>
      <x:c r="O126" s="205" t="str">
        <x:v>Exact tag, USD duration, exact start and end dates, no dimensions</x:v>
      </x:c>
      <x:c r="P126" s="205" t="str">
        <x:v>None (consolidated total)</x:v>
      </x:c>
      <x:c r="Q126" s="205"/>
      <x:c r="R126" s="16" t="str">
        <x:v>USD</x:v>
      </x:c>
    </x:row>
    <x:row r="127" ht="86" customHeight="1">
      <x:c r="A127" s="25" t="str">
        <x:v>Ratio input: Capital expenditures · fiscal year</x:v>
      </x:c>
      <x:c r="B127" s="233" t="n">
        <x:v>55663000000</x:v>
      </x:c>
      <x:c r="C127" s="205" t="str">
        <x:v>Capital expenditures · fiscal year</x:v>
      </x:c>
      <x:c r="D127" s="228" t="d">
        <x:v>2025-06-01T00:00:00.000Z</x:v>
      </x:c>
      <x:c r="E127" s="228" t="d">
        <x:v>2026-05-31T00:00:00.000Z</x:v>
      </x:c>
      <x:c r="F127" s="205" t="str">
        <x:v>10-K</x:v>
      </x:c>
      <x:c r="G127" s="228" t="d">
        <x:v>2026-06-22T00:00:00.000Z</x:v>
      </x:c>
      <x:c r="H127" s="205" t="str">
        <x:v>0001193125-26-277521</x:v>
      </x:c>
      <x:c r="I127" s="205" t="str">
        <x:v>us-gaap:PaymentsToAcquirePropertyPlantAndEquipment</x:v>
      </x:c>
      <x:c r="J127" s="205" t="str">
        <x:v>C_24317829-d237-4c29-bae3-2e46dd1ae625</x:v>
      </x:c>
      <x:c r="K127" s="205" t="n">
        <x:v>6</x:v>
      </x:c>
      <x:c r="L127" s="205" t="str">
        <x:v>-6</x:v>
      </x:c>
      <x:c r="M127" s="205" t="str">
        <x:v>https://www.sec.gov/Archives/edgar/data/1341439/000119312526277521/orcl-20260531.htm</x:v>
      </x:c>
      <x:c r="N127" s="205" t="str">
        <x:v>Checked balance sheet / cash-flow statement</x:v>
      </x:c>
      <x:c r="O127" s="205" t="str">
        <x:v>Exact tag, USD duration, exact start and end dates, no dimensions</x:v>
      </x:c>
      <x:c r="P127" s="205" t="str">
        <x:v>None (consolidated total)</x:v>
      </x:c>
      <x:c r="Q127" s="205"/>
      <x:c r="R127" s="16" t="str">
        <x:v>USD</x:v>
      </x:c>
    </x:row>
    <x:row r="128" ht="86" customHeight="1">
      <x:c r="A128" s="25" t="str">
        <x:v>Ratio input: Capital expenditures · current year to date</x:v>
      </x:c>
      <x:c r="B128" s="233" t="n">
        <x:v>28499000000</x:v>
      </x:c>
      <x:c r="C128" s="205" t="str">
        <x:v>Capital expenditures · current year to date</x:v>
      </x:c>
      <x:c r="D128" s="228" t="d">
        <x:v>2026-06-01T00:00:00.000Z</x:v>
      </x:c>
      <x:c r="E128" s="228" t="d">
        <x:v>2026-08-31T00:00:00.000Z</x:v>
      </x:c>
      <x:c r="F128" s="205" t="str">
        <x:v>10-Q</x:v>
      </x:c>
      <x:c r="G128" s="228" t="d">
        <x:v>2026-09-11T00:00:00.000Z</x:v>
      </x:c>
      <x:c r="H128" s="205" t="str">
        <x:v>0001193125-26-389274</x:v>
      </x:c>
      <x:c r="I128" s="205" t="str">
        <x:v>us-gaap:PaymentsToAcquirePropertyPlantAndEquipment</x:v>
      </x:c>
      <x:c r="J128" s="205" t="str">
        <x:v>C_f2f9ad85-08df-4e59-8948-bfd9405570de</x:v>
      </x:c>
      <x:c r="K128" s="205" t="n">
        <x:v>6</x:v>
      </x:c>
      <x:c r="L128" s="205" t="str">
        <x:v>-6</x:v>
      </x:c>
      <x:c r="M128" s="205" t="str">
        <x:v>https://www.sec.gov/Archives/edgar/data/1341439/000119312526389274/orcl-20260831.htm</x:v>
      </x:c>
      <x:c r="N128" s="205" t="str">
        <x:v>Checked balance sheet / cash-flow statement</x:v>
      </x:c>
      <x:c r="O128" s="205" t="str">
        <x:v>Exact tag, USD duration, exact start and end dates, no dimensions</x:v>
      </x:c>
      <x:c r="P128" s="205" t="str">
        <x:v>None (consolidated total)</x:v>
      </x:c>
      <x:c r="Q128" s="205"/>
      <x:c r="R128" s="16" t="str">
        <x:v>USD</x:v>
      </x:c>
    </x:row>
    <x:row r="129" ht="86" customHeight="1">
      <x:c r="A129" s="26" t="str">
        <x:v>Ratio input: Capital expenditures · prior year to date</x:v>
      </x:c>
      <x:c r="B129" s="234" t="n">
        <x:v>8502000000</x:v>
      </x:c>
      <x:c r="C129" s="206" t="str">
        <x:v>Capital expenditures · prior year to date</x:v>
      </x:c>
      <x:c r="D129" s="230" t="d">
        <x:v>2025-06-01T00:00:00.000Z</x:v>
      </x:c>
      <x:c r="E129" s="230" t="d">
        <x:v>2025-08-31T00:00:00.000Z</x:v>
      </x:c>
      <x:c r="F129" s="206" t="str">
        <x:v>10-Q</x:v>
      </x:c>
      <x:c r="G129" s="230" t="d">
        <x:v>2026-09-11T00:00:00.000Z</x:v>
      </x:c>
      <x:c r="H129" s="206" t="str">
        <x:v>0001193125-26-389274</x:v>
      </x:c>
      <x:c r="I129" s="206" t="str">
        <x:v>us-gaap:PaymentsToAcquirePropertyPlantAndEquipment</x:v>
      </x:c>
      <x:c r="J129" s="206" t="str">
        <x:v>C_a0bdcecc-b2bf-40f4-8106-f50197737571</x:v>
      </x:c>
      <x:c r="K129" s="206" t="n">
        <x:v>6</x:v>
      </x:c>
      <x:c r="L129" s="206" t="str">
        <x:v>-6</x:v>
      </x:c>
      <x:c r="M129" s="206" t="str">
        <x:v>https://www.sec.gov/Archives/edgar/data/1341439/000119312526389274/orcl-20260831.htm</x:v>
      </x:c>
      <x:c r="N129" s="206" t="str">
        <x:v>Checked balance sheet / cash-flow statement</x:v>
      </x:c>
      <x:c r="O129" s="206" t="str">
        <x:v>Exact tag, USD duration, exact start and end dates, no dimensions</x:v>
      </x:c>
      <x:c r="P129" s="206" t="str">
        <x:v>None (consolidated total)</x:v>
      </x:c>
      <x:c r="Q129" s="206"/>
      <x:c r="R129" s="18" t="str">
        <x:v>USD</x:v>
      </x:c>
    </x:row>
    <x:row r="130">
      <x:c r="A130" s="1"/>
      <x:c r="B130" s="1"/>
      <x:c r="C130" s="1"/>
      <x:c r="D130" s="1"/>
      <x:c r="E130" s="1"/>
      <x:c r="F130" s="1"/>
      <x:c r="G130" s="1"/>
      <x:c r="H130" s="1"/>
      <x:c r="I130" s="1"/>
      <x:c r="J130" s="1"/>
      <x:c r="K130" s="1"/>
      <x:c r="L130" s="1"/>
      <x:c r="M130" s="1"/>
      <x:c r="N130" s="1"/>
      <x:c r="O130" s="1"/>
      <x:c r="P130" s="1"/>
      <x:c r="Q130" s="1"/>
      <x:c r="R130" s="1"/>
    </x:row>
    <x:row r="131">
      <x:c r="A131" s="1"/>
      <x:c r="B131" s="1"/>
      <x:c r="C131" s="1"/>
      <x:c r="D131" s="1"/>
      <x:c r="E131" s="1"/>
      <x:c r="F131" s="1"/>
      <x:c r="G131" s="1"/>
      <x:c r="H131" s="1"/>
      <x:c r="I131" s="1"/>
      <x:c r="J131" s="1"/>
      <x:c r="K131" s="1"/>
      <x:c r="L131" s="1"/>
      <x:c r="M131" s="1"/>
      <x:c r="N131" s="1"/>
      <x:c r="O131" s="1"/>
      <x:c r="P131" s="1"/>
      <x:c r="Q131" s="1"/>
      <x:c r="R131" s="1"/>
    </x:row>
    <x:row r="132" ht="70" customHeight="1">
      <x:c r="A132" s="13" t="str">
        <x:v>Key</x:v>
      </x:c>
      <x:c r="B132" s="219" t="str">
        <x:v>USD millions, except ratios (x)</x:v>
      </x:c>
      <x:c r="C132" s="219" t="str">
        <x:v>Reported input</x:v>
      </x:c>
      <x:c r="D132" s="219" t="str">
        <x:v>Period start</x:v>
      </x:c>
      <x:c r="E132" s="219" t="str">
        <x:v>Period end / as of</x:v>
      </x:c>
      <x:c r="F132" s="219" t="str">
        <x:v>Form</x:v>
      </x:c>
      <x:c r="G132" s="219" t="str">
        <x:v>Filed</x:v>
      </x:c>
      <x:c r="H132" s="219" t="str">
        <x:v>Accession</x:v>
      </x:c>
      <x:c r="I132" s="219" t="str">
        <x:v>Tag</x:v>
      </x:c>
      <x:c r="J132" s="219" t="str">
        <x:v>Context ID</x:v>
      </x:c>
      <x:c r="K132" s="219" t="str">
        <x:v>Scale</x:v>
      </x:c>
      <x:c r="L132" s="219" t="str">
        <x:v>Decimals</x:v>
      </x:c>
      <x:c r="M132" s="219" t="str">
        <x:v>Source</x:v>
      </x:c>
      <x:c r="N132" s="219" t="str">
        <x:v>Filing location</x:v>
      </x:c>
      <x:c r="O132" s="219" t="str">
        <x:v>Finding / Unavailable reason</x:v>
      </x:c>
      <x:c r="P132" s="219" t="str">
        <x:v>Dimensions</x:v>
      </x:c>
      <x:c r="Q132" s="219" t="str">
        <x:v>Reviewed source SHA256</x:v>
      </x:c>
      <x:c r="R132" s="14" t="str">
        <x:v>Unit and selection rule</x:v>
      </x:c>
    </x:row>
    <x:row r="133" ht="70" customHeight="1">
      <x:c r="A133" s="25" t="str">
        <x:v>Cash and cash equivalents</x:v>
      </x:c>
      <x:c r="B133" s="233" t="n">
        <x:v>31289000000</x:v>
      </x:c>
      <x:c r="C133" s="205" t="str">
        <x:v>Cash and cash equivalents</x:v>
      </x:c>
      <x:c r="D133" s="228"/>
      <x:c r="E133" s="228" t="d">
        <x:v>2026-05-31T00:00:00.000Z</x:v>
      </x:c>
      <x:c r="F133" s="205" t="str">
        <x:v>10-K</x:v>
      </x:c>
      <x:c r="G133" s="228" t="d">
        <x:v>2026-06-22T00:00:00.000Z</x:v>
      </x:c>
      <x:c r="H133" s="205" t="str">
        <x:v>0001193125-26-277521</x:v>
      </x:c>
      <x:c r="I133" s="205" t="str">
        <x:v>us-gaap:CashAndCashEquivalentsAtCarryingValue</x:v>
      </x:c>
      <x:c r="J133" s="205" t="str">
        <x:v>C_f62bade6-47e1-4441-9bb3-1e534300c2f2</x:v>
      </x:c>
      <x:c r="K133" s="205" t="n">
        <x:v>6</x:v>
      </x:c>
      <x:c r="L133" s="205" t="str">
        <x:v>-6</x:v>
      </x:c>
      <x:c r="M133" s="205" t="str">
        <x:v>https://www.sec.gov/Archives/edgar/data/1341439/000119312526277521/orcl-20260531.htm</x:v>
      </x:c>
      <x:c r="N133" s="205" t="str">
        <x:v>10-K balance sheet p. 64; cash/restricted cash policy p. 70</x:v>
      </x:c>
      <x:c r="O133" s="205" t="str">
        <x:v>USD instant at the balance-sheet date, from the latest original 10-K or 10-Q itself</x:v>
      </x:c>
      <x:c r="P133" s="205" t="str">
        <x:v>None (consolidated total)</x:v>
      </x:c>
      <x:c r="Q133" s="205" t="str">
        <x:v>61a353e222f961e516bb3e8eed024a5245cfadbf30e3cc16a4a520129f1bdf63</x:v>
      </x:c>
      <x:c r="R133" s="16" t="str">
        <x:v>USD</x:v>
      </x:c>
    </x:row>
    <x:row r="134" ht="70" customHeight="1">
      <x:c r="A134" s="25" t="str">
        <x:v>Current assets</x:v>
      </x:c>
      <x:c r="B134" s="233" t="n">
        <x:v>46567000000</x:v>
      </x:c>
      <x:c r="C134" s="205" t="str">
        <x:v>Current assets</x:v>
      </x:c>
      <x:c r="D134" s="228"/>
      <x:c r="E134" s="228" t="d">
        <x:v>2026-05-31T00:00:00.000Z</x:v>
      </x:c>
      <x:c r="F134" s="205" t="str">
        <x:v>10-K</x:v>
      </x:c>
      <x:c r="G134" s="228" t="d">
        <x:v>2026-06-22T00:00:00.000Z</x:v>
      </x:c>
      <x:c r="H134" s="205" t="str">
        <x:v>0001193125-26-277521</x:v>
      </x:c>
      <x:c r="I134" s="205" t="str">
        <x:v>us-gaap:AssetsCurrent</x:v>
      </x:c>
      <x:c r="J134" s="205" t="str">
        <x:v>C_f62bade6-47e1-4441-9bb3-1e534300c2f2</x:v>
      </x:c>
      <x:c r="K134" s="205" t="n">
        <x:v>6</x:v>
      </x:c>
      <x:c r="L134" s="205" t="str">
        <x:v>-6</x:v>
      </x:c>
      <x:c r="M134" s="205" t="str">
        <x:v>https://www.sec.gov/Archives/edgar/data/1341439/000119312526277521/orcl-20260531.htm</x:v>
      </x:c>
      <x:c r="N134" s="205" t="str">
        <x:v>10-K balance sheet p. 64; cash/restricted cash policy p. 70</x:v>
      </x:c>
      <x:c r="O134" s="205" t="str">
        <x:v>USD instant at the balance-sheet date, from the latest original 10-K or 10-Q itself</x:v>
      </x:c>
      <x:c r="P134" s="205" t="str">
        <x:v>None (consolidated total)</x:v>
      </x:c>
      <x:c r="Q134" s="205" t="str">
        <x:v>61a353e222f961e516bb3e8eed024a5245cfadbf30e3cc16a4a520129f1bdf63</x:v>
      </x:c>
      <x:c r="R134" s="16" t="str">
        <x:v>USD</x:v>
      </x:c>
    </x:row>
    <x:row r="135" ht="70" customHeight="1">
      <x:c r="A135" s="25" t="str">
        <x:v>Current liabilities</x:v>
      </x:c>
      <x:c r="B135" s="233" t="n">
        <x:v>41764000000</x:v>
      </x:c>
      <x:c r="C135" s="205" t="str">
        <x:v>Current liabilities</x:v>
      </x:c>
      <x:c r="D135" s="228"/>
      <x:c r="E135" s="228" t="d">
        <x:v>2026-05-31T00:00:00.000Z</x:v>
      </x:c>
      <x:c r="F135" s="205" t="str">
        <x:v>10-K</x:v>
      </x:c>
      <x:c r="G135" s="228" t="d">
        <x:v>2026-06-22T00:00:00.000Z</x:v>
      </x:c>
      <x:c r="H135" s="205" t="str">
        <x:v>0001193125-26-277521</x:v>
      </x:c>
      <x:c r="I135" s="205" t="str">
        <x:v>us-gaap:LiabilitiesCurrent</x:v>
      </x:c>
      <x:c r="J135" s="205" t="str">
        <x:v>C_f62bade6-47e1-4441-9bb3-1e534300c2f2</x:v>
      </x:c>
      <x:c r="K135" s="205" t="n">
        <x:v>6</x:v>
      </x:c>
      <x:c r="L135" s="205" t="str">
        <x:v>-6</x:v>
      </x:c>
      <x:c r="M135" s="205" t="str">
        <x:v>https://www.sec.gov/Archives/edgar/data/1341439/000119312526277521/orcl-20260531.htm</x:v>
      </x:c>
      <x:c r="N135" s="205" t="str">
        <x:v>10-K balance sheet p. 64; cash/restricted cash policy p. 70</x:v>
      </x:c>
      <x:c r="O135" s="205" t="str">
        <x:v>USD instant at the balance-sheet date, from the latest original 10-K or 10-Q itself</x:v>
      </x:c>
      <x:c r="P135" s="205" t="str">
        <x:v>None (consolidated total)</x:v>
      </x:c>
      <x:c r="Q135" s="205" t="str">
        <x:v>61a353e222f961e516bb3e8eed024a5245cfadbf30e3cc16a4a520129f1bdf63</x:v>
      </x:c>
      <x:c r="R135" s="16" t="str">
        <x:v>USD</x:v>
      </x:c>
    </x:row>
    <x:row r="136" ht="70" customHeight="1">
      <x:c r="A136" s="25" t="str">
        <x:v>Notes payable and other borrowings, current</x:v>
      </x:c>
      <x:c r="B136" s="233" t="n">
        <x:v>7199000000</x:v>
      </x:c>
      <x:c r="C136" s="205" t="str">
        <x:v>Notes payable and other borrowings, current</x:v>
      </x:c>
      <x:c r="D136" s="228"/>
      <x:c r="E136" s="228" t="d">
        <x:v>2026-05-31T00:00:00.000Z</x:v>
      </x:c>
      <x:c r="F136" s="205" t="str">
        <x:v>10-K</x:v>
      </x:c>
      <x:c r="G136" s="228" t="d">
        <x:v>2026-06-22T00:00:00.000Z</x:v>
      </x:c>
      <x:c r="H136" s="205" t="str">
        <x:v>0001193125-26-277521</x:v>
      </x:c>
      <x:c r="I136" s="205" t="str">
        <x:v>us-gaap:NotesPayableCurrent</x:v>
      </x:c>
      <x:c r="J136" s="205" t="str">
        <x:v>C_f62bade6-47e1-4441-9bb3-1e534300c2f2</x:v>
      </x:c>
      <x:c r="K136" s="205" t="n">
        <x:v>6</x:v>
      </x:c>
      <x:c r="L136" s="205" t="str">
        <x:v>-6</x:v>
      </x:c>
      <x:c r="M136" s="205" t="str">
        <x:v>https://www.sec.gov/Archives/edgar/data/1341439/000119312526277521/orcl-20260531.htm</x:v>
      </x:c>
      <x:c r="N136" s="205" t="str">
        <x:v>10-K balance sheet p. 64; cash/restricted cash policy p. 70</x:v>
      </x:c>
      <x:c r="O136" s="205" t="str">
        <x:v>USD instant at the balance-sheet date, from the latest original 10-K or 10-Q itself</x:v>
      </x:c>
      <x:c r="P136" s="205" t="str">
        <x:v>None (consolidated total)</x:v>
      </x:c>
      <x:c r="Q136" s="205" t="str">
        <x:v>61a353e222f961e516bb3e8eed024a5245cfadbf30e3cc16a4a520129f1bdf63</x:v>
      </x:c>
      <x:c r="R136" s="16" t="str">
        <x:v>USD</x:v>
      </x:c>
    </x:row>
    <x:row r="137" ht="70" customHeight="1">
      <x:c r="A137" s="25" t="str">
        <x:v>Notes payable and other borrowings, non-current</x:v>
      </x:c>
      <x:c r="B137" s="233" t="n">
        <x:v>122342000000</x:v>
      </x:c>
      <x:c r="C137" s="205" t="str">
        <x:v>Notes payable and other borrowings, non-current</x:v>
      </x:c>
      <x:c r="D137" s="228"/>
      <x:c r="E137" s="228" t="d">
        <x:v>2026-05-31T00:00:00.000Z</x:v>
      </x:c>
      <x:c r="F137" s="205" t="str">
        <x:v>10-K</x:v>
      </x:c>
      <x:c r="G137" s="228" t="d">
        <x:v>2026-06-22T00:00:00.000Z</x:v>
      </x:c>
      <x:c r="H137" s="205" t="str">
        <x:v>0001193125-26-277521</x:v>
      </x:c>
      <x:c r="I137" s="205" t="str">
        <x:v>us-gaap:LongTermNotesAndLoans</x:v>
      </x:c>
      <x:c r="J137" s="205" t="str">
        <x:v>C_f62bade6-47e1-4441-9bb3-1e534300c2f2</x:v>
      </x:c>
      <x:c r="K137" s="205" t="n">
        <x:v>6</x:v>
      </x:c>
      <x:c r="L137" s="205" t="str">
        <x:v>-6</x:v>
      </x:c>
      <x:c r="M137" s="205" t="str">
        <x:v>https://www.sec.gov/Archives/edgar/data/1341439/000119312526277521/orcl-20260531.htm</x:v>
      </x:c>
      <x:c r="N137" s="205" t="str">
        <x:v>10-K balance sheet p. 64; cash/restricted cash policy p. 70</x:v>
      </x:c>
      <x:c r="O137" s="205" t="str">
        <x:v>USD instant at the balance-sheet date, from the latest original 10-K or 10-Q itself</x:v>
      </x:c>
      <x:c r="P137" s="205" t="str">
        <x:v>None (consolidated total)</x:v>
      </x:c>
      <x:c r="Q137" s="205" t="str">
        <x:v>61a353e222f961e516bb3e8eed024a5245cfadbf30e3cc16a4a520129f1bdf63</x:v>
      </x:c>
      <x:c r="R137" s="16" t="str">
        <x:v>USD</x:v>
      </x:c>
    </x:row>
    <x:row r="138" ht="70" customHeight="1">
      <x:c r="A138" s="25" t="str">
        <x:v>Operating cash flow · fiscal year</x:v>
      </x:c>
      <x:c r="B138" s="233" t="n">
        <x:v>31977000000</x:v>
      </x:c>
      <x:c r="C138" s="205" t="str">
        <x:v>Operating cash flow · fiscal year</x:v>
      </x:c>
      <x:c r="D138" s="228" t="d">
        <x:v>2025-06-01T00:00:00.000Z</x:v>
      </x:c>
      <x:c r="E138" s="228" t="d">
        <x:v>2026-05-31T00:00:00.000Z</x:v>
      </x:c>
      <x:c r="F138" s="205" t="str">
        <x:v>10-K</x:v>
      </x:c>
      <x:c r="G138" s="228" t="d">
        <x:v>2026-06-22T00:00:00.000Z</x:v>
      </x:c>
      <x:c r="H138" s="205" t="str">
        <x:v>0001193125-26-277521</x:v>
      </x:c>
      <x:c r="I138" s="205" t="str">
        <x:v>us-gaap:NetCashProvidedByUsedInOperatingActivities</x:v>
      </x:c>
      <x:c r="J138" s="205" t="str">
        <x:v>C_24317829-d237-4c29-bae3-2e46dd1ae625</x:v>
      </x:c>
      <x:c r="K138" s="205" t="n">
        <x:v>6</x:v>
      </x:c>
      <x:c r="L138" s="205" t="str">
        <x:v>-6</x:v>
      </x:c>
      <x:c r="M138" s="205" t="str">
        <x:v>https://www.sec.gov/Archives/edgar/data/1341439/000119312526277521/orcl-20260531.htm</x:v>
      </x:c>
      <x:c r="N138" s="205" t="str">
        <x:v>Annual cash-flow statement</x:v>
      </x:c>
      <x:c r="O138" s="205" t="str">
        <x:v>Exact tag, USD duration, exact start and end dates, no dimensions</x:v>
      </x:c>
      <x:c r="P138" s="205" t="str">
        <x:v>None (consolidated total)</x:v>
      </x:c>
      <x:c r="Q138" s="205" t="str"/>
      <x:c r="R138" s="16" t="str">
        <x:v>USD</x:v>
      </x:c>
    </x:row>
    <x:row r="139" ht="70" customHeight="1">
      <x:c r="A139" s="26" t="str">
        <x:v>Capital expenditures · fiscal year</x:v>
      </x:c>
      <x:c r="B139" s="234" t="n">
        <x:v>55663000000</x:v>
      </x:c>
      <x:c r="C139" s="206" t="str">
        <x:v>Capital expenditures · fiscal year</x:v>
      </x:c>
      <x:c r="D139" s="230" t="d">
        <x:v>2025-06-01T00:00:00.000Z</x:v>
      </x:c>
      <x:c r="E139" s="230" t="d">
        <x:v>2026-05-31T00:00:00.000Z</x:v>
      </x:c>
      <x:c r="F139" s="206" t="str">
        <x:v>10-K</x:v>
      </x:c>
      <x:c r="G139" s="230" t="d">
        <x:v>2026-06-22T00:00:00.000Z</x:v>
      </x:c>
      <x:c r="H139" s="206" t="str">
        <x:v>0001193125-26-277521</x:v>
      </x:c>
      <x:c r="I139" s="206" t="str">
        <x:v>us-gaap:PaymentsToAcquirePropertyPlantAndEquipment</x:v>
      </x:c>
      <x:c r="J139" s="206" t="str">
        <x:v>C_24317829-d237-4c29-bae3-2e46dd1ae625</x:v>
      </x:c>
      <x:c r="K139" s="206" t="n">
        <x:v>6</x:v>
      </x:c>
      <x:c r="L139" s="206" t="str">
        <x:v>-6</x:v>
      </x:c>
      <x:c r="M139" s="206" t="str">
        <x:v>https://www.sec.gov/Archives/edgar/data/1341439/000119312526277521/orcl-20260531.htm</x:v>
      </x:c>
      <x:c r="N139" s="206" t="str">
        <x:v>Annual cash-flow statement</x:v>
      </x:c>
      <x:c r="O139" s="206" t="str">
        <x:v>Exact tag, USD duration, exact start and end dates, no dimensions</x:v>
      </x:c>
      <x:c r="P139" s="206" t="str">
        <x:v>None (consolidated total)</x:v>
      </x:c>
      <x:c r="Q139" s="206" t="str"/>
      <x:c r="R139" s="18" t="str">
        <x:v>USD</x:v>
      </x:c>
    </x:row>
    <x:row r="140">
      <x:c r="A140" s="1"/>
      <x:c r="B140" s="1"/>
      <x:c r="C140" s="1"/>
      <x:c r="D140" s="1"/>
      <x:c r="E140" s="1"/>
      <x:c r="F140" s="1"/>
      <x:c r="G140" s="1"/>
      <x:c r="H140" s="1"/>
      <x:c r="I140" s="1"/>
      <x:c r="J140" s="1"/>
      <x:c r="K140" s="1"/>
      <x:c r="L140" s="1"/>
      <x:c r="M140" s="1"/>
      <x:c r="N140" s="1"/>
      <x:c r="O140" s="1"/>
      <x:c r="P140" s="1"/>
      <x:c r="Q140" s="1"/>
      <x:c r="R140" s="1"/>
    </x:row>
    <x:row r="141">
      <x:c r="A141" s="1"/>
      <x:c r="B141" s="1"/>
      <x:c r="C141" s="1"/>
      <x:c r="D141" s="1"/>
      <x:c r="E141" s="1"/>
      <x:c r="F141" s="1"/>
      <x:c r="G141" s="1"/>
      <x:c r="H141" s="1"/>
      <x:c r="I141" s="1"/>
      <x:c r="J141" s="1"/>
      <x:c r="K141" s="1"/>
      <x:c r="L141" s="1"/>
      <x:c r="M141" s="1"/>
      <x:c r="N141" s="1"/>
      <x:c r="O141" s="1"/>
      <x:c r="P141" s="1"/>
      <x:c r="Q141" s="1"/>
      <x:c r="R141" s="1"/>
    </x:row>
    <x:row r="142" ht="78" customHeight="1">
      <x:c r="A142" s="13" t="str">
        <x:v>Key</x:v>
      </x:c>
      <x:c r="B142" s="219" t="str">
        <x:v>USD millions, except ratios (x)</x:v>
      </x:c>
      <x:c r="C142" s="219" t="str">
        <x:v>Reported input</x:v>
      </x:c>
      <x:c r="D142" s="219" t="str">
        <x:v>Period start</x:v>
      </x:c>
      <x:c r="E142" s="219" t="str">
        <x:v>Period end / as of</x:v>
      </x:c>
      <x:c r="F142" s="219" t="str">
        <x:v>Form</x:v>
      </x:c>
      <x:c r="G142" s="219" t="str">
        <x:v>Filed</x:v>
      </x:c>
      <x:c r="H142" s="219" t="str">
        <x:v>Accession</x:v>
      </x:c>
      <x:c r="I142" s="219" t="str">
        <x:v>Tag</x:v>
      </x:c>
      <x:c r="J142" s="219" t="str">
        <x:v>Context ID</x:v>
      </x:c>
      <x:c r="K142" s="219" t="str">
        <x:v>Scale</x:v>
      </x:c>
      <x:c r="L142" s="219" t="str">
        <x:v>Decimals</x:v>
      </x:c>
      <x:c r="M142" s="219" t="str">
        <x:v>Source</x:v>
      </x:c>
      <x:c r="N142" s="219" t="str">
        <x:v>Filing location</x:v>
      </x:c>
      <x:c r="O142" s="219" t="str">
        <x:v>Finding / Unavailable reason</x:v>
      </x:c>
      <x:c r="P142" s="219" t="str">
        <x:v>Dimensions</x:v>
      </x:c>
      <x:c r="Q142" s="219" t="str">
        <x:v>Reviewed source SHA256</x:v>
      </x:c>
      <x:c r="R142" s="14" t="str">
        <x:v>Unit and selection rule</x:v>
      </x:c>
    </x:row>
    <x:row r="143" ht="78" customHeight="1">
      <x:c r="A143" s="25" t="str">
        <x:v>cash</x:v>
      </x:c>
      <x:c r="B143" s="312" t="n">
        <x:v>21383000000</x:v>
      </x:c>
      <x:c r="C143" s="205" t="str">
        <x:v>cash</x:v>
      </x:c>
      <x:c r="D143" s="205"/>
      <x:c r="E143" s="205" t="d">
        <x:v>2022-05-31T00:00:00.000Z</x:v>
      </x:c>
      <x:c r="F143" s="205" t="str">
        <x:v>10-K</x:v>
      </x:c>
      <x:c r="G143" s="205" t="d">
        <x:v>2022-06-21T00:00:00.000Z</x:v>
      </x:c>
      <x:c r="H143" s="205" t="str">
        <x:v>0001564590-22-023675</x:v>
      </x:c>
      <x:c r="I143" s="205" t="str">
        <x:v>us-gaap:CashAndCashEquivalentsAtCarryingValue</x:v>
      </x:c>
      <x:c r="J143" s="205" t="str">
        <x:v>C_0001341439_20220531</x:v>
      </x:c>
      <x:c r="K143" s="205" t="n">
        <x:v>6</x:v>
      </x:c>
      <x:c r="L143" s="205" t="str">
        <x:v>-6</x:v>
      </x:c>
      <x:c r="M143" s="205" t="str">
        <x:v>https://www.sec.gov/Archives/edgar/data/1341439/000156459022023675/orcl-10k_20220531.htm</x:v>
      </x:c>
      <x:c r="N143" s="205" t="str">
        <x:v>Printed p. 66; Cash and cash equivalents $ 21,383 $ 30,098</x:v>
      </x:c>
      <x:c r="O143" s="205" t="str">
        <x:v>Checked exact USD period and filing version.</x:v>
      </x:c>
      <x:c r="P143" s="205" t="str">
        <x:v>None (consolidated total)</x:v>
      </x:c>
      <x:c r="Q143" s="205" t="str">
        <x:v>28aea71056a6c3f683d2c6de0da37c8eeddf9bcba4e357dc686783319e105560</x:v>
      </x:c>
      <x:c r="R143" s="16" t="str">
        <x:v>USD</x:v>
      </x:c>
    </x:row>
    <x:row r="144" ht="78" customHeight="1">
      <x:c r="A144" s="25" t="str">
        <x:v>cash</x:v>
      </x:c>
      <x:c r="B144" s="312" t="n">
        <x:v>9765000000</x:v>
      </x:c>
      <x:c r="C144" s="205" t="str">
        <x:v>cash</x:v>
      </x:c>
      <x:c r="D144" s="205"/>
      <x:c r="E144" s="205" t="d">
        <x:v>2023-05-31T00:00:00.000Z</x:v>
      </x:c>
      <x:c r="F144" s="205" t="str">
        <x:v>10-K</x:v>
      </x:c>
      <x:c r="G144" s="205" t="d">
        <x:v>2023-06-20T00:00:00.000Z</x:v>
      </x:c>
      <x:c r="H144" s="205" t="str">
        <x:v>0000950170-23-028914</x:v>
      </x:c>
      <x:c r="I144" s="205" t="str">
        <x:v>us-gaap:CashAndCashEquivalentsAtCarryingValue</x:v>
      </x:c>
      <x:c r="J144" s="205" t="str">
        <x:v>C_8dc19c16-0a90-49bb-9768-74f9aa8bba7f</x:v>
      </x:c>
      <x:c r="K144" s="205" t="n">
        <x:v>6</x:v>
      </x:c>
      <x:c r="L144" s="205" t="str">
        <x:v>-6</x:v>
      </x:c>
      <x:c r="M144" s="205" t="str">
        <x:v>https://www.sec.gov/Archives/edgar/data/1341439/000095017023028914/orcl-20230531.htm</x:v>
      </x:c>
      <x:c r="N144" s="205" t="str">
        <x:v>Printed p. 64; Cash and cash equivalents $ 9,765 $ 21,383</x:v>
      </x:c>
      <x:c r="O144" s="205" t="str">
        <x:v>Checked exact USD period and filing version.</x:v>
      </x:c>
      <x:c r="P144" s="205" t="str">
        <x:v>None (consolidated total)</x:v>
      </x:c>
      <x:c r="Q144" s="205" t="str">
        <x:v>755628a06c70fb4bb81da2c6d5c0716c08eb06a9a6b4dc4fe276421f42fe5116</x:v>
      </x:c>
      <x:c r="R144" s="16" t="str">
        <x:v>USD</x:v>
      </x:c>
    </x:row>
    <x:row r="145" ht="78" customHeight="1">
      <x:c r="A145" s="25" t="str">
        <x:v>cash</x:v>
      </x:c>
      <x:c r="B145" s="312" t="n">
        <x:v>10454000000</x:v>
      </x:c>
      <x:c r="C145" s="205" t="str">
        <x:v>cash</x:v>
      </x:c>
      <x:c r="D145" s="205"/>
      <x:c r="E145" s="205" t="d">
        <x:v>2024-05-31T00:00:00.000Z</x:v>
      </x:c>
      <x:c r="F145" s="205" t="str">
        <x:v>10-K</x:v>
      </x:c>
      <x:c r="G145" s="205" t="d">
        <x:v>2024-06-20T00:00:00.000Z</x:v>
      </x:c>
      <x:c r="H145" s="205" t="str">
        <x:v>0000950170-24-075605</x:v>
      </x:c>
      <x:c r="I145" s="205" t="str">
        <x:v>us-gaap:CashAndCashEquivalentsAtCarryingValue</x:v>
      </x:c>
      <x:c r="J145" s="205" t="str">
        <x:v>C_8b38d07e-7182-4ebc-9787-e25717cdb910</x:v>
      </x:c>
      <x:c r="K145" s="205" t="n">
        <x:v>6</x:v>
      </x:c>
      <x:c r="L145" s="205" t="str">
        <x:v>-6</x:v>
      </x:c>
      <x:c r="M145" s="205" t="str">
        <x:v>https://www.sec.gov/Archives/edgar/data/1341439/000095017024075605/orcl-20240531.htm</x:v>
      </x:c>
      <x:c r="N145" s="205" t="str">
        <x:v>Printed p. 65; Cash and cash equivalents $ 10,454 $ 9,765</x:v>
      </x:c>
      <x:c r="O145" s="205" t="str">
        <x:v>Checked exact USD period and filing version.</x:v>
      </x:c>
      <x:c r="P145" s="205" t="str">
        <x:v>None (consolidated total)</x:v>
      </x:c>
      <x:c r="Q145" s="205" t="str">
        <x:v>3e8f9ae9676d6765458be96ef146b4c4b84c0b365b50ea487cf6caa70c2890cd</x:v>
      </x:c>
      <x:c r="R145" s="16" t="str">
        <x:v>USD</x:v>
      </x:c>
    </x:row>
    <x:row r="146" ht="78" customHeight="1">
      <x:c r="A146" s="25" t="str">
        <x:v>cash</x:v>
      </x:c>
      <x:c r="B146" s="312" t="n">
        <x:v>10786000000</x:v>
      </x:c>
      <x:c r="C146" s="205" t="str">
        <x:v>cash</x:v>
      </x:c>
      <x:c r="D146" s="205"/>
      <x:c r="E146" s="205" t="d">
        <x:v>2025-05-31T00:00:00.000Z</x:v>
      </x:c>
      <x:c r="F146" s="205" t="str">
        <x:v>10-K</x:v>
      </x:c>
      <x:c r="G146" s="205" t="d">
        <x:v>2025-06-18T00:00:00.000Z</x:v>
      </x:c>
      <x:c r="H146" s="205" t="str">
        <x:v>0000950170-25-087926</x:v>
      </x:c>
      <x:c r="I146" s="205" t="str">
        <x:v>us-gaap:CashAndCashEquivalentsAtCarryingValue</x:v>
      </x:c>
      <x:c r="J146" s="205" t="str">
        <x:v>C_9322c118-9fe7-4397-a563-84e40760adaa</x:v>
      </x:c>
      <x:c r="K146" s="205" t="n">
        <x:v>6</x:v>
      </x:c>
      <x:c r="L146" s="205" t="str">
        <x:v>-6</x:v>
      </x:c>
      <x:c r="M146" s="205" t="str">
        <x:v>https://www.sec.gov/Archives/edgar/data/1341439/000095017025087926/orcl-20250531.htm</x:v>
      </x:c>
      <x:c r="N146" s="205" t="str">
        <x:v>Printed p. 64; Cash and cash equivalents $ 10,786 $ 10,454</x:v>
      </x:c>
      <x:c r="O146" s="205" t="str">
        <x:v>Checked exact USD period and filing version.</x:v>
      </x:c>
      <x:c r="P146" s="205" t="str">
        <x:v>None (consolidated total)</x:v>
      </x:c>
      <x:c r="Q146" s="205" t="str">
        <x:v>054e0a5e56c038d279b6cec60c9c004fb4e11b1dc21c7db2fd62ef4eca25529f</x:v>
      </x:c>
      <x:c r="R146" s="16" t="str">
        <x:v>USD</x:v>
      </x:c>
    </x:row>
    <x:row r="147" ht="78" customHeight="1">
      <x:c r="A147" s="25" t="str">
        <x:v>cash</x:v>
      </x:c>
      <x:c r="B147" s="312" t="n">
        <x:v>31289000000</x:v>
      </x:c>
      <x:c r="C147" s="205" t="str">
        <x:v>cash</x:v>
      </x:c>
      <x:c r="D147" s="205"/>
      <x:c r="E147" s="205" t="d">
        <x:v>2026-05-31T00:00:00.000Z</x:v>
      </x:c>
      <x:c r="F147" s="205" t="str">
        <x:v>10-K</x:v>
      </x:c>
      <x:c r="G147" s="205" t="d">
        <x:v>2026-06-22T00:00:00.000Z</x:v>
      </x:c>
      <x:c r="H147" s="205" t="str">
        <x:v>0001193125-26-277521</x:v>
      </x:c>
      <x:c r="I147" s="205" t="str">
        <x:v>us-gaap:CashAndCashEquivalentsAtCarryingValue</x:v>
      </x:c>
      <x:c r="J147" s="205" t="str">
        <x:v>C_f62bade6-47e1-4441-9bb3-1e534300c2f2</x:v>
      </x:c>
      <x:c r="K147" s="205" t="n">
        <x:v>6</x:v>
      </x:c>
      <x:c r="L147" s="205" t="str">
        <x:v>-6</x:v>
      </x:c>
      <x:c r="M147" s="205" t="str">
        <x:v>https://www.sec.gov/Archives/edgar/data/1341439/000119312526277521/orcl-20260531.htm</x:v>
      </x:c>
      <x:c r="N147" s="205" t="str">
        <x:v>Printed p. 64; Cash and cash equivalents $ 31,289 $ 10,786</x:v>
      </x:c>
      <x:c r="O147" s="205" t="str">
        <x:v>Checked exact USD period and filing version.</x:v>
      </x:c>
      <x:c r="P147" s="205" t="str">
        <x:v>None (consolidated total)</x:v>
      </x:c>
      <x:c r="Q147" s="205" t="str">
        <x:v>61a353e222f961e516bb3e8eed024a5245cfadbf30e3cc16a4a520129f1bdf63</x:v>
      </x:c>
      <x:c r="R147" s="16" t="str">
        <x:v>USD</x:v>
      </x:c>
    </x:row>
    <x:row r="148" ht="78" customHeight="1">
      <x:c r="A148" s="25" t="str">
        <x:v>gross_debt</x:v>
      </x:c>
      <x:c r="B148" s="312" t="n">
        <x:v>3749000000</x:v>
      </x:c>
      <x:c r="C148" s="205" t="str">
        <x:v>gross_debt</x:v>
      </x:c>
      <x:c r="D148" s="205"/>
      <x:c r="E148" s="205" t="d">
        <x:v>2022-05-31T00:00:00.000Z</x:v>
      </x:c>
      <x:c r="F148" s="205" t="str">
        <x:v>10-K</x:v>
      </x:c>
      <x:c r="G148" s="205" t="d">
        <x:v>2022-06-21T00:00:00.000Z</x:v>
      </x:c>
      <x:c r="H148" s="205" t="str">
        <x:v>0001564590-22-023675</x:v>
      </x:c>
      <x:c r="I148" s="205" t="str">
        <x:v>us-gaap:NotesPayableCurrent</x:v>
      </x:c>
      <x:c r="J148" s="205" t="str">
        <x:v>C_0001341439_20220531</x:v>
      </x:c>
      <x:c r="K148" s="205" t="n">
        <x:v>6</x:v>
      </x:c>
      <x:c r="L148" s="205" t="str">
        <x:v>-6</x:v>
      </x:c>
      <x:c r="M148" s="205" t="str">
        <x:v>https://www.sec.gov/Archives/edgar/data/1341439/000156459022023675/orcl-10k_20220531.htm</x:v>
      </x:c>
      <x:c r="N148" s="205" t="str">
        <x:v>Printed p. 66; Notes payable, current $ 3,749 $ 8,250</x:v>
      </x:c>
      <x:c r="O148" s="205" t="str">
        <x:v>Checked exact USD period and filing version.</x:v>
      </x:c>
      <x:c r="P148" s="205" t="str">
        <x:v>None (consolidated total)</x:v>
      </x:c>
      <x:c r="Q148" s="205" t="str">
        <x:v>28aea71056a6c3f683d2c6de0da37c8eeddf9bcba4e357dc686783319e105560</x:v>
      </x:c>
      <x:c r="R148" s="16" t="str">
        <x:v>USD</x:v>
      </x:c>
    </x:row>
    <x:row r="149" ht="78" customHeight="1">
      <x:c r="A149" s="25" t="str">
        <x:v>gross_debt</x:v>
      </x:c>
      <x:c r="B149" s="312" t="n">
        <x:v>72110000000</x:v>
      </x:c>
      <x:c r="C149" s="205" t="str">
        <x:v>gross_debt</x:v>
      </x:c>
      <x:c r="D149" s="205"/>
      <x:c r="E149" s="205" t="d">
        <x:v>2022-05-31T00:00:00.000Z</x:v>
      </x:c>
      <x:c r="F149" s="205" t="str">
        <x:v>10-K</x:v>
      </x:c>
      <x:c r="G149" s="205" t="d">
        <x:v>2022-06-21T00:00:00.000Z</x:v>
      </x:c>
      <x:c r="H149" s="205" t="str">
        <x:v>0001564590-22-023675</x:v>
      </x:c>
      <x:c r="I149" s="205" t="str">
        <x:v>us-gaap:LongTermNotesAndLoans</x:v>
      </x:c>
      <x:c r="J149" s="205" t="str">
        <x:v>C_0001341439_20220531</x:v>
      </x:c>
      <x:c r="K149" s="205" t="n">
        <x:v>6</x:v>
      </x:c>
      <x:c r="L149" s="205" t="str">
        <x:v>-6</x:v>
      </x:c>
      <x:c r="M149" s="205" t="str">
        <x:v>https://www.sec.gov/Archives/edgar/data/1341439/000156459022023675/orcl-10k_20220531.htm</x:v>
      </x:c>
      <x:c r="N149" s="205" t="str">
        <x:v>Printed p. 66; Notes payable and other borrowings, non-current 72,110 75,995</x:v>
      </x:c>
      <x:c r="O149" s="205" t="str">
        <x:v>Checked exact USD period and filing version.</x:v>
      </x:c>
      <x:c r="P149" s="205" t="str">
        <x:v>None (consolidated total)</x:v>
      </x:c>
      <x:c r="Q149" s="205" t="str">
        <x:v>28aea71056a6c3f683d2c6de0da37c8eeddf9bcba4e357dc686783319e105560</x:v>
      </x:c>
      <x:c r="R149" s="16" t="str">
        <x:v>USD</x:v>
      </x:c>
    </x:row>
    <x:row r="150" ht="78" customHeight="1">
      <x:c r="A150" s="25" t="str">
        <x:v>gross_debt</x:v>
      </x:c>
      <x:c r="B150" s="312" t="n">
        <x:v>4061000000</x:v>
      </x:c>
      <x:c r="C150" s="205" t="str">
        <x:v>gross_debt</x:v>
      </x:c>
      <x:c r="D150" s="205"/>
      <x:c r="E150" s="205" t="d">
        <x:v>2023-05-31T00:00:00.000Z</x:v>
      </x:c>
      <x:c r="F150" s="205" t="str">
        <x:v>10-K</x:v>
      </x:c>
      <x:c r="G150" s="205" t="d">
        <x:v>2023-06-20T00:00:00.000Z</x:v>
      </x:c>
      <x:c r="H150" s="205" t="str">
        <x:v>0000950170-23-028914</x:v>
      </x:c>
      <x:c r="I150" s="205" t="str">
        <x:v>us-gaap:NotesPayableCurrent</x:v>
      </x:c>
      <x:c r="J150" s="205" t="str">
        <x:v>C_8dc19c16-0a90-49bb-9768-74f9aa8bba7f</x:v>
      </x:c>
      <x:c r="K150" s="205" t="n">
        <x:v>6</x:v>
      </x:c>
      <x:c r="L150" s="205" t="str">
        <x:v>-6</x:v>
      </x:c>
      <x:c r="M150" s="205" t="str">
        <x:v>https://www.sec.gov/Archives/edgar/data/1341439/000095017023028914/orcl-20230531.htm</x:v>
      </x:c>
      <x:c r="N150" s="205" t="str">
        <x:v>Printed p. 64; Notes payable and other borrowings, current $ 4,061 $ 3,749</x:v>
      </x:c>
      <x:c r="O150" s="205" t="str">
        <x:v>Checked exact USD period and filing version.</x:v>
      </x:c>
      <x:c r="P150" s="205" t="str">
        <x:v>None (consolidated total)</x:v>
      </x:c>
      <x:c r="Q150" s="205" t="str">
        <x:v>755628a06c70fb4bb81da2c6d5c0716c08eb06a9a6b4dc4fe276421f42fe5116</x:v>
      </x:c>
      <x:c r="R150" s="16" t="str">
        <x:v>USD</x:v>
      </x:c>
    </x:row>
    <x:row r="151" ht="78" customHeight="1">
      <x:c r="A151" s="25" t="str">
        <x:v>gross_debt</x:v>
      </x:c>
      <x:c r="B151" s="312" t="n">
        <x:v>86420000000</x:v>
      </x:c>
      <x:c r="C151" s="205" t="str">
        <x:v>gross_debt</x:v>
      </x:c>
      <x:c r="D151" s="205"/>
      <x:c r="E151" s="205" t="d">
        <x:v>2023-05-31T00:00:00.000Z</x:v>
      </x:c>
      <x:c r="F151" s="205" t="str">
        <x:v>10-K</x:v>
      </x:c>
      <x:c r="G151" s="205" t="d">
        <x:v>2023-06-20T00:00:00.000Z</x:v>
      </x:c>
      <x:c r="H151" s="205" t="str">
        <x:v>0000950170-23-028914</x:v>
      </x:c>
      <x:c r="I151" s="205" t="str">
        <x:v>us-gaap:LongTermNotesAndLoans</x:v>
      </x:c>
      <x:c r="J151" s="205" t="str">
        <x:v>C_8dc19c16-0a90-49bb-9768-74f9aa8bba7f</x:v>
      </x:c>
      <x:c r="K151" s="205" t="n">
        <x:v>6</x:v>
      </x:c>
      <x:c r="L151" s="205" t="str">
        <x:v>-6</x:v>
      </x:c>
      <x:c r="M151" s="205" t="str">
        <x:v>https://www.sec.gov/Archives/edgar/data/1341439/000095017023028914/orcl-20230531.htm</x:v>
      </x:c>
      <x:c r="N151" s="205" t="str">
        <x:v>Printed p. 64; Notes payable and other borrowings, non-current 86,420 72,110</x:v>
      </x:c>
      <x:c r="O151" s="205" t="str">
        <x:v>Checked exact USD period and filing version.</x:v>
      </x:c>
      <x:c r="P151" s="205" t="str">
        <x:v>None (consolidated total)</x:v>
      </x:c>
      <x:c r="Q151" s="205" t="str">
        <x:v>755628a06c70fb4bb81da2c6d5c0716c08eb06a9a6b4dc4fe276421f42fe5116</x:v>
      </x:c>
      <x:c r="R151" s="16" t="str">
        <x:v>USD</x:v>
      </x:c>
    </x:row>
    <x:row r="152" ht="78" customHeight="1">
      <x:c r="A152" s="25" t="str">
        <x:v>gross_debt</x:v>
      </x:c>
      <x:c r="B152" s="312" t="n">
        <x:v>10605000000</x:v>
      </x:c>
      <x:c r="C152" s="205" t="str">
        <x:v>gross_debt</x:v>
      </x:c>
      <x:c r="D152" s="205"/>
      <x:c r="E152" s="205" t="d">
        <x:v>2024-05-31T00:00:00.000Z</x:v>
      </x:c>
      <x:c r="F152" s="205" t="str">
        <x:v>10-K</x:v>
      </x:c>
      <x:c r="G152" s="205" t="d">
        <x:v>2024-06-20T00:00:00.000Z</x:v>
      </x:c>
      <x:c r="H152" s="205" t="str">
        <x:v>0000950170-24-075605</x:v>
      </x:c>
      <x:c r="I152" s="205" t="str">
        <x:v>us-gaap:NotesPayableCurrent</x:v>
      </x:c>
      <x:c r="J152" s="205" t="str">
        <x:v>C_8b38d07e-7182-4ebc-9787-e25717cdb910</x:v>
      </x:c>
      <x:c r="K152" s="205" t="n">
        <x:v>6</x:v>
      </x:c>
      <x:c r="L152" s="205" t="str">
        <x:v>-6</x:v>
      </x:c>
      <x:c r="M152" s="205" t="str">
        <x:v>https://www.sec.gov/Archives/edgar/data/1341439/000095017024075605/orcl-20240531.htm</x:v>
      </x:c>
      <x:c r="N152" s="205" t="str">
        <x:v>Printed p. 65; Notes payable and other borrowings, current $ 10,605 $ 4,061</x:v>
      </x:c>
      <x:c r="O152" s="205" t="str">
        <x:v>Checked exact USD period and filing version.</x:v>
      </x:c>
      <x:c r="P152" s="205" t="str">
        <x:v>None (consolidated total)</x:v>
      </x:c>
      <x:c r="Q152" s="205" t="str">
        <x:v>3e8f9ae9676d6765458be96ef146b4c4b84c0b365b50ea487cf6caa70c2890cd</x:v>
      </x:c>
      <x:c r="R152" s="16" t="str">
        <x:v>USD</x:v>
      </x:c>
    </x:row>
    <x:row r="153" ht="78" customHeight="1">
      <x:c r="A153" s="25" t="str">
        <x:v>gross_debt</x:v>
      </x:c>
      <x:c r="B153" s="312" t="n">
        <x:v>76264000000</x:v>
      </x:c>
      <x:c r="C153" s="205" t="str">
        <x:v>gross_debt</x:v>
      </x:c>
      <x:c r="D153" s="205"/>
      <x:c r="E153" s="205" t="d">
        <x:v>2024-05-31T00:00:00.000Z</x:v>
      </x:c>
      <x:c r="F153" s="205" t="str">
        <x:v>10-K</x:v>
      </x:c>
      <x:c r="G153" s="205" t="d">
        <x:v>2024-06-20T00:00:00.000Z</x:v>
      </x:c>
      <x:c r="H153" s="205" t="str">
        <x:v>0000950170-24-075605</x:v>
      </x:c>
      <x:c r="I153" s="205" t="str">
        <x:v>us-gaap:LongTermNotesAndLoans</x:v>
      </x:c>
      <x:c r="J153" s="205" t="str">
        <x:v>C_8b38d07e-7182-4ebc-9787-e25717cdb910</x:v>
      </x:c>
      <x:c r="K153" s="205" t="n">
        <x:v>6</x:v>
      </x:c>
      <x:c r="L153" s="205" t="str">
        <x:v>-6</x:v>
      </x:c>
      <x:c r="M153" s="205" t="str">
        <x:v>https://www.sec.gov/Archives/edgar/data/1341439/000095017024075605/orcl-20240531.htm</x:v>
      </x:c>
      <x:c r="N153" s="205" t="str">
        <x:v>Printed p. 65; Notes payable and other borrowings, non-current 76,264 86,420</x:v>
      </x:c>
      <x:c r="O153" s="205" t="str">
        <x:v>Checked exact USD period and filing version.</x:v>
      </x:c>
      <x:c r="P153" s="205" t="str">
        <x:v>None (consolidated total)</x:v>
      </x:c>
      <x:c r="Q153" s="205" t="str">
        <x:v>3e8f9ae9676d6765458be96ef146b4c4b84c0b365b50ea487cf6caa70c2890cd</x:v>
      </x:c>
      <x:c r="R153" s="16" t="str">
        <x:v>USD</x:v>
      </x:c>
    </x:row>
    <x:row r="154" ht="78" customHeight="1">
      <x:c r="A154" s="25" t="str">
        <x:v>gross_debt</x:v>
      </x:c>
      <x:c r="B154" s="312" t="n">
        <x:v>7271000000</x:v>
      </x:c>
      <x:c r="C154" s="205" t="str">
        <x:v>gross_debt</x:v>
      </x:c>
      <x:c r="D154" s="205"/>
      <x:c r="E154" s="205" t="d">
        <x:v>2025-05-31T00:00:00.000Z</x:v>
      </x:c>
      <x:c r="F154" s="205" t="str">
        <x:v>10-K</x:v>
      </x:c>
      <x:c r="G154" s="205" t="d">
        <x:v>2025-06-18T00:00:00.000Z</x:v>
      </x:c>
      <x:c r="H154" s="205" t="str">
        <x:v>0000950170-25-087926</x:v>
      </x:c>
      <x:c r="I154" s="205" t="str">
        <x:v>us-gaap:NotesPayableCurrent</x:v>
      </x:c>
      <x:c r="J154" s="205" t="str">
        <x:v>C_9322c118-9fe7-4397-a563-84e40760adaa</x:v>
      </x:c>
      <x:c r="K154" s="205" t="n">
        <x:v>6</x:v>
      </x:c>
      <x:c r="L154" s="205" t="str">
        <x:v>-6</x:v>
      </x:c>
      <x:c r="M154" s="205" t="str">
        <x:v>https://www.sec.gov/Archives/edgar/data/1341439/000095017025087926/orcl-20250531.htm</x:v>
      </x:c>
      <x:c r="N154" s="205" t="str">
        <x:v>Printed p. 64; Notes payable and other borrowings, current $ 7,271 $ 10,605</x:v>
      </x:c>
      <x:c r="O154" s="205" t="str">
        <x:v>Checked exact USD period and filing version.</x:v>
      </x:c>
      <x:c r="P154" s="205" t="str">
        <x:v>None (consolidated total)</x:v>
      </x:c>
      <x:c r="Q154" s="205" t="str">
        <x:v>054e0a5e56c038d279b6cec60c9c004fb4e11b1dc21c7db2fd62ef4eca25529f</x:v>
      </x:c>
      <x:c r="R154" s="16" t="str">
        <x:v>USD</x:v>
      </x:c>
    </x:row>
    <x:row r="155" ht="78" customHeight="1">
      <x:c r="A155" s="25" t="str">
        <x:v>gross_debt</x:v>
      </x:c>
      <x:c r="B155" s="312" t="n">
        <x:v>85297000000</x:v>
      </x:c>
      <x:c r="C155" s="205" t="str">
        <x:v>gross_debt</x:v>
      </x:c>
      <x:c r="D155" s="205"/>
      <x:c r="E155" s="205" t="d">
        <x:v>2025-05-31T00:00:00.000Z</x:v>
      </x:c>
      <x:c r="F155" s="205" t="str">
        <x:v>10-K</x:v>
      </x:c>
      <x:c r="G155" s="205" t="d">
        <x:v>2025-06-18T00:00:00.000Z</x:v>
      </x:c>
      <x:c r="H155" s="205" t="str">
        <x:v>0000950170-25-087926</x:v>
      </x:c>
      <x:c r="I155" s="205" t="str">
        <x:v>us-gaap:LongTermNotesAndLoans</x:v>
      </x:c>
      <x:c r="J155" s="205" t="str">
        <x:v>C_9322c118-9fe7-4397-a563-84e40760adaa</x:v>
      </x:c>
      <x:c r="K155" s="205" t="n">
        <x:v>6</x:v>
      </x:c>
      <x:c r="L155" s="205" t="str">
        <x:v>-6</x:v>
      </x:c>
      <x:c r="M155" s="205" t="str">
        <x:v>https://www.sec.gov/Archives/edgar/data/1341439/000095017025087926/orcl-20250531.htm</x:v>
      </x:c>
      <x:c r="N155" s="205" t="str">
        <x:v>Printed p. 64; Notes payable and other borrowings, non-current 85,297 76,264</x:v>
      </x:c>
      <x:c r="O155" s="205" t="str">
        <x:v>Checked exact USD period and filing version.</x:v>
      </x:c>
      <x:c r="P155" s="205" t="str">
        <x:v>None (consolidated total)</x:v>
      </x:c>
      <x:c r="Q155" s="205" t="str">
        <x:v>054e0a5e56c038d279b6cec60c9c004fb4e11b1dc21c7db2fd62ef4eca25529f</x:v>
      </x:c>
      <x:c r="R155" s="16" t="str">
        <x:v>USD</x:v>
      </x:c>
    </x:row>
    <x:row r="156" ht="78" customHeight="1">
      <x:c r="A156" s="25" t="str">
        <x:v>gross_debt</x:v>
      </x:c>
      <x:c r="B156" s="551" t="n">
        <x:f>B136</x:f>
        <x:v>7199000000</x:v>
      </x:c>
      <x:c r="C156" s="205" t="str">
        <x:v>gross_debt</x:v>
      </x:c>
      <x:c r="D156" s="205"/>
      <x:c r="E156" s="205" t="d">
        <x:v>2026-05-31T00:00:00.000Z</x:v>
      </x:c>
      <x:c r="F156" s="205" t="str">
        <x:v>10-K</x:v>
      </x:c>
      <x:c r="G156" s="205" t="d">
        <x:v>2026-06-22T00:00:00.000Z</x:v>
      </x:c>
      <x:c r="H156" s="205" t="str">
        <x:v>0001193125-26-277521</x:v>
      </x:c>
      <x:c r="I156" s="205" t="str">
        <x:v>us-gaap:NotesPayableCurrent</x:v>
      </x:c>
      <x:c r="J156" s="205" t="str">
        <x:v>C_f62bade6-47e1-4441-9bb3-1e534300c2f2</x:v>
      </x:c>
      <x:c r="K156" s="205" t="n">
        <x:v>6</x:v>
      </x:c>
      <x:c r="L156" s="205" t="str">
        <x:v>-6</x:v>
      </x:c>
      <x:c r="M156" s="205" t="str">
        <x:v>https://www.sec.gov/Archives/edgar/data/1341439/000119312526277521/orcl-20260531.htm</x:v>
      </x:c>
      <x:c r="N156" s="205" t="str">
        <x:v>Printed p. 64; Notes payable and other borrowings, current $ 7,199 $ 7,271</x:v>
      </x:c>
      <x:c r="O156" s="205" t="str">
        <x:v>Checked exact USD period and filing version.</x:v>
      </x:c>
      <x:c r="P156" s="205" t="str">
        <x:v>None (consolidated total)</x:v>
      </x:c>
      <x:c r="Q156" s="205" t="str">
        <x:v>61a353e222f961e516bb3e8eed024a5245cfadbf30e3cc16a4a520129f1bdf63</x:v>
      </x:c>
      <x:c r="R156" s="16" t="str">
        <x:v>USD</x:v>
      </x:c>
    </x:row>
    <x:row r="157" ht="78" customHeight="1">
      <x:c r="A157" s="25" t="str">
        <x:v>gross_debt</x:v>
      </x:c>
      <x:c r="B157" s="551" t="n">
        <x:f>B137</x:f>
        <x:v>122342000000</x:v>
      </x:c>
      <x:c r="C157" s="205" t="str">
        <x:v>gross_debt</x:v>
      </x:c>
      <x:c r="D157" s="205"/>
      <x:c r="E157" s="205" t="d">
        <x:v>2026-05-31T00:00:00.000Z</x:v>
      </x:c>
      <x:c r="F157" s="205" t="str">
        <x:v>10-K</x:v>
      </x:c>
      <x:c r="G157" s="205" t="d">
        <x:v>2026-06-22T00:00:00.000Z</x:v>
      </x:c>
      <x:c r="H157" s="205" t="str">
        <x:v>0001193125-26-277521</x:v>
      </x:c>
      <x:c r="I157" s="205" t="str">
        <x:v>us-gaap:LongTermNotesAndLoans</x:v>
      </x:c>
      <x:c r="J157" s="205" t="str">
        <x:v>C_f62bade6-47e1-4441-9bb3-1e534300c2f2</x:v>
      </x:c>
      <x:c r="K157" s="205" t="n">
        <x:v>6</x:v>
      </x:c>
      <x:c r="L157" s="205" t="str">
        <x:v>-6</x:v>
      </x:c>
      <x:c r="M157" s="205" t="str">
        <x:v>https://www.sec.gov/Archives/edgar/data/1341439/000119312526277521/orcl-20260531.htm</x:v>
      </x:c>
      <x:c r="N157" s="205" t="str">
        <x:v>Printed p. 64; Notes payable and other borrowings, non-current 122,342 85,297</x:v>
      </x:c>
      <x:c r="O157" s="205" t="str">
        <x:v>Checked exact USD period and filing version.</x:v>
      </x:c>
      <x:c r="P157" s="205" t="str">
        <x:v>None (consolidated total)</x:v>
      </x:c>
      <x:c r="Q157" s="205" t="str">
        <x:v>61a353e222f961e516bb3e8eed024a5245cfadbf30e3cc16a4a520129f1bdf63</x:v>
      </x:c>
      <x:c r="R157" s="16" t="str">
        <x:v>USD</x:v>
      </x:c>
    </x:row>
    <x:row r="158" ht="78" customHeight="1">
      <x:c r="A158" s="25" t="str">
        <x:v>operating_cash_flow</x:v>
      </x:c>
      <x:c r="B158" s="312" t="n">
        <x:v>9539000000</x:v>
      </x:c>
      <x:c r="C158" s="205" t="str">
        <x:v>operating_cash_flow</x:v>
      </x:c>
      <x:c r="D158" s="205" t="d">
        <x:v>2021-06-01T00:00:00.000Z</x:v>
      </x:c>
      <x:c r="E158" s="205" t="d">
        <x:v>2022-05-31T00:00:00.000Z</x:v>
      </x:c>
      <x:c r="F158" s="205" t="str">
        <x:v>10-K</x:v>
      </x:c>
      <x:c r="G158" s="205" t="d">
        <x:v>2022-06-21T00:00:00.000Z</x:v>
      </x:c>
      <x:c r="H158" s="205" t="str">
        <x:v>0001564590-22-023675</x:v>
      </x:c>
      <x:c r="I158" s="205" t="str">
        <x:v>us-gaap:NetCashProvidedByUsedInOperatingActivities</x:v>
      </x:c>
      <x:c r="J158" s="205" t="str">
        <x:v>C_0001341439_20210601_20220531</x:v>
      </x:c>
      <x:c r="K158" s="205" t="n">
        <x:v>6</x:v>
      </x:c>
      <x:c r="L158" s="205" t="str">
        <x:v>-6</x:v>
      </x:c>
      <x:c r="M158" s="205" t="str">
        <x:v>https://www.sec.gov/Archives/edgar/data/1341439/000156459022023675/orcl-10k_20220531.htm</x:v>
      </x:c>
      <x:c r="N158" s="205" t="str">
        <x:v>Printed p. 70; Net cash provided by operating activities 9,539 15,887 13,139</x:v>
      </x:c>
      <x:c r="O158" s="205" t="str">
        <x:v>Checked exact USD period and filing version.</x:v>
      </x:c>
      <x:c r="P158" s="205" t="str">
        <x:v>None (consolidated total)</x:v>
      </x:c>
      <x:c r="Q158" s="205" t="str">
        <x:v>28aea71056a6c3f683d2c6de0da37c8eeddf9bcba4e357dc686783319e105560</x:v>
      </x:c>
      <x:c r="R158" s="16" t="str">
        <x:v>USD</x:v>
      </x:c>
    </x:row>
    <x:row r="159" ht="78" customHeight="1">
      <x:c r="A159" s="25" t="str">
        <x:v>operating_cash_flow</x:v>
      </x:c>
      <x:c r="B159" s="312" t="n">
        <x:v>17165000000</x:v>
      </x:c>
      <x:c r="C159" s="205" t="str">
        <x:v>operating_cash_flow</x:v>
      </x:c>
      <x:c r="D159" s="205" t="d">
        <x:v>2022-06-01T00:00:00.000Z</x:v>
      </x:c>
      <x:c r="E159" s="205" t="d">
        <x:v>2023-05-31T00:00:00.000Z</x:v>
      </x:c>
      <x:c r="F159" s="205" t="str">
        <x:v>10-K</x:v>
      </x:c>
      <x:c r="G159" s="205" t="d">
        <x:v>2023-06-20T00:00:00.000Z</x:v>
      </x:c>
      <x:c r="H159" s="205" t="str">
        <x:v>0000950170-23-028914</x:v>
      </x:c>
      <x:c r="I159" s="205" t="str">
        <x:v>us-gaap:NetCashProvidedByUsedInOperatingActivities</x:v>
      </x:c>
      <x:c r="J159" s="205" t="str">
        <x:v>C_c621f99d-407f-4251-b31f-e58bcdda6fa8</x:v>
      </x:c>
      <x:c r="K159" s="205" t="n">
        <x:v>6</x:v>
      </x:c>
      <x:c r="L159" s="205" t="str">
        <x:v>-6</x:v>
      </x:c>
      <x:c r="M159" s="205" t="str">
        <x:v>https://www.sec.gov/Archives/edgar/data/1341439/000095017023028914/orcl-20230531.htm</x:v>
      </x:c>
      <x:c r="N159" s="205" t="str">
        <x:v>Printed p. 68; Net cash provided by operating activities 17,165 9,539 15,887</x:v>
      </x:c>
      <x:c r="O159" s="205" t="str">
        <x:v>Checked exact USD period and filing version.</x:v>
      </x:c>
      <x:c r="P159" s="205" t="str">
        <x:v>None (consolidated total)</x:v>
      </x:c>
      <x:c r="Q159" s="205" t="str">
        <x:v>755628a06c70fb4bb81da2c6d5c0716c08eb06a9a6b4dc4fe276421f42fe5116</x:v>
      </x:c>
      <x:c r="R159" s="16" t="str">
        <x:v>USD</x:v>
      </x:c>
    </x:row>
    <x:row r="160" ht="78" customHeight="1">
      <x:c r="A160" s="25" t="str">
        <x:v>operating_cash_flow</x:v>
      </x:c>
      <x:c r="B160" s="312" t="n">
        <x:v>18673000000</x:v>
      </x:c>
      <x:c r="C160" s="205" t="str">
        <x:v>operating_cash_flow</x:v>
      </x:c>
      <x:c r="D160" s="205" t="d">
        <x:v>2023-06-01T00:00:00.000Z</x:v>
      </x:c>
      <x:c r="E160" s="205" t="d">
        <x:v>2024-05-31T00:00:00.000Z</x:v>
      </x:c>
      <x:c r="F160" s="205" t="str">
        <x:v>10-K</x:v>
      </x:c>
      <x:c r="G160" s="205" t="d">
        <x:v>2024-06-20T00:00:00.000Z</x:v>
      </x:c>
      <x:c r="H160" s="205" t="str">
        <x:v>0000950170-24-075605</x:v>
      </x:c>
      <x:c r="I160" s="205" t="str">
        <x:v>us-gaap:NetCashProvidedByUsedInOperatingActivities</x:v>
      </x:c>
      <x:c r="J160" s="205" t="str">
        <x:v>C_6b80b0ed-ad46-419f-9d80-36739c35988b</x:v>
      </x:c>
      <x:c r="K160" s="205" t="n">
        <x:v>6</x:v>
      </x:c>
      <x:c r="L160" s="205" t="str">
        <x:v>-6</x:v>
      </x:c>
      <x:c r="M160" s="205" t="str">
        <x:v>https://www.sec.gov/Archives/edgar/data/1341439/000095017024075605/orcl-20240531.htm</x:v>
      </x:c>
      <x:c r="N160" s="205" t="str">
        <x:v>Printed p. 69; Net cash provided by operating activities 18,673 17,165 9,539</x:v>
      </x:c>
      <x:c r="O160" s="205" t="str">
        <x:v>Checked exact USD period and filing version.</x:v>
      </x:c>
      <x:c r="P160" s="205" t="str">
        <x:v>None (consolidated total)</x:v>
      </x:c>
      <x:c r="Q160" s="205" t="str">
        <x:v>3e8f9ae9676d6765458be96ef146b4c4b84c0b365b50ea487cf6caa70c2890cd</x:v>
      </x:c>
      <x:c r="R160" s="16" t="str">
        <x:v>USD</x:v>
      </x:c>
    </x:row>
    <x:row r="161" ht="78" customHeight="1">
      <x:c r="A161" s="25" t="str">
        <x:v>operating_cash_flow</x:v>
      </x:c>
      <x:c r="B161" s="312" t="n">
        <x:v>20821000000</x:v>
      </x:c>
      <x:c r="C161" s="205" t="str">
        <x:v>operating_cash_flow</x:v>
      </x:c>
      <x:c r="D161" s="205" t="d">
        <x:v>2024-06-01T00:00:00.000Z</x:v>
      </x:c>
      <x:c r="E161" s="205" t="d">
        <x:v>2025-05-31T00:00:00.000Z</x:v>
      </x:c>
      <x:c r="F161" s="205" t="str">
        <x:v>10-K</x:v>
      </x:c>
      <x:c r="G161" s="205" t="d">
        <x:v>2025-06-18T00:00:00.000Z</x:v>
      </x:c>
      <x:c r="H161" s="205" t="str">
        <x:v>0000950170-25-087926</x:v>
      </x:c>
      <x:c r="I161" s="205" t="str">
        <x:v>us-gaap:NetCashProvidedByUsedInOperatingActivities</x:v>
      </x:c>
      <x:c r="J161" s="205" t="str">
        <x:v>C_3cc4ac16-8bed-47e2-a23b-8e372a01f4e9</x:v>
      </x:c>
      <x:c r="K161" s="205" t="n">
        <x:v>6</x:v>
      </x:c>
      <x:c r="L161" s="205" t="str">
        <x:v>-6</x:v>
      </x:c>
      <x:c r="M161" s="205" t="str">
        <x:v>https://www.sec.gov/Archives/edgar/data/1341439/000095017025087926/orcl-20250531.htm</x:v>
      </x:c>
      <x:c r="N161" s="205" t="str">
        <x:v>Printed p. 68; Net cash provided by operating activities 20,821 18,673 17,165</x:v>
      </x:c>
      <x:c r="O161" s="205" t="str">
        <x:v>Checked exact USD period and filing version.</x:v>
      </x:c>
      <x:c r="P161" s="205" t="str">
        <x:v>None (consolidated total)</x:v>
      </x:c>
      <x:c r="Q161" s="205" t="str">
        <x:v>054e0a5e56c038d279b6cec60c9c004fb4e11b1dc21c7db2fd62ef4eca25529f</x:v>
      </x:c>
      <x:c r="R161" s="16" t="str">
        <x:v>USD</x:v>
      </x:c>
    </x:row>
    <x:row r="162" ht="78" customHeight="1">
      <x:c r="A162" s="25" t="str">
        <x:v>operating_cash_flow</x:v>
      </x:c>
      <x:c r="B162" s="312" t="n">
        <x:v>31977000000</x:v>
      </x:c>
      <x:c r="C162" s="205" t="str">
        <x:v>operating_cash_flow</x:v>
      </x:c>
      <x:c r="D162" s="205" t="d">
        <x:v>2025-06-01T00:00:00.000Z</x:v>
      </x:c>
      <x:c r="E162" s="205" t="d">
        <x:v>2026-05-31T00:00:00.000Z</x:v>
      </x:c>
      <x:c r="F162" s="205" t="str">
        <x:v>10-K</x:v>
      </x:c>
      <x:c r="G162" s="205" t="d">
        <x:v>2026-06-22T00:00:00.000Z</x:v>
      </x:c>
      <x:c r="H162" s="205" t="str">
        <x:v>0001193125-26-277521</x:v>
      </x:c>
      <x:c r="I162" s="205" t="str">
        <x:v>us-gaap:NetCashProvidedByUsedInOperatingActivities</x:v>
      </x:c>
      <x:c r="J162" s="205" t="str">
        <x:v>C_24317829-d237-4c29-bae3-2e46dd1ae625</x:v>
      </x:c>
      <x:c r="K162" s="205" t="n">
        <x:v>6</x:v>
      </x:c>
      <x:c r="L162" s="205" t="str">
        <x:v>-6</x:v>
      </x:c>
      <x:c r="M162" s="205" t="str">
        <x:v>https://www.sec.gov/Archives/edgar/data/1341439/000119312526277521/orcl-20260531.htm</x:v>
      </x:c>
      <x:c r="N162" s="205" t="str">
        <x:v>Printed p. 68; Net cash provided by operating activities 31,977 20,821 18,673</x:v>
      </x:c>
      <x:c r="O162" s="205" t="str">
        <x:v>Checked exact USD period and filing version.</x:v>
      </x:c>
      <x:c r="P162" s="205" t="str">
        <x:v>None (consolidated total)</x:v>
      </x:c>
      <x:c r="Q162" s="205" t="str">
        <x:v>61a353e222f961e516bb3e8eed024a5245cfadbf30e3cc16a4a520129f1bdf63</x:v>
      </x:c>
      <x:c r="R162" s="16" t="str">
        <x:v>USD</x:v>
      </x:c>
    </x:row>
    <x:row r="163" ht="78" customHeight="1">
      <x:c r="A163" s="25" t="str">
        <x:v>capital_spending</x:v>
      </x:c>
      <x:c r="B163" s="312" t="n">
        <x:v>4511000000</x:v>
      </x:c>
      <x:c r="C163" s="205" t="str">
        <x:v>capital_spending</x:v>
      </x:c>
      <x:c r="D163" s="205" t="d">
        <x:v>2021-06-01T00:00:00.000Z</x:v>
      </x:c>
      <x:c r="E163" s="205" t="d">
        <x:v>2022-05-31T00:00:00.000Z</x:v>
      </x:c>
      <x:c r="F163" s="205" t="str">
        <x:v>10-K</x:v>
      </x:c>
      <x:c r="G163" s="205" t="d">
        <x:v>2022-06-21T00:00:00.000Z</x:v>
      </x:c>
      <x:c r="H163" s="205" t="str">
        <x:v>0001564590-22-023675</x:v>
      </x:c>
      <x:c r="I163" s="205" t="str">
        <x:v>us-gaap:PaymentsToAcquirePropertyPlantAndEquipment</x:v>
      </x:c>
      <x:c r="J163" s="205" t="str">
        <x:v>C_0001341439_20210601_20220531</x:v>
      </x:c>
      <x:c r="K163" s="205" t="n">
        <x:v>6</x:v>
      </x:c>
      <x:c r="L163" s="205" t="str">
        <x:v>-6</x:v>
      </x:c>
      <x:c r="M163" s="205" t="str">
        <x:v>https://www.sec.gov/Archives/edgar/data/1341439/000156459022023675/orcl-10k_20220531.htm</x:v>
      </x:c>
      <x:c r="N163" s="205" t="str">
        <x:v>Printed p. 70; Capital expenditures ( 4,511 ) ( 2,135 ) ( 1,564 )</x:v>
      </x:c>
      <x:c r="O163" s="205" t="str">
        <x:v>Checked exact USD period and filing version.</x:v>
      </x:c>
      <x:c r="P163" s="205" t="str">
        <x:v>None (consolidated total)</x:v>
      </x:c>
      <x:c r="Q163" s="205" t="str">
        <x:v>28aea71056a6c3f683d2c6de0da37c8eeddf9bcba4e357dc686783319e105560</x:v>
      </x:c>
      <x:c r="R163" s="16" t="str">
        <x:v>USD</x:v>
      </x:c>
    </x:row>
    <x:row r="164" ht="78" customHeight="1">
      <x:c r="A164" s="25" t="str">
        <x:v>capital_spending</x:v>
      </x:c>
      <x:c r="B164" s="312" t="n">
        <x:v>8695000000</x:v>
      </x:c>
      <x:c r="C164" s="205" t="str">
        <x:v>capital_spending</x:v>
      </x:c>
      <x:c r="D164" s="205" t="d">
        <x:v>2022-06-01T00:00:00.000Z</x:v>
      </x:c>
      <x:c r="E164" s="205" t="d">
        <x:v>2023-05-31T00:00:00.000Z</x:v>
      </x:c>
      <x:c r="F164" s="205" t="str">
        <x:v>10-K</x:v>
      </x:c>
      <x:c r="G164" s="205" t="d">
        <x:v>2023-06-20T00:00:00.000Z</x:v>
      </x:c>
      <x:c r="H164" s="205" t="str">
        <x:v>0000950170-23-028914</x:v>
      </x:c>
      <x:c r="I164" s="205" t="str">
        <x:v>us-gaap:PaymentsToAcquirePropertyPlantAndEquipment</x:v>
      </x:c>
      <x:c r="J164" s="205" t="str">
        <x:v>C_c621f99d-407f-4251-b31f-e58bcdda6fa8</x:v>
      </x:c>
      <x:c r="K164" s="205" t="n">
        <x:v>6</x:v>
      </x:c>
      <x:c r="L164" s="205" t="str">
        <x:v>-6</x:v>
      </x:c>
      <x:c r="M164" s="205" t="str">
        <x:v>https://www.sec.gov/Archives/edgar/data/1341439/000095017023028914/orcl-20230531.htm</x:v>
      </x:c>
      <x:c r="N164" s="205" t="str">
        <x:v>Printed p. 68; Capital expenditures ( 8,695 ) ( 4,511 ) ( 2,135 )</x:v>
      </x:c>
      <x:c r="O164" s="205" t="str">
        <x:v>Checked exact USD period and filing version.</x:v>
      </x:c>
      <x:c r="P164" s="205" t="str">
        <x:v>None (consolidated total)</x:v>
      </x:c>
      <x:c r="Q164" s="205" t="str">
        <x:v>755628a06c70fb4bb81da2c6d5c0716c08eb06a9a6b4dc4fe276421f42fe5116</x:v>
      </x:c>
      <x:c r="R164" s="16" t="str">
        <x:v>USD</x:v>
      </x:c>
    </x:row>
    <x:row r="165" ht="78" customHeight="1">
      <x:c r="A165" s="25" t="str">
        <x:v>capital_spending</x:v>
      </x:c>
      <x:c r="B165" s="312" t="n">
        <x:v>6866000000</x:v>
      </x:c>
      <x:c r="C165" s="205" t="str">
        <x:v>capital_spending</x:v>
      </x:c>
      <x:c r="D165" s="205" t="d">
        <x:v>2023-06-01T00:00:00.000Z</x:v>
      </x:c>
      <x:c r="E165" s="205" t="d">
        <x:v>2024-05-31T00:00:00.000Z</x:v>
      </x:c>
      <x:c r="F165" s="205" t="str">
        <x:v>10-K</x:v>
      </x:c>
      <x:c r="G165" s="205" t="d">
        <x:v>2024-06-20T00:00:00.000Z</x:v>
      </x:c>
      <x:c r="H165" s="205" t="str">
        <x:v>0000950170-24-075605</x:v>
      </x:c>
      <x:c r="I165" s="205" t="str">
        <x:v>us-gaap:PaymentsToAcquirePropertyPlantAndEquipment</x:v>
      </x:c>
      <x:c r="J165" s="205" t="str">
        <x:v>C_6b80b0ed-ad46-419f-9d80-36739c35988b</x:v>
      </x:c>
      <x:c r="K165" s="205" t="n">
        <x:v>6</x:v>
      </x:c>
      <x:c r="L165" s="205" t="str">
        <x:v>-6</x:v>
      </x:c>
      <x:c r="M165" s="205" t="str">
        <x:v>https://www.sec.gov/Archives/edgar/data/1341439/000095017024075605/orcl-20240531.htm</x:v>
      </x:c>
      <x:c r="N165" s="205" t="str">
        <x:v>Printed p. 69; Capital expenditures ( 6,866 ) ( 8,695 ) ( 4,511 )</x:v>
      </x:c>
      <x:c r="O165" s="205" t="str">
        <x:v>Checked exact USD period and filing version.</x:v>
      </x:c>
      <x:c r="P165" s="205" t="str">
        <x:v>None (consolidated total)</x:v>
      </x:c>
      <x:c r="Q165" s="205" t="str">
        <x:v>3e8f9ae9676d6765458be96ef146b4c4b84c0b365b50ea487cf6caa70c2890cd</x:v>
      </x:c>
      <x:c r="R165" s="16" t="str">
        <x:v>USD</x:v>
      </x:c>
    </x:row>
    <x:row r="166" ht="78" customHeight="1">
      <x:c r="A166" s="25" t="str">
        <x:v>capital_spending</x:v>
      </x:c>
      <x:c r="B166" s="312" t="n">
        <x:v>21215000000</x:v>
      </x:c>
      <x:c r="C166" s="205" t="str">
        <x:v>capital_spending</x:v>
      </x:c>
      <x:c r="D166" s="205" t="d">
        <x:v>2024-06-01T00:00:00.000Z</x:v>
      </x:c>
      <x:c r="E166" s="205" t="d">
        <x:v>2025-05-31T00:00:00.000Z</x:v>
      </x:c>
      <x:c r="F166" s="205" t="str">
        <x:v>10-K</x:v>
      </x:c>
      <x:c r="G166" s="205" t="d">
        <x:v>2025-06-18T00:00:00.000Z</x:v>
      </x:c>
      <x:c r="H166" s="205" t="str">
        <x:v>0000950170-25-087926</x:v>
      </x:c>
      <x:c r="I166" s="205" t="str">
        <x:v>us-gaap:PaymentsToAcquirePropertyPlantAndEquipment</x:v>
      </x:c>
      <x:c r="J166" s="205" t="str">
        <x:v>C_3cc4ac16-8bed-47e2-a23b-8e372a01f4e9</x:v>
      </x:c>
      <x:c r="K166" s="205" t="n">
        <x:v>6</x:v>
      </x:c>
      <x:c r="L166" s="205" t="str">
        <x:v>-6</x:v>
      </x:c>
      <x:c r="M166" s="205" t="str">
        <x:v>https://www.sec.gov/Archives/edgar/data/1341439/000095017025087926/orcl-20250531.htm</x:v>
      </x:c>
      <x:c r="N166" s="205" t="str">
        <x:v>Printed p. 68; Capital expenditures ( 21,215 ) ( 6,866 ) ( 8,695 )</x:v>
      </x:c>
      <x:c r="O166" s="205" t="str">
        <x:v>Checked exact USD period and filing version.</x:v>
      </x:c>
      <x:c r="P166" s="205" t="str">
        <x:v>None (consolidated total)</x:v>
      </x:c>
      <x:c r="Q166" s="205" t="str">
        <x:v>054e0a5e56c038d279b6cec60c9c004fb4e11b1dc21c7db2fd62ef4eca25529f</x:v>
      </x:c>
      <x:c r="R166" s="16" t="str">
        <x:v>USD</x:v>
      </x:c>
    </x:row>
    <x:row r="167" ht="78" customHeight="1">
      <x:c r="A167" s="26" t="str">
        <x:v>capital_spending</x:v>
      </x:c>
      <x:c r="B167" s="313" t="n">
        <x:v>55663000000</x:v>
      </x:c>
      <x:c r="C167" s="206" t="str">
        <x:v>capital_spending</x:v>
      </x:c>
      <x:c r="D167" s="206" t="d">
        <x:v>2025-06-01T00:00:00.000Z</x:v>
      </x:c>
      <x:c r="E167" s="206" t="d">
        <x:v>2026-05-31T00:00:00.000Z</x:v>
      </x:c>
      <x:c r="F167" s="206" t="str">
        <x:v>10-K</x:v>
      </x:c>
      <x:c r="G167" s="206" t="d">
        <x:v>2026-06-22T00:00:00.000Z</x:v>
      </x:c>
      <x:c r="H167" s="206" t="str">
        <x:v>0001193125-26-277521</x:v>
      </x:c>
      <x:c r="I167" s="206" t="str">
        <x:v>us-gaap:PaymentsToAcquirePropertyPlantAndEquipment</x:v>
      </x:c>
      <x:c r="J167" s="206" t="str">
        <x:v>C_24317829-d237-4c29-bae3-2e46dd1ae625</x:v>
      </x:c>
      <x:c r="K167" s="206" t="n">
        <x:v>6</x:v>
      </x:c>
      <x:c r="L167" s="206" t="str">
        <x:v>-6</x:v>
      </x:c>
      <x:c r="M167" s="206" t="str">
        <x:v>https://www.sec.gov/Archives/edgar/data/1341439/000119312526277521/orcl-20260531.htm</x:v>
      </x:c>
      <x:c r="N167" s="206" t="str">
        <x:v>Printed p. 68; Capital expenditures ( 55,663 ) ( 21,215 ) ( 6,866 )</x:v>
      </x:c>
      <x:c r="O167" s="206" t="str">
        <x:v>Checked exact USD period and filing version.</x:v>
      </x:c>
      <x:c r="P167" s="206" t="str">
        <x:v>None (consolidated total)</x:v>
      </x:c>
      <x:c r="Q167" s="206" t="str">
        <x:v>61a353e222f961e516bb3e8eed024a5245cfadbf30e3cc16a4a520129f1bdf63</x:v>
      </x:c>
      <x:c r="R167" s="18" t="str">
        <x:v>USD</x:v>
      </x:c>
    </x:row>
    <x:row r="168">
      <x:c r="A168" s="1"/>
      <x:c r="B168" s="1"/>
      <x:c r="C168" s="1"/>
      <x:c r="D168" s="1"/>
      <x:c r="E168" s="1"/>
      <x:c r="F168" s="1"/>
      <x:c r="G168" s="1"/>
      <x:c r="H168" s="1"/>
      <x:c r="I168" s="1"/>
      <x:c r="J168" s="1"/>
      <x:c r="K168" s="1"/>
      <x:c r="L168" s="1"/>
      <x:c r="M168" s="1"/>
      <x:c r="N168" s="1"/>
      <x:c r="O168" s="1"/>
      <x:c r="P168" s="1"/>
      <x:c r="Q168" s="1"/>
      <x:c r="R168" s="1"/>
    </x:row>
    <x:row r="169">
      <x:c r="A169" s="1"/>
      <x:c r="B169" s="1"/>
      <x:c r="C169" s="1"/>
      <x:c r="D169" s="1"/>
      <x:c r="E169" s="1"/>
      <x:c r="F169" s="1"/>
      <x:c r="G169" s="1"/>
      <x:c r="H169" s="1"/>
      <x:c r="I169" s="1"/>
      <x:c r="J169" s="1"/>
      <x:c r="K169" s="1"/>
      <x:c r="L169" s="1"/>
      <x:c r="M169" s="1"/>
      <x:c r="N169" s="1"/>
      <x:c r="O169" s="1"/>
      <x:c r="P169" s="1"/>
      <x:c r="Q169" s="1"/>
      <x:c r="R169" s="1"/>
    </x:row>
    <x:row r="170" ht="80" customHeight="1">
      <x:c r="A170" s="539" t="str">
        <x:v>Key</x:v>
      </x:c>
      <x:c r="B170" s="540" t="str">
        <x:v>USD millions, except ratios (x)</x:v>
      </x:c>
      <x:c r="C170" s="540" t="str">
        <x:v>Reported input</x:v>
      </x:c>
      <x:c r="D170" s="540" t="str">
        <x:v>Period start</x:v>
      </x:c>
      <x:c r="E170" s="540" t="str">
        <x:v>Period end / as of</x:v>
      </x:c>
      <x:c r="F170" s="540" t="str">
        <x:v>Form</x:v>
      </x:c>
      <x:c r="G170" s="540" t="str">
        <x:v>Filed</x:v>
      </x:c>
      <x:c r="H170" s="540" t="str">
        <x:v>Accession</x:v>
      </x:c>
      <x:c r="I170" s="540" t="str">
        <x:v>Tag</x:v>
      </x:c>
      <x:c r="J170" s="540" t="str">
        <x:v>Context ID</x:v>
      </x:c>
      <x:c r="K170" s="540" t="str">
        <x:v>Scale</x:v>
      </x:c>
      <x:c r="L170" s="540" t="str">
        <x:v>Decimals</x:v>
      </x:c>
      <x:c r="M170" s="540" t="str">
        <x:v>Source</x:v>
      </x:c>
      <x:c r="N170" s="540" t="str">
        <x:v>Filing location</x:v>
      </x:c>
      <x:c r="O170" s="540" t="str">
        <x:v>Finding / Unavailable reason</x:v>
      </x:c>
      <x:c r="P170" s="540" t="str">
        <x:v>Dimensions</x:v>
      </x:c>
      <x:c r="Q170" s="540" t="str">
        <x:v>Reviewed source SHA256</x:v>
      </x:c>
      <x:c r="R170" s="541" t="str">
        <x:v>Unit and selection rule</x:v>
      </x:c>
    </x:row>
    <x:row r="171" ht="80" customHeight="1">
      <x:c r="A171" s="542" t="str">
        <x:v>orcl:FixedRateSeniorNotesDueApril2027Member</x:v>
      </x:c>
      <x:c r="B171" s="543" t="n">
        <x:v>0.028</x:v>
      </x:c>
      <x:c r="C171" s="544" t="str">
        <x:v>Stated fixed coupon</x:v>
      </x:c>
      <x:c r="D171" s="544"/>
      <x:c r="E171" s="544" t="d">
        <x:v>2026-05-31T00:00:00.000Z</x:v>
      </x:c>
      <x:c r="F171" s="544" t="str">
        <x:v>10-K</x:v>
      </x:c>
      <x:c r="G171" s="544" t="d">
        <x:v>2026-06-22T00:00:00.000Z</x:v>
      </x:c>
      <x:c r="H171" s="544" t="str">
        <x:v>0001193125-26-277521</x:v>
      </x:c>
      <x:c r="I171" s="544" t="str">
        <x:v>us-gaap:DebtInstrumentInterestRateStatedPercentage</x:v>
      </x:c>
      <x:c r="J171" s="544" t="str">
        <x:v>C_a743ec6f-8eeb-46ab-9053-3f4f619edb0e</x:v>
      </x:c>
      <x:c r="K171" s="544" t="str">
        <x:v>-2</x:v>
      </x:c>
      <x:c r="L171" s="544" t="str">
        <x:v>INF</x:v>
      </x:c>
      <x:c r="M171" s="544" t="str">
        <x:v>https://www.sec.gov/Archives/edgar/data/1341439/000119312526277521/orcl-20260531.htm</x:v>
      </x:c>
      <x:c r="N171" s="544" t="str">
        <x:v>10-K Note 6, pp. 83–84</x:v>
      </x:c>
      <x:c r="O171" s="544" t="str">
        <x:v>Unit pure; stated coupon as fraction. Exact instrument dimension; agreeing duplicates.</x:v>
      </x:c>
      <x:c r="P171" s="544" t="str">
        <x:v>us-gaap:DebtInstrumentAxis = orcl:FixedRateSeniorNotesDueApril2027Member</x:v>
      </x:c>
      <x:c r="Q171" s="544" t="str">
        <x:v>61a353e222f961e516bb3e8eed024a5245cfadbf30e3cc16a4a520129f1bdf63</x:v>
      </x:c>
      <x:c r="R171" s="545" t="str">
        <x:v>pure fraction, displayed as %</x:v>
      </x:c>
    </x:row>
    <x:row r="172" ht="80" customHeight="1">
      <x:c r="A172" s="542" t="str">
        <x:v>orcl:FixedRateSeniorNotesDueNovember2027Member</x:v>
      </x:c>
      <x:c r="B172" s="543" t="n">
        <x:v>0.0325</x:v>
      </x:c>
      <x:c r="C172" s="544" t="str">
        <x:v>Stated fixed coupon</x:v>
      </x:c>
      <x:c r="D172" s="544"/>
      <x:c r="E172" s="544" t="d">
        <x:v>2026-05-31T00:00:00.000Z</x:v>
      </x:c>
      <x:c r="F172" s="544" t="str">
        <x:v>10-K</x:v>
      </x:c>
      <x:c r="G172" s="544" t="d">
        <x:v>2026-06-22T00:00:00.000Z</x:v>
      </x:c>
      <x:c r="H172" s="544" t="str">
        <x:v>0001193125-26-277521</x:v>
      </x:c>
      <x:c r="I172" s="544" t="str">
        <x:v>us-gaap:DebtInstrumentInterestRateStatedPercentage</x:v>
      </x:c>
      <x:c r="J172" s="544" t="str">
        <x:v>C_4c58a11e-87b8-42bf-abc3-7205aad3686f</x:v>
      </x:c>
      <x:c r="K172" s="544" t="str">
        <x:v>-2</x:v>
      </x:c>
      <x:c r="L172" s="544" t="str">
        <x:v>INF</x:v>
      </x:c>
      <x:c r="M172" s="544" t="str">
        <x:v>https://www.sec.gov/Archives/edgar/data/1341439/000119312526277521/orcl-20260531.htm</x:v>
      </x:c>
      <x:c r="N172" s="544" t="str">
        <x:v>10-K Note 6, pp. 83–84</x:v>
      </x:c>
      <x:c r="O172" s="544" t="str">
        <x:v>Unit pure; stated coupon as fraction. Exact instrument dimension; agreeing duplicates.</x:v>
      </x:c>
      <x:c r="P172" s="544" t="str">
        <x:v>us-gaap:DebtInstrumentAxis = orcl:FixedRateSeniorNotesDueNovember2027Member</x:v>
      </x:c>
      <x:c r="Q172" s="544" t="str">
        <x:v>61a353e222f961e516bb3e8eed024a5245cfadbf30e3cc16a4a520129f1bdf63</x:v>
      </x:c>
      <x:c r="R172" s="545" t="str">
        <x:v>pure fraction, displayed as %</x:v>
      </x:c>
    </x:row>
    <x:row r="173" ht="80" customHeight="1">
      <x:c r="A173" s="542" t="str">
        <x:v>orcl:FixedRateSeniorNotesDueMarch2028Member</x:v>
      </x:c>
      <x:c r="B173" s="543" t="n">
        <x:v>0.023</x:v>
      </x:c>
      <x:c r="C173" s="544" t="str">
        <x:v>Stated fixed coupon</x:v>
      </x:c>
      <x:c r="D173" s="544"/>
      <x:c r="E173" s="544" t="d">
        <x:v>2026-05-31T00:00:00.000Z</x:v>
      </x:c>
      <x:c r="F173" s="544" t="str">
        <x:v>10-K</x:v>
      </x:c>
      <x:c r="G173" s="544" t="d">
        <x:v>2026-06-22T00:00:00.000Z</x:v>
      </x:c>
      <x:c r="H173" s="544" t="str">
        <x:v>0001193125-26-277521</x:v>
      </x:c>
      <x:c r="I173" s="544" t="str">
        <x:v>us-gaap:DebtInstrumentInterestRateStatedPercentage</x:v>
      </x:c>
      <x:c r="J173" s="544" t="str">
        <x:v>C_4a760de7-ba70-4c1c-ac7b-173b0770c81c</x:v>
      </x:c>
      <x:c r="K173" s="544" t="str">
        <x:v>-2</x:v>
      </x:c>
      <x:c r="L173" s="544" t="str">
        <x:v>INF</x:v>
      </x:c>
      <x:c r="M173" s="544" t="str">
        <x:v>https://www.sec.gov/Archives/edgar/data/1341439/000119312526277521/orcl-20260531.htm</x:v>
      </x:c>
      <x:c r="N173" s="544" t="str">
        <x:v>10-K Note 6, pp. 83–84</x:v>
      </x:c>
      <x:c r="O173" s="544" t="str">
        <x:v>Unit pure; stated coupon as fraction. Exact instrument dimension; agreeing duplicates.</x:v>
      </x:c>
      <x:c r="P173" s="544" t="str">
        <x:v>us-gaap:DebtInstrumentAxis = orcl:FixedRateSeniorNotesDueMarch2028Member</x:v>
      </x:c>
      <x:c r="Q173" s="544" t="str">
        <x:v>61a353e222f961e516bb3e8eed024a5245cfadbf30e3cc16a4a520129f1bdf63</x:v>
      </x:c>
      <x:c r="R173" s="545" t="str">
        <x:v>pure fraction, displayed as %</x:v>
      </x:c>
    </x:row>
    <x:row r="174" ht="80" customHeight="1">
      <x:c r="A174" s="542" t="str">
        <x:v>orcl:FixedRateSeniorNotesDueMay2028Member</x:v>
      </x:c>
      <x:c r="B174" s="543" t="n">
        <x:v>0.045</x:v>
      </x:c>
      <x:c r="C174" s="544" t="str">
        <x:v>Stated fixed coupon</x:v>
      </x:c>
      <x:c r="D174" s="544"/>
      <x:c r="E174" s="544" t="d">
        <x:v>2026-05-31T00:00:00.000Z</x:v>
      </x:c>
      <x:c r="F174" s="544" t="str">
        <x:v>10-K</x:v>
      </x:c>
      <x:c r="G174" s="544" t="d">
        <x:v>2026-06-22T00:00:00.000Z</x:v>
      </x:c>
      <x:c r="H174" s="544" t="str">
        <x:v>0001193125-26-277521</x:v>
      </x:c>
      <x:c r="I174" s="544" t="str">
        <x:v>us-gaap:DebtInstrumentInterestRateStatedPercentage</x:v>
      </x:c>
      <x:c r="J174" s="544" t="str">
        <x:v>C_9142af28-1adb-4c96-b444-3af20bbae4be</x:v>
      </x:c>
      <x:c r="K174" s="544" t="str">
        <x:v>-2</x:v>
      </x:c>
      <x:c r="L174" s="544" t="str">
        <x:v>INF</x:v>
      </x:c>
      <x:c r="M174" s="544" t="str">
        <x:v>https://www.sec.gov/Archives/edgar/data/1341439/000119312526277521/orcl-20260531.htm</x:v>
      </x:c>
      <x:c r="N174" s="544" t="str">
        <x:v>10-K Note 6, pp. 83–84</x:v>
      </x:c>
      <x:c r="O174" s="544" t="str">
        <x:v>Unit pure; stated coupon as fraction. Exact instrument dimension; agreeing duplicates.</x:v>
      </x:c>
      <x:c r="P174" s="544" t="str">
        <x:v>us-gaap:DebtInstrumentAxis = orcl:FixedRateSeniorNotesDueMay2028Member</x:v>
      </x:c>
      <x:c r="Q174" s="544" t="str">
        <x:v>61a353e222f961e516bb3e8eed024a5245cfadbf30e3cc16a4a520129f1bdf63</x:v>
      </x:c>
      <x:c r="R174" s="545" t="str">
        <x:v>pure fraction, displayed as %</x:v>
      </x:c>
    </x:row>
    <x:row r="175" ht="80" customHeight="1">
      <x:c r="A175" s="542" t="str">
        <x:v>orcl:Fixed-RateSeniorNotesDueAugust2028Member</x:v>
      </x:c>
      <x:c r="B175" s="543" t="n">
        <x:v>0.048</x:v>
      </x:c>
      <x:c r="C175" s="544" t="str">
        <x:v>Stated fixed coupon</x:v>
      </x:c>
      <x:c r="D175" s="544"/>
      <x:c r="E175" s="544" t="d">
        <x:v>2026-05-31T00:00:00.000Z</x:v>
      </x:c>
      <x:c r="F175" s="544" t="str">
        <x:v>10-K</x:v>
      </x:c>
      <x:c r="G175" s="544" t="d">
        <x:v>2026-06-22T00:00:00.000Z</x:v>
      </x:c>
      <x:c r="H175" s="544" t="str">
        <x:v>0001193125-26-277521</x:v>
      </x:c>
      <x:c r="I175" s="544" t="str">
        <x:v>us-gaap:DebtInstrumentInterestRateStatedPercentage</x:v>
      </x:c>
      <x:c r="J175" s="544" t="str">
        <x:v>C_6d6ee105-8c7d-4446-b600-b6b3bf8abe98</x:v>
      </x:c>
      <x:c r="K175" s="544" t="str">
        <x:v>-2</x:v>
      </x:c>
      <x:c r="L175" s="544" t="str">
        <x:v>INF</x:v>
      </x:c>
      <x:c r="M175" s="544" t="str">
        <x:v>https://www.sec.gov/Archives/edgar/data/1341439/000119312526277521/orcl-20260531.htm</x:v>
      </x:c>
      <x:c r="N175" s="544" t="str">
        <x:v>10-K Note 6, pp. 83–84</x:v>
      </x:c>
      <x:c r="O175" s="544" t="str">
        <x:v>Unit pure; stated coupon as fraction. Exact instrument dimension; agreeing duplicates.</x:v>
      </x:c>
      <x:c r="P175" s="544" t="str">
        <x:v>us-gaap:DebtInstrumentAxis = orcl:Fixed-RateSeniorNotesDueAugust2028Member</x:v>
      </x:c>
      <x:c r="Q175" s="544" t="str">
        <x:v>61a353e222f961e516bb3e8eed024a5245cfadbf30e3cc16a4a520129f1bdf63</x:v>
      </x:c>
      <x:c r="R175" s="545" t="str">
        <x:v>pure fraction, displayed as %</x:v>
      </x:c>
    </x:row>
    <x:row r="176" ht="80" customHeight="1">
      <x:c r="A176" s="542" t="str">
        <x:v>orcl:Fixed-RateSeniorNotesDueFebruary2029Member</x:v>
      </x:c>
      <x:c r="B176" s="543" t="n">
        <x:v>0.0455</x:v>
      </x:c>
      <x:c r="C176" s="544" t="str">
        <x:v>Stated fixed coupon</x:v>
      </x:c>
      <x:c r="D176" s="544"/>
      <x:c r="E176" s="544" t="d">
        <x:v>2026-05-31T00:00:00.000Z</x:v>
      </x:c>
      <x:c r="F176" s="544" t="str">
        <x:v>10-K</x:v>
      </x:c>
      <x:c r="G176" s="544" t="d">
        <x:v>2026-06-22T00:00:00.000Z</x:v>
      </x:c>
      <x:c r="H176" s="544" t="str">
        <x:v>0001193125-26-277521</x:v>
      </x:c>
      <x:c r="I176" s="544" t="str">
        <x:v>us-gaap:DebtInstrumentInterestRateStatedPercentage</x:v>
      </x:c>
      <x:c r="J176" s="544" t="str">
        <x:v>C_65c60c9a-dbfb-41bd-abf8-5f20f2aaba3f</x:v>
      </x:c>
      <x:c r="K176" s="544" t="str">
        <x:v>-2</x:v>
      </x:c>
      <x:c r="L176" s="544" t="str">
        <x:v>INF</x:v>
      </x:c>
      <x:c r="M176" s="544" t="str">
        <x:v>https://www.sec.gov/Archives/edgar/data/1341439/000119312526277521/orcl-20260531.htm</x:v>
      </x:c>
      <x:c r="N176" s="544" t="str">
        <x:v>10-K Note 6, pp. 83–84</x:v>
      </x:c>
      <x:c r="O176" s="544" t="str">
        <x:v>Unit pure; stated coupon as fraction. Exact instrument dimension; agreeing duplicates.</x:v>
      </x:c>
      <x:c r="P176" s="544" t="str">
        <x:v>us-gaap:DebtInstrumentAxis = orcl:Fixed-RateSeniorNotesDueFebruary2029Member</x:v>
      </x:c>
      <x:c r="Q176" s="544" t="str">
        <x:v>61a353e222f961e516bb3e8eed024a5245cfadbf30e3cc16a4a520129f1bdf63</x:v>
      </x:c>
      <x:c r="R176" s="545" t="str">
        <x:v>pure fraction, displayed as %</x:v>
      </x:c>
    </x:row>
    <x:row r="177" ht="80" customHeight="1">
      <x:c r="A177" s="542" t="str">
        <x:v>orcl:Fixed-RateSeniorNotesDueSeptember2029Member</x:v>
      </x:c>
      <x:c r="B177" s="543" t="n">
        <x:v>0.042</x:v>
      </x:c>
      <x:c r="C177" s="544" t="str">
        <x:v>Stated fixed coupon</x:v>
      </x:c>
      <x:c r="D177" s="544"/>
      <x:c r="E177" s="544" t="d">
        <x:v>2026-05-31T00:00:00.000Z</x:v>
      </x:c>
      <x:c r="F177" s="544" t="str">
        <x:v>10-K</x:v>
      </x:c>
      <x:c r="G177" s="544" t="d">
        <x:v>2026-06-22T00:00:00.000Z</x:v>
      </x:c>
      <x:c r="H177" s="544" t="str">
        <x:v>0001193125-26-277521</x:v>
      </x:c>
      <x:c r="I177" s="544" t="str">
        <x:v>us-gaap:DebtInstrumentInterestRateStatedPercentage</x:v>
      </x:c>
      <x:c r="J177" s="544" t="str">
        <x:v>C_4b945cce-a91e-4713-8804-16879a87ff5b</x:v>
      </x:c>
      <x:c r="K177" s="544" t="str">
        <x:v>-2</x:v>
      </x:c>
      <x:c r="L177" s="544" t="str">
        <x:v>INF</x:v>
      </x:c>
      <x:c r="M177" s="544" t="str">
        <x:v>https://www.sec.gov/Archives/edgar/data/1341439/000119312526277521/orcl-20260531.htm</x:v>
      </x:c>
      <x:c r="N177" s="544" t="str">
        <x:v>10-K Note 6, pp. 83–84</x:v>
      </x:c>
      <x:c r="O177" s="544" t="str">
        <x:v>Unit pure; stated coupon as fraction. Exact instrument dimension; agreeing duplicates.</x:v>
      </x:c>
      <x:c r="P177" s="544" t="str">
        <x:v>us-gaap:DebtInstrumentAxis = orcl:Fixed-RateSeniorNotesDueSeptember2029Member</x:v>
      </x:c>
      <x:c r="Q177" s="544" t="str">
        <x:v>61a353e222f961e516bb3e8eed024a5245cfadbf30e3cc16a4a520129f1bdf63</x:v>
      </x:c>
      <x:c r="R177" s="545" t="str">
        <x:v>pure fraction, displayed as %</x:v>
      </x:c>
    </x:row>
    <x:row r="178" ht="80" customHeight="1">
      <x:c r="A178" s="542" t="str">
        <x:v>orcl:FixedRateSeniorNotesDueNovember2029Member</x:v>
      </x:c>
      <x:c r="B178" s="543" t="n">
        <x:v>0.0615</x:v>
      </x:c>
      <x:c r="C178" s="544" t="str">
        <x:v>Stated fixed coupon</x:v>
      </x:c>
      <x:c r="D178" s="544"/>
      <x:c r="E178" s="544" t="d">
        <x:v>2026-05-31T00:00:00.000Z</x:v>
      </x:c>
      <x:c r="F178" s="544" t="str">
        <x:v>10-K</x:v>
      </x:c>
      <x:c r="G178" s="544" t="d">
        <x:v>2026-06-22T00:00:00.000Z</x:v>
      </x:c>
      <x:c r="H178" s="544" t="str">
        <x:v>0001193125-26-277521</x:v>
      </x:c>
      <x:c r="I178" s="544" t="str">
        <x:v>us-gaap:DebtInstrumentInterestRateStatedPercentage</x:v>
      </x:c>
      <x:c r="J178" s="544" t="str">
        <x:v>C_8aa7e201-edc6-4920-8256-35f8ee18f4b8</x:v>
      </x:c>
      <x:c r="K178" s="544" t="str">
        <x:v>-2</x:v>
      </x:c>
      <x:c r="L178" s="544" t="str">
        <x:v>INF</x:v>
      </x:c>
      <x:c r="M178" s="544" t="str">
        <x:v>https://www.sec.gov/Archives/edgar/data/1341439/000119312526277521/orcl-20260531.htm</x:v>
      </x:c>
      <x:c r="N178" s="544" t="str">
        <x:v>10-K Note 6, pp. 83–84</x:v>
      </x:c>
      <x:c r="O178" s="544" t="str">
        <x:v>Unit pure; stated coupon as fraction. Exact instrument dimension; agreeing duplicates.</x:v>
      </x:c>
      <x:c r="P178" s="544" t="str">
        <x:v>us-gaap:DebtInstrumentAxis = orcl:FixedRateSeniorNotesDueNovember2029Member</x:v>
      </x:c>
      <x:c r="Q178" s="544" t="str">
        <x:v>61a353e222f961e516bb3e8eed024a5245cfadbf30e3cc16a4a520129f1bdf63</x:v>
      </x:c>
      <x:c r="R178" s="545" t="str">
        <x:v>pure fraction, displayed as %</x:v>
      </x:c>
    </x:row>
    <x:row r="179" ht="80" customHeight="1">
      <x:c r="A179" s="542" t="str">
        <x:v>orcl:FixedRateSeniorNotesDueApril2030Member</x:v>
      </x:c>
      <x:c r="B179" s="543" t="n">
        <x:v>0.0295</x:v>
      </x:c>
      <x:c r="C179" s="544" t="str">
        <x:v>Stated fixed coupon</x:v>
      </x:c>
      <x:c r="D179" s="544"/>
      <x:c r="E179" s="544" t="d">
        <x:v>2026-05-31T00:00:00.000Z</x:v>
      </x:c>
      <x:c r="F179" s="544" t="str">
        <x:v>10-K</x:v>
      </x:c>
      <x:c r="G179" s="544" t="d">
        <x:v>2026-06-22T00:00:00.000Z</x:v>
      </x:c>
      <x:c r="H179" s="544" t="str">
        <x:v>0001193125-26-277521</x:v>
      </x:c>
      <x:c r="I179" s="544" t="str">
        <x:v>us-gaap:DebtInstrumentInterestRateStatedPercentage</x:v>
      </x:c>
      <x:c r="J179" s="544" t="str">
        <x:v>C_b19b50e6-b222-456d-9fea-1bca5e3fb634</x:v>
      </x:c>
      <x:c r="K179" s="544" t="str">
        <x:v>-2</x:v>
      </x:c>
      <x:c r="L179" s="544" t="str">
        <x:v>INF</x:v>
      </x:c>
      <x:c r="M179" s="544" t="str">
        <x:v>https://www.sec.gov/Archives/edgar/data/1341439/000119312526277521/orcl-20260531.htm</x:v>
      </x:c>
      <x:c r="N179" s="544" t="str">
        <x:v>10-K Note 6, pp. 83–84</x:v>
      </x:c>
      <x:c r="O179" s="544" t="str">
        <x:v>Unit pure; stated coupon as fraction. Exact instrument dimension; agreeing duplicates.</x:v>
      </x:c>
      <x:c r="P179" s="544" t="str">
        <x:v>us-gaap:DebtInstrumentAxis = orcl:FixedRateSeniorNotesDueApril2030Member</x:v>
      </x:c>
      <x:c r="Q179" s="544" t="str">
        <x:v>61a353e222f961e516bb3e8eed024a5245cfadbf30e3cc16a4a520129f1bdf63</x:v>
      </x:c>
      <x:c r="R179" s="545" t="str">
        <x:v>pure fraction, displayed as %</x:v>
      </x:c>
    </x:row>
    <x:row r="180" ht="80" customHeight="1">
      <x:c r="A180" s="542" t="str">
        <x:v>orcl:FixedRateSeniorNotesDueMay2030Member</x:v>
      </x:c>
      <x:c r="B180" s="543" t="n">
        <x:v>0.0465</x:v>
      </x:c>
      <x:c r="C180" s="544" t="str">
        <x:v>Stated fixed coupon</x:v>
      </x:c>
      <x:c r="D180" s="544"/>
      <x:c r="E180" s="544" t="d">
        <x:v>2026-05-31T00:00:00.000Z</x:v>
      </x:c>
      <x:c r="F180" s="544" t="str">
        <x:v>10-K</x:v>
      </x:c>
      <x:c r="G180" s="544" t="d">
        <x:v>2026-06-22T00:00:00.000Z</x:v>
      </x:c>
      <x:c r="H180" s="544" t="str">
        <x:v>0001193125-26-277521</x:v>
      </x:c>
      <x:c r="I180" s="544" t="str">
        <x:v>us-gaap:DebtInstrumentInterestRateStatedPercentage</x:v>
      </x:c>
      <x:c r="J180" s="544" t="str">
        <x:v>C_c76136cd-2797-4fef-883c-79d66d5a2837</x:v>
      </x:c>
      <x:c r="K180" s="544" t="str">
        <x:v>-2</x:v>
      </x:c>
      <x:c r="L180" s="544" t="str">
        <x:v>INF</x:v>
      </x:c>
      <x:c r="M180" s="544" t="str">
        <x:v>https://www.sec.gov/Archives/edgar/data/1341439/000119312526277521/orcl-20260531.htm</x:v>
      </x:c>
      <x:c r="N180" s="544" t="str">
        <x:v>10-K Note 6, pp. 83–84</x:v>
      </x:c>
      <x:c r="O180" s="544" t="str">
        <x:v>Unit pure; stated coupon as fraction. Exact instrument dimension; agreeing duplicates.</x:v>
      </x:c>
      <x:c r="P180" s="544" t="str">
        <x:v>us-gaap:DebtInstrumentAxis = orcl:FixedRateSeniorNotesDueMay2030Member</x:v>
      </x:c>
      <x:c r="Q180" s="544" t="str">
        <x:v>61a353e222f961e516bb3e8eed024a5245cfadbf30e3cc16a4a520129f1bdf63</x:v>
      </x:c>
      <x:c r="R180" s="545" t="str">
        <x:v>pure fraction, displayed as %</x:v>
      </x:c>
    </x:row>
    <x:row r="181" ht="80" customHeight="1">
      <x:c r="A181" s="542" t="str">
        <x:v>orcl:Fixed-RateSeniorNotesDueMay2030Member</x:v>
      </x:c>
      <x:c r="B181" s="543" t="n">
        <x:v>0.0325</x:v>
      </x:c>
      <x:c r="C181" s="544" t="str">
        <x:v>Stated fixed coupon</x:v>
      </x:c>
      <x:c r="D181" s="544"/>
      <x:c r="E181" s="544" t="d">
        <x:v>2026-05-31T00:00:00.000Z</x:v>
      </x:c>
      <x:c r="F181" s="544" t="str">
        <x:v>10-K</x:v>
      </x:c>
      <x:c r="G181" s="544" t="d">
        <x:v>2026-06-22T00:00:00.000Z</x:v>
      </x:c>
      <x:c r="H181" s="544" t="str">
        <x:v>0001193125-26-277521</x:v>
      </x:c>
      <x:c r="I181" s="544" t="str">
        <x:v>us-gaap:DebtInstrumentInterestRateStatedPercentage</x:v>
      </x:c>
      <x:c r="J181" s="544" t="str">
        <x:v>C_70c2256f-1f16-4e15-bc5c-53c1fc629421</x:v>
      </x:c>
      <x:c r="K181" s="544" t="str">
        <x:v>-2</x:v>
      </x:c>
      <x:c r="L181" s="544" t="str">
        <x:v>INF</x:v>
      </x:c>
      <x:c r="M181" s="544" t="str">
        <x:v>https://www.sec.gov/Archives/edgar/data/1341439/000119312526277521/orcl-20260531.htm</x:v>
      </x:c>
      <x:c r="N181" s="544" t="str">
        <x:v>10-K Note 6, pp. 83–84</x:v>
      </x:c>
      <x:c r="O181" s="544" t="str">
        <x:v>Unit pure; stated coupon as fraction. Exact instrument dimension; agreeing duplicates.</x:v>
      </x:c>
      <x:c r="P181" s="544" t="str">
        <x:v>us-gaap:DebtInstrumentAxis = orcl:Fixed-RateSeniorNotesDueMay2030Member</x:v>
      </x:c>
      <x:c r="Q181" s="544" t="str">
        <x:v>61a353e222f961e516bb3e8eed024a5245cfadbf30e3cc16a4a520129f1bdf63</x:v>
      </x:c>
      <x:c r="R181" s="545" t="str">
        <x:v>pure fraction, displayed as %</x:v>
      </x:c>
    </x:row>
    <x:row r="182" ht="80" customHeight="1">
      <x:c r="A182" s="542" t="str">
        <x:v>orcl:FixedRateSeniorNotesDueSeptember2030Member</x:v>
      </x:c>
      <x:c r="B182" s="543" t="n">
        <x:v>0.0445</x:v>
      </x:c>
      <x:c r="C182" s="544" t="str">
        <x:v>Stated fixed coupon</x:v>
      </x:c>
      <x:c r="D182" s="544"/>
      <x:c r="E182" s="544" t="d">
        <x:v>2026-05-31T00:00:00.000Z</x:v>
      </x:c>
      <x:c r="F182" s="544" t="str">
        <x:v>10-K</x:v>
      </x:c>
      <x:c r="G182" s="544" t="d">
        <x:v>2026-06-22T00:00:00.000Z</x:v>
      </x:c>
      <x:c r="H182" s="544" t="str">
        <x:v>0001193125-26-277521</x:v>
      </x:c>
      <x:c r="I182" s="544" t="str">
        <x:v>us-gaap:DebtInstrumentInterestRateStatedPercentage</x:v>
      </x:c>
      <x:c r="J182" s="544" t="str">
        <x:v>C_113e803d-da69-4c22-a39c-a109d7514b35</x:v>
      </x:c>
      <x:c r="K182" s="544" t="str">
        <x:v>-2</x:v>
      </x:c>
      <x:c r="L182" s="544" t="str">
        <x:v>INF</x:v>
      </x:c>
      <x:c r="M182" s="544" t="str">
        <x:v>https://www.sec.gov/Archives/edgar/data/1341439/000119312526277521/orcl-20260531.htm</x:v>
      </x:c>
      <x:c r="N182" s="544" t="str">
        <x:v>10-K Note 6, pp. 83–84</x:v>
      </x:c>
      <x:c r="O182" s="544" t="str">
        <x:v>Unit pure; stated coupon as fraction. Exact instrument dimension; agreeing duplicates.</x:v>
      </x:c>
      <x:c r="P182" s="544" t="str">
        <x:v>us-gaap:DebtInstrumentAxis = orcl:FixedRateSeniorNotesDueSeptember2030Member</x:v>
      </x:c>
      <x:c r="Q182" s="544" t="str">
        <x:v>61a353e222f961e516bb3e8eed024a5245cfadbf30e3cc16a4a520129f1bdf63</x:v>
      </x:c>
      <x:c r="R182" s="545" t="str">
        <x:v>pure fraction, displayed as %</x:v>
      </x:c>
    </x:row>
    <x:row r="183" ht="80" customHeight="1">
      <x:c r="A183" s="542" t="str">
        <x:v>orcl:FixedRateSeniorNotesDueFebruary2031Member</x:v>
      </x:c>
      <x:c r="B183" s="543" t="n">
        <x:v>0.0495</x:v>
      </x:c>
      <x:c r="C183" s="544" t="str">
        <x:v>Stated fixed coupon</x:v>
      </x:c>
      <x:c r="D183" s="544"/>
      <x:c r="E183" s="544" t="d">
        <x:v>2026-05-31T00:00:00.000Z</x:v>
      </x:c>
      <x:c r="F183" s="544" t="str">
        <x:v>10-K</x:v>
      </x:c>
      <x:c r="G183" s="544" t="d">
        <x:v>2026-06-22T00:00:00.000Z</x:v>
      </x:c>
      <x:c r="H183" s="544" t="str">
        <x:v>0001193125-26-277521</x:v>
      </x:c>
      <x:c r="I183" s="544" t="str">
        <x:v>us-gaap:DebtInstrumentInterestRateStatedPercentage</x:v>
      </x:c>
      <x:c r="J183" s="544" t="str">
        <x:v>C_87f6716e-b1b9-4a3d-9ba1-858589593ee3</x:v>
      </x:c>
      <x:c r="K183" s="544" t="str">
        <x:v>-2</x:v>
      </x:c>
      <x:c r="L183" s="544" t="str">
        <x:v>INF</x:v>
      </x:c>
      <x:c r="M183" s="544" t="str">
        <x:v>https://www.sec.gov/Archives/edgar/data/1341439/000119312526277521/orcl-20260531.htm</x:v>
      </x:c>
      <x:c r="N183" s="544" t="str">
        <x:v>10-K Note 6, pp. 83–84</x:v>
      </x:c>
      <x:c r="O183" s="544" t="str">
        <x:v>Unit pure; stated coupon as fraction. Exact instrument dimension; agreeing duplicates.</x:v>
      </x:c>
      <x:c r="P183" s="544" t="str">
        <x:v>us-gaap:DebtInstrumentAxis = orcl:FixedRateSeniorNotesDueFebruary2031Member</x:v>
      </x:c>
      <x:c r="Q183" s="544" t="str">
        <x:v>61a353e222f961e516bb3e8eed024a5245cfadbf30e3cc16a4a520129f1bdf63</x:v>
      </x:c>
      <x:c r="R183" s="545" t="str">
        <x:v>pure fraction, displayed as %</x:v>
      </x:c>
    </x:row>
    <x:row r="184" ht="80" customHeight="1">
      <x:c r="A184" s="542" t="str">
        <x:v>orcl:FixedRateSeniorNotesDueMarch2031Member</x:v>
      </x:c>
      <x:c r="B184" s="543" t="n">
        <x:v>0.02875</x:v>
      </x:c>
      <x:c r="C184" s="544" t="str">
        <x:v>Stated fixed coupon</x:v>
      </x:c>
      <x:c r="D184" s="544"/>
      <x:c r="E184" s="544" t="d">
        <x:v>2026-05-31T00:00:00.000Z</x:v>
      </x:c>
      <x:c r="F184" s="544" t="str">
        <x:v>10-K</x:v>
      </x:c>
      <x:c r="G184" s="544" t="d">
        <x:v>2026-06-22T00:00:00.000Z</x:v>
      </x:c>
      <x:c r="H184" s="544" t="str">
        <x:v>0001193125-26-277521</x:v>
      </x:c>
      <x:c r="I184" s="544" t="str">
        <x:v>us-gaap:DebtInstrumentInterestRateStatedPercentage</x:v>
      </x:c>
      <x:c r="J184" s="544" t="str">
        <x:v>C_48f76007-8b8f-482c-ae4e-cc2d13f4241b</x:v>
      </x:c>
      <x:c r="K184" s="544" t="str">
        <x:v>-2</x:v>
      </x:c>
      <x:c r="L184" s="544" t="str">
        <x:v>INF</x:v>
      </x:c>
      <x:c r="M184" s="544" t="str">
        <x:v>https://www.sec.gov/Archives/edgar/data/1341439/000119312526277521/orcl-20260531.htm</x:v>
      </x:c>
      <x:c r="N184" s="544" t="str">
        <x:v>10-K Note 6, pp. 83–84</x:v>
      </x:c>
      <x:c r="O184" s="544" t="str">
        <x:v>Unit pure; stated coupon as fraction. Exact instrument dimension; agreeing duplicates.</x:v>
      </x:c>
      <x:c r="P184" s="544" t="str">
        <x:v>us-gaap:DebtInstrumentAxis = orcl:FixedRateSeniorNotesDueMarch2031Member</x:v>
      </x:c>
      <x:c r="Q184" s="544" t="str">
        <x:v>61a353e222f961e516bb3e8eed024a5245cfadbf30e3cc16a4a520129f1bdf63</x:v>
      </x:c>
      <x:c r="R184" s="545" t="str">
        <x:v>pure fraction, displayed as %</x:v>
      </x:c>
    </x:row>
    <x:row r="185" ht="80" customHeight="1">
      <x:c r="A185" s="542" t="str">
        <x:v>orcl:Fixed-RateSeniorNotesDueFebruary2032Member</x:v>
      </x:c>
      <x:c r="B185" s="543" t="n">
        <x:v>0.0525</x:v>
      </x:c>
      <x:c r="C185" s="544" t="str">
        <x:v>Stated fixed coupon</x:v>
      </x:c>
      <x:c r="D185" s="544"/>
      <x:c r="E185" s="544" t="d">
        <x:v>2026-05-31T00:00:00.000Z</x:v>
      </x:c>
      <x:c r="F185" s="544" t="str">
        <x:v>10-K</x:v>
      </x:c>
      <x:c r="G185" s="544" t="d">
        <x:v>2026-06-22T00:00:00.000Z</x:v>
      </x:c>
      <x:c r="H185" s="544" t="str">
        <x:v>0001193125-26-277521</x:v>
      </x:c>
      <x:c r="I185" s="544" t="str">
        <x:v>us-gaap:DebtInstrumentInterestRateStatedPercentage</x:v>
      </x:c>
      <x:c r="J185" s="544" t="str">
        <x:v>C_e42f7f37-e8c5-46a8-90f7-e218c66724e4</x:v>
      </x:c>
      <x:c r="K185" s="544" t="str">
        <x:v>-2</x:v>
      </x:c>
      <x:c r="L185" s="544" t="str">
        <x:v>INF</x:v>
      </x:c>
      <x:c r="M185" s="544" t="str">
        <x:v>https://www.sec.gov/Archives/edgar/data/1341439/000119312526277521/orcl-20260531.htm</x:v>
      </x:c>
      <x:c r="N185" s="544" t="str">
        <x:v>10-K Note 6, pp. 83–84</x:v>
      </x:c>
      <x:c r="O185" s="544" t="str">
        <x:v>Unit pure; stated coupon as fraction. Exact instrument dimension; agreeing duplicates.</x:v>
      </x:c>
      <x:c r="P185" s="544" t="str">
        <x:v>us-gaap:DebtInstrumentAxis = orcl:Fixed-RateSeniorNotesDueFebruary2032Member</x:v>
      </x:c>
      <x:c r="Q185" s="544" t="str">
        <x:v>61a353e222f961e516bb3e8eed024a5245cfadbf30e3cc16a4a520129f1bdf63</x:v>
      </x:c>
      <x:c r="R185" s="545" t="str">
        <x:v>pure fraction, displayed as %</x:v>
      </x:c>
    </x:row>
    <x:row r="186" ht="80" customHeight="1">
      <x:c r="A186" s="542" t="str">
        <x:v>orcl:Fixed-RateSeniorNotesDueSeptember2032Member</x:v>
      </x:c>
      <x:c r="B186" s="543" t="n">
        <x:v>0.048</x:v>
      </x:c>
      <x:c r="C186" s="544" t="str">
        <x:v>Stated fixed coupon</x:v>
      </x:c>
      <x:c r="D186" s="544"/>
      <x:c r="E186" s="544" t="d">
        <x:v>2026-05-31T00:00:00.000Z</x:v>
      </x:c>
      <x:c r="F186" s="544" t="str">
        <x:v>10-K</x:v>
      </x:c>
      <x:c r="G186" s="544" t="d">
        <x:v>2026-06-22T00:00:00.000Z</x:v>
      </x:c>
      <x:c r="H186" s="544" t="str">
        <x:v>0001193125-26-277521</x:v>
      </x:c>
      <x:c r="I186" s="544" t="str">
        <x:v>us-gaap:DebtInstrumentInterestRateStatedPercentage</x:v>
      </x:c>
      <x:c r="J186" s="544" t="str">
        <x:v>C_50527f49-e9c6-4c52-a8ec-b1c2a0068c55</x:v>
      </x:c>
      <x:c r="K186" s="544" t="str">
        <x:v>-2</x:v>
      </x:c>
      <x:c r="L186" s="544" t="str">
        <x:v>INF</x:v>
      </x:c>
      <x:c r="M186" s="544" t="str">
        <x:v>https://www.sec.gov/Archives/edgar/data/1341439/000119312526277521/orcl-20260531.htm</x:v>
      </x:c>
      <x:c r="N186" s="544" t="str">
        <x:v>10-K Note 6, pp. 83–84</x:v>
      </x:c>
      <x:c r="O186" s="544" t="str">
        <x:v>Unit pure; stated coupon as fraction. Exact instrument dimension; agreeing duplicates.</x:v>
      </x:c>
      <x:c r="P186" s="544" t="str">
        <x:v>us-gaap:DebtInstrumentAxis = orcl:Fixed-RateSeniorNotesDueSeptember2032Member</x:v>
      </x:c>
      <x:c r="Q186" s="544" t="str">
        <x:v>61a353e222f961e516bb3e8eed024a5245cfadbf30e3cc16a4a520129f1bdf63</x:v>
      </x:c>
      <x:c r="R186" s="545" t="str">
        <x:v>pure fraction, displayed as %</x:v>
      </x:c>
    </x:row>
    <x:row r="187" ht="80" customHeight="1">
      <x:c r="A187" s="542" t="str">
        <x:v>orcl:FixedRateSeniorNotesDueNovember2032Member</x:v>
      </x:c>
      <x:c r="B187" s="543" t="n">
        <x:v>0.0625</x:v>
      </x:c>
      <x:c r="C187" s="544" t="str">
        <x:v>Stated fixed coupon</x:v>
      </x:c>
      <x:c r="D187" s="544"/>
      <x:c r="E187" s="544" t="d">
        <x:v>2026-05-31T00:00:00.000Z</x:v>
      </x:c>
      <x:c r="F187" s="544" t="str">
        <x:v>10-K</x:v>
      </x:c>
      <x:c r="G187" s="544" t="d">
        <x:v>2026-06-22T00:00:00.000Z</x:v>
      </x:c>
      <x:c r="H187" s="544" t="str">
        <x:v>0001193125-26-277521</x:v>
      </x:c>
      <x:c r="I187" s="544" t="str">
        <x:v>us-gaap:DebtInstrumentInterestRateStatedPercentage</x:v>
      </x:c>
      <x:c r="J187" s="544" t="str">
        <x:v>C_3baaf4b5-05a7-4e95-a2c7-fdbbde90234a</x:v>
      </x:c>
      <x:c r="K187" s="544" t="str">
        <x:v>-2</x:v>
      </x:c>
      <x:c r="L187" s="544" t="str">
        <x:v>INF</x:v>
      </x:c>
      <x:c r="M187" s="544" t="str">
        <x:v>https://www.sec.gov/Archives/edgar/data/1341439/000119312526277521/orcl-20260531.htm</x:v>
      </x:c>
      <x:c r="N187" s="544" t="str">
        <x:v>10-K Note 6, pp. 83–84</x:v>
      </x:c>
      <x:c r="O187" s="544" t="str">
        <x:v>Unit pure; stated coupon as fraction. Exact instrument dimension; agreeing duplicates.</x:v>
      </x:c>
      <x:c r="P187" s="544" t="str">
        <x:v>us-gaap:DebtInstrumentAxis = orcl:FixedRateSeniorNotesDueNovember2032Member</x:v>
      </x:c>
      <x:c r="Q187" s="544" t="str">
        <x:v>61a353e222f961e516bb3e8eed024a5245cfadbf30e3cc16a4a520129f1bdf63</x:v>
      </x:c>
      <x:c r="R187" s="545" t="str">
        <x:v>pure fraction, displayed as %</x:v>
      </x:c>
    </x:row>
    <x:row r="188" ht="80" customHeight="1">
      <x:c r="A188" s="542" t="str">
        <x:v>orcl:FixedRateSeniorNotesDueFebruary2033Member</x:v>
      </x:c>
      <x:c r="B188" s="543" t="n">
        <x:v>0.049</x:v>
      </x:c>
      <x:c r="C188" s="544" t="str">
        <x:v>Stated fixed coupon</x:v>
      </x:c>
      <x:c r="D188" s="544"/>
      <x:c r="E188" s="544" t="d">
        <x:v>2026-05-31T00:00:00.000Z</x:v>
      </x:c>
      <x:c r="F188" s="544" t="str">
        <x:v>10-K</x:v>
      </x:c>
      <x:c r="G188" s="544" t="d">
        <x:v>2026-06-22T00:00:00.000Z</x:v>
      </x:c>
      <x:c r="H188" s="544" t="str">
        <x:v>0001193125-26-277521</x:v>
      </x:c>
      <x:c r="I188" s="544" t="str">
        <x:v>us-gaap:DebtInstrumentInterestRateStatedPercentage</x:v>
      </x:c>
      <x:c r="J188" s="544" t="str">
        <x:v>C_532c52db-e3a7-41dc-a1d8-5abc4267e4d1</x:v>
      </x:c>
      <x:c r="K188" s="544" t="str">
        <x:v>-2</x:v>
      </x:c>
      <x:c r="L188" s="544" t="str">
        <x:v>INF</x:v>
      </x:c>
      <x:c r="M188" s="544" t="str">
        <x:v>https://www.sec.gov/Archives/edgar/data/1341439/000119312526277521/orcl-20260531.htm</x:v>
      </x:c>
      <x:c r="N188" s="544" t="str">
        <x:v>10-K Note 6, pp. 83–84</x:v>
      </x:c>
      <x:c r="O188" s="544" t="str">
        <x:v>Unit pure; stated coupon as fraction. Exact instrument dimension; agreeing duplicates.</x:v>
      </x:c>
      <x:c r="P188" s="544" t="str">
        <x:v>us-gaap:DebtInstrumentAxis = orcl:FixedRateSeniorNotesDueFebruary2033Member</x:v>
      </x:c>
      <x:c r="Q188" s="544" t="str">
        <x:v>61a353e222f961e516bb3e8eed024a5245cfadbf30e3cc16a4a520129f1bdf63</x:v>
      </x:c>
      <x:c r="R188" s="545" t="str">
        <x:v>pure fraction, displayed as %</x:v>
      </x:c>
    </x:row>
    <x:row r="189" ht="80" customHeight="1">
      <x:c r="A189" s="542" t="str">
        <x:v>orcl:FixedRateSeniorNotesDueMay2033Member</x:v>
      </x:c>
      <x:c r="B189" s="543" t="n">
        <x:v>0.0535</x:v>
      </x:c>
      <x:c r="C189" s="544" t="str">
        <x:v>Stated fixed coupon</x:v>
      </x:c>
      <x:c r="D189" s="544"/>
      <x:c r="E189" s="544" t="d">
        <x:v>2026-05-31T00:00:00.000Z</x:v>
      </x:c>
      <x:c r="F189" s="544" t="str">
        <x:v>10-K</x:v>
      </x:c>
      <x:c r="G189" s="544" t="d">
        <x:v>2026-06-22T00:00:00.000Z</x:v>
      </x:c>
      <x:c r="H189" s="544" t="str">
        <x:v>0001193125-26-277521</x:v>
      </x:c>
      <x:c r="I189" s="544" t="str">
        <x:v>us-gaap:DebtInstrumentInterestRateStatedPercentage</x:v>
      </x:c>
      <x:c r="J189" s="544" t="str">
        <x:v>C_b9924291-37c4-4597-bf81-6b6f7148423e</x:v>
      </x:c>
      <x:c r="K189" s="544" t="str">
        <x:v>-2</x:v>
      </x:c>
      <x:c r="L189" s="544" t="str">
        <x:v>INF</x:v>
      </x:c>
      <x:c r="M189" s="544" t="str">
        <x:v>https://www.sec.gov/Archives/edgar/data/1341439/000119312526277521/orcl-20260531.htm</x:v>
      </x:c>
      <x:c r="N189" s="544" t="str">
        <x:v>10-K Note 6, pp. 83–84</x:v>
      </x:c>
      <x:c r="O189" s="544" t="str">
        <x:v>Unit pure; stated coupon as fraction. Exact instrument dimension; agreeing duplicates.</x:v>
      </x:c>
      <x:c r="P189" s="544" t="str">
        <x:v>us-gaap:DebtInstrumentAxis = orcl:FixedRateSeniorNotesDueMay2033Member</x:v>
      </x:c>
      <x:c r="Q189" s="544" t="str">
        <x:v>61a353e222f961e516bb3e8eed024a5245cfadbf30e3cc16a4a520129f1bdf63</x:v>
      </x:c>
      <x:c r="R189" s="545" t="str">
        <x:v>pure fraction, displayed as %</x:v>
      </x:c>
    </x:row>
    <x:row r="190" ht="80" customHeight="1">
      <x:c r="A190" s="542" t="str">
        <x:v>orcl:FixedRateSeniorNotesDueJuly2034Member</x:v>
      </x:c>
      <x:c r="B190" s="543" t="n">
        <x:v>0.043</x:v>
      </x:c>
      <x:c r="C190" s="544" t="str">
        <x:v>Stated fixed coupon</x:v>
      </x:c>
      <x:c r="D190" s="544"/>
      <x:c r="E190" s="544" t="d">
        <x:v>2026-05-31T00:00:00.000Z</x:v>
      </x:c>
      <x:c r="F190" s="544" t="str">
        <x:v>10-K</x:v>
      </x:c>
      <x:c r="G190" s="544" t="d">
        <x:v>2026-06-22T00:00:00.000Z</x:v>
      </x:c>
      <x:c r="H190" s="544" t="str">
        <x:v>0001193125-26-277521</x:v>
      </x:c>
      <x:c r="I190" s="544" t="str">
        <x:v>us-gaap:DebtInstrumentInterestRateStatedPercentage</x:v>
      </x:c>
      <x:c r="J190" s="544" t="str">
        <x:v>C_f735565f-4060-4ea6-9a9b-a17b4d097aca</x:v>
      </x:c>
      <x:c r="K190" s="544" t="str">
        <x:v>-2</x:v>
      </x:c>
      <x:c r="L190" s="544" t="str">
        <x:v>INF</x:v>
      </x:c>
      <x:c r="M190" s="544" t="str">
        <x:v>https://www.sec.gov/Archives/edgar/data/1341439/000119312526277521/orcl-20260531.htm</x:v>
      </x:c>
      <x:c r="N190" s="544" t="str">
        <x:v>10-K Note 6, pp. 83–84</x:v>
      </x:c>
      <x:c r="O190" s="544" t="str">
        <x:v>Unit pure; stated coupon as fraction. Exact instrument dimension; agreeing duplicates.</x:v>
      </x:c>
      <x:c r="P190" s="544" t="str">
        <x:v>us-gaap:DebtInstrumentAxis = orcl:FixedRateSeniorNotesDueJuly2034Member</x:v>
      </x:c>
      <x:c r="Q190" s="544" t="str">
        <x:v>61a353e222f961e516bb3e8eed024a5245cfadbf30e3cc16a4a520129f1bdf63</x:v>
      </x:c>
      <x:c r="R190" s="545" t="str">
        <x:v>pure fraction, displayed as %</x:v>
      </x:c>
    </x:row>
    <x:row r="191" ht="80" customHeight="1">
      <x:c r="A191" s="542" t="str">
        <x:v>orcl:Fixed-RateSeniorNotesDueSeptember2034Member</x:v>
      </x:c>
      <x:c r="B191" s="543" t="n">
        <x:v>0.047</x:v>
      </x:c>
      <x:c r="C191" s="544" t="str">
        <x:v>Stated fixed coupon</x:v>
      </x:c>
      <x:c r="D191" s="544"/>
      <x:c r="E191" s="544" t="d">
        <x:v>2026-05-31T00:00:00.000Z</x:v>
      </x:c>
      <x:c r="F191" s="544" t="str">
        <x:v>10-K</x:v>
      </x:c>
      <x:c r="G191" s="544" t="d">
        <x:v>2026-06-22T00:00:00.000Z</x:v>
      </x:c>
      <x:c r="H191" s="544" t="str">
        <x:v>0001193125-26-277521</x:v>
      </x:c>
      <x:c r="I191" s="544" t="str">
        <x:v>us-gaap:DebtInstrumentInterestRateStatedPercentage</x:v>
      </x:c>
      <x:c r="J191" s="544" t="str">
        <x:v>C_15416320-28ee-45bd-9193-de9adecf8103</x:v>
      </x:c>
      <x:c r="K191" s="544" t="str">
        <x:v>-2</x:v>
      </x:c>
      <x:c r="L191" s="544" t="str">
        <x:v>INF</x:v>
      </x:c>
      <x:c r="M191" s="544" t="str">
        <x:v>https://www.sec.gov/Archives/edgar/data/1341439/000119312526277521/orcl-20260531.htm</x:v>
      </x:c>
      <x:c r="N191" s="544" t="str">
        <x:v>10-K Note 6, pp. 83–84</x:v>
      </x:c>
      <x:c r="O191" s="544" t="str">
        <x:v>Unit pure; stated coupon as fraction. Exact instrument dimension; agreeing duplicates.</x:v>
      </x:c>
      <x:c r="P191" s="544" t="str">
        <x:v>us-gaap:DebtInstrumentAxis = orcl:Fixed-RateSeniorNotesDueSeptember2034Member</x:v>
      </x:c>
      <x:c r="Q191" s="544" t="str">
        <x:v>61a353e222f961e516bb3e8eed024a5245cfadbf30e3cc16a4a520129f1bdf63</x:v>
      </x:c>
      <x:c r="R191" s="545" t="str">
        <x:v>pure fraction, displayed as %</x:v>
      </x:c>
    </x:row>
    <x:row r="192" ht="80" customHeight="1">
      <x:c r="A192" s="542" t="str">
        <x:v>orcl:FixedRateSeniorNotesDueMay2035Member</x:v>
      </x:c>
      <x:c r="B192" s="543" t="n">
        <x:v>0.039</x:v>
      </x:c>
      <x:c r="C192" s="544" t="str">
        <x:v>Stated fixed coupon</x:v>
      </x:c>
      <x:c r="D192" s="544"/>
      <x:c r="E192" s="544" t="d">
        <x:v>2026-05-31T00:00:00.000Z</x:v>
      </x:c>
      <x:c r="F192" s="544" t="str">
        <x:v>10-K</x:v>
      </x:c>
      <x:c r="G192" s="544" t="d">
        <x:v>2026-06-22T00:00:00.000Z</x:v>
      </x:c>
      <x:c r="H192" s="544" t="str">
        <x:v>0001193125-26-277521</x:v>
      </x:c>
      <x:c r="I192" s="544" t="str">
        <x:v>us-gaap:DebtInstrumentInterestRateStatedPercentage</x:v>
      </x:c>
      <x:c r="J192" s="544" t="str">
        <x:v>C_01f50072-c7e6-47ea-9b91-24a078772c62</x:v>
      </x:c>
      <x:c r="K192" s="544" t="str">
        <x:v>-2</x:v>
      </x:c>
      <x:c r="L192" s="544" t="str">
        <x:v>INF</x:v>
      </x:c>
      <x:c r="M192" s="544" t="str">
        <x:v>https://www.sec.gov/Archives/edgar/data/1341439/000119312526277521/orcl-20260531.htm</x:v>
      </x:c>
      <x:c r="N192" s="544" t="str">
        <x:v>10-K Note 6, pp. 83–84</x:v>
      </x:c>
      <x:c r="O192" s="544" t="str">
        <x:v>Unit pure; stated coupon as fraction. Exact instrument dimension; agreeing duplicates.</x:v>
      </x:c>
      <x:c r="P192" s="544" t="str">
        <x:v>us-gaap:DebtInstrumentAxis = orcl:FixedRateSeniorNotesDueMay2035Member</x:v>
      </x:c>
      <x:c r="Q192" s="544" t="str">
        <x:v>61a353e222f961e516bb3e8eed024a5245cfadbf30e3cc16a4a520129f1bdf63</x:v>
      </x:c>
      <x:c r="R192" s="545" t="str">
        <x:v>pure fraction, displayed as %</x:v>
      </x:c>
    </x:row>
    <x:row r="193" ht="80" customHeight="1">
      <x:c r="A193" s="542" t="str">
        <x:v>orcl:Fixed-RateSeniorNotesDueAugust2035Member</x:v>
      </x:c>
      <x:c r="B193" s="543" t="n">
        <x:v>0.055</x:v>
      </x:c>
      <x:c r="C193" s="544" t="str">
        <x:v>Stated fixed coupon</x:v>
      </x:c>
      <x:c r="D193" s="544"/>
      <x:c r="E193" s="544" t="d">
        <x:v>2026-05-31T00:00:00.000Z</x:v>
      </x:c>
      <x:c r="F193" s="544" t="str">
        <x:v>10-K</x:v>
      </x:c>
      <x:c r="G193" s="544" t="d">
        <x:v>2026-06-22T00:00:00.000Z</x:v>
      </x:c>
      <x:c r="H193" s="544" t="str">
        <x:v>0001193125-26-277521</x:v>
      </x:c>
      <x:c r="I193" s="544" t="str">
        <x:v>us-gaap:DebtInstrumentInterestRateStatedPercentage</x:v>
      </x:c>
      <x:c r="J193" s="544" t="str">
        <x:v>C_aac57422-340d-4fbf-b85b-5fcc96306c34</x:v>
      </x:c>
      <x:c r="K193" s="544" t="str">
        <x:v>-2</x:v>
      </x:c>
      <x:c r="L193" s="544" t="str">
        <x:v>INF</x:v>
      </x:c>
      <x:c r="M193" s="544" t="str">
        <x:v>https://www.sec.gov/Archives/edgar/data/1341439/000119312526277521/orcl-20260531.htm</x:v>
      </x:c>
      <x:c r="N193" s="544" t="str">
        <x:v>10-K Note 6, pp. 83–84</x:v>
      </x:c>
      <x:c r="O193" s="544" t="str">
        <x:v>Unit pure; stated coupon as fraction. Exact instrument dimension; agreeing duplicates.</x:v>
      </x:c>
      <x:c r="P193" s="544" t="str">
        <x:v>us-gaap:DebtInstrumentAxis = orcl:Fixed-RateSeniorNotesDueAugust2035Member</x:v>
      </x:c>
      <x:c r="Q193" s="544" t="str">
        <x:v>61a353e222f961e516bb3e8eed024a5245cfadbf30e3cc16a4a520129f1bdf63</x:v>
      </x:c>
      <x:c r="R193" s="545" t="str">
        <x:v>pure fraction, displayed as %</x:v>
      </x:c>
    </x:row>
    <x:row r="194" ht="80" customHeight="1">
      <x:c r="A194" s="542" t="str">
        <x:v>orcl:Fixed-RateSeniorNotesDueSeptember2035Member</x:v>
      </x:c>
      <x:c r="B194" s="543" t="n">
        <x:v>0.052</x:v>
      </x:c>
      <x:c r="C194" s="544" t="str">
        <x:v>Stated fixed coupon</x:v>
      </x:c>
      <x:c r="D194" s="544"/>
      <x:c r="E194" s="544" t="d">
        <x:v>2026-05-31T00:00:00.000Z</x:v>
      </x:c>
      <x:c r="F194" s="544" t="str">
        <x:v>10-K</x:v>
      </x:c>
      <x:c r="G194" s="544" t="d">
        <x:v>2026-06-22T00:00:00.000Z</x:v>
      </x:c>
      <x:c r="H194" s="544" t="str">
        <x:v>0001193125-26-277521</x:v>
      </x:c>
      <x:c r="I194" s="544" t="str">
        <x:v>us-gaap:DebtInstrumentInterestRateStatedPercentage</x:v>
      </x:c>
      <x:c r="J194" s="544" t="str">
        <x:v>C_573df544-be68-4729-878f-dc0c4d603869</x:v>
      </x:c>
      <x:c r="K194" s="544" t="str">
        <x:v>-2</x:v>
      </x:c>
      <x:c r="L194" s="544" t="str">
        <x:v>INF</x:v>
      </x:c>
      <x:c r="M194" s="544" t="str">
        <x:v>https://www.sec.gov/Archives/edgar/data/1341439/000119312526277521/orcl-20260531.htm</x:v>
      </x:c>
      <x:c r="N194" s="544" t="str">
        <x:v>10-K Note 6, pp. 83–84</x:v>
      </x:c>
      <x:c r="O194" s="544" t="str">
        <x:v>Unit pure; stated coupon as fraction. Exact instrument dimension; agreeing duplicates.</x:v>
      </x:c>
      <x:c r="P194" s="544" t="str">
        <x:v>us-gaap:DebtInstrumentAxis = orcl:Fixed-RateSeniorNotesDueSeptember2035Member</x:v>
      </x:c>
      <x:c r="Q194" s="544" t="str">
        <x:v>61a353e222f961e516bb3e8eed024a5245cfadbf30e3cc16a4a520129f1bdf63</x:v>
      </x:c>
      <x:c r="R194" s="545" t="str">
        <x:v>pure fraction, displayed as %</x:v>
      </x:c>
    </x:row>
    <x:row r="195" ht="80" customHeight="1">
      <x:c r="A195" s="542" t="str">
        <x:v>orcl:FixedRateSeniorNotesDueFebruary2036Member</x:v>
      </x:c>
      <x:c r="B195" s="543" t="n">
        <x:v>0.057</x:v>
      </x:c>
      <x:c r="C195" s="544" t="str">
        <x:v>Stated fixed coupon</x:v>
      </x:c>
      <x:c r="D195" s="544"/>
      <x:c r="E195" s="544" t="d">
        <x:v>2026-05-31T00:00:00.000Z</x:v>
      </x:c>
      <x:c r="F195" s="544" t="str">
        <x:v>10-K</x:v>
      </x:c>
      <x:c r="G195" s="544" t="d">
        <x:v>2026-06-22T00:00:00.000Z</x:v>
      </x:c>
      <x:c r="H195" s="544" t="str">
        <x:v>0001193125-26-277521</x:v>
      </x:c>
      <x:c r="I195" s="544" t="str">
        <x:v>us-gaap:DebtInstrumentInterestRateStatedPercentage</x:v>
      </x:c>
      <x:c r="J195" s="544" t="str">
        <x:v>C_eb11f4ee-c98c-405c-9c32-8f9b81fee1fa</x:v>
      </x:c>
      <x:c r="K195" s="544" t="str">
        <x:v>-2</x:v>
      </x:c>
      <x:c r="L195" s="544" t="str">
        <x:v>INF</x:v>
      </x:c>
      <x:c r="M195" s="544" t="str">
        <x:v>https://www.sec.gov/Archives/edgar/data/1341439/000119312526277521/orcl-20260531.htm</x:v>
      </x:c>
      <x:c r="N195" s="544" t="str">
        <x:v>10-K Note 6, pp. 83–84</x:v>
      </x:c>
      <x:c r="O195" s="544" t="str">
        <x:v>Unit pure; stated coupon as fraction. Exact instrument dimension; agreeing duplicates.</x:v>
      </x:c>
      <x:c r="P195" s="544" t="str">
        <x:v>us-gaap:DebtInstrumentAxis = orcl:FixedRateSeniorNotesDueFebruary2036Member</x:v>
      </x:c>
      <x:c r="Q195" s="544" t="str">
        <x:v>61a353e222f961e516bb3e8eed024a5245cfadbf30e3cc16a4a520129f1bdf63</x:v>
      </x:c>
      <x:c r="R195" s="545" t="str">
        <x:v>pure fraction, displayed as %</x:v>
      </x:c>
    </x:row>
    <x:row r="196" ht="80" customHeight="1">
      <x:c r="A196" s="542" t="str">
        <x:v>orcl:FixedRateSeniorNotesDueJuly2036Member</x:v>
      </x:c>
      <x:c r="B196" s="543" t="n">
        <x:v>0.0385</x:v>
      </x:c>
      <x:c r="C196" s="544" t="str">
        <x:v>Stated fixed coupon</x:v>
      </x:c>
      <x:c r="D196" s="544"/>
      <x:c r="E196" s="544" t="d">
        <x:v>2026-05-31T00:00:00.000Z</x:v>
      </x:c>
      <x:c r="F196" s="544" t="str">
        <x:v>10-K</x:v>
      </x:c>
      <x:c r="G196" s="544" t="d">
        <x:v>2026-06-22T00:00:00.000Z</x:v>
      </x:c>
      <x:c r="H196" s="544" t="str">
        <x:v>0001193125-26-277521</x:v>
      </x:c>
      <x:c r="I196" s="544" t="str">
        <x:v>us-gaap:DebtInstrumentInterestRateStatedPercentage</x:v>
      </x:c>
      <x:c r="J196" s="544" t="str">
        <x:v>C_72fff26c-c6a0-4942-9b20-5d70cc2c444c</x:v>
      </x:c>
      <x:c r="K196" s="544" t="str">
        <x:v>-2</x:v>
      </x:c>
      <x:c r="L196" s="544" t="str">
        <x:v>INF</x:v>
      </x:c>
      <x:c r="M196" s="544" t="str">
        <x:v>https://www.sec.gov/Archives/edgar/data/1341439/000119312526277521/orcl-20260531.htm</x:v>
      </x:c>
      <x:c r="N196" s="544" t="str">
        <x:v>10-K Note 6, pp. 83–84</x:v>
      </x:c>
      <x:c r="O196" s="544" t="str">
        <x:v>Unit pure; stated coupon as fraction. Exact instrument dimension; agreeing duplicates.</x:v>
      </x:c>
      <x:c r="P196" s="544" t="str">
        <x:v>us-gaap:DebtInstrumentAxis = orcl:FixedRateSeniorNotesDueJuly2036Member</x:v>
      </x:c>
      <x:c r="Q196" s="544" t="str">
        <x:v>61a353e222f961e516bb3e8eed024a5245cfadbf30e3cc16a4a520129f1bdf63</x:v>
      </x:c>
      <x:c r="R196" s="545" t="str">
        <x:v>pure fraction, displayed as %</x:v>
      </x:c>
    </x:row>
    <x:row r="197" ht="80" customHeight="1">
      <x:c r="A197" s="542" t="str">
        <x:v>orcl:FixedRateSeniorNotesDueNovember2037Member</x:v>
      </x:c>
      <x:c r="B197" s="543" t="n">
        <x:v>0.038</x:v>
      </x:c>
      <x:c r="C197" s="544" t="str">
        <x:v>Stated fixed coupon</x:v>
      </x:c>
      <x:c r="D197" s="544"/>
      <x:c r="E197" s="544" t="d">
        <x:v>2026-05-31T00:00:00.000Z</x:v>
      </x:c>
      <x:c r="F197" s="544" t="str">
        <x:v>10-K</x:v>
      </x:c>
      <x:c r="G197" s="544" t="d">
        <x:v>2026-06-22T00:00:00.000Z</x:v>
      </x:c>
      <x:c r="H197" s="544" t="str">
        <x:v>0001193125-26-277521</x:v>
      </x:c>
      <x:c r="I197" s="544" t="str">
        <x:v>us-gaap:DebtInstrumentInterestRateStatedPercentage</x:v>
      </x:c>
      <x:c r="J197" s="544" t="str">
        <x:v>C_7f258c62-3faa-4ff0-8ea7-70a73c3c6b74</x:v>
      </x:c>
      <x:c r="K197" s="544" t="str">
        <x:v>-2</x:v>
      </x:c>
      <x:c r="L197" s="544" t="str">
        <x:v>INF</x:v>
      </x:c>
      <x:c r="M197" s="544" t="str">
        <x:v>https://www.sec.gov/Archives/edgar/data/1341439/000119312526277521/orcl-20260531.htm</x:v>
      </x:c>
      <x:c r="N197" s="544" t="str">
        <x:v>10-K Note 6, pp. 83–84</x:v>
      </x:c>
      <x:c r="O197" s="544" t="str">
        <x:v>Unit pure; stated coupon as fraction. Exact instrument dimension; agreeing duplicates.</x:v>
      </x:c>
      <x:c r="P197" s="544" t="str">
        <x:v>us-gaap:DebtInstrumentAxis = orcl:FixedRateSeniorNotesDueNovember2037Member</x:v>
      </x:c>
      <x:c r="Q197" s="544" t="str">
        <x:v>61a353e222f961e516bb3e8eed024a5245cfadbf30e3cc16a4a520129f1bdf63</x:v>
      </x:c>
      <x:c r="R197" s="545" t="str">
        <x:v>pure fraction, displayed as %</x:v>
      </x:c>
    </x:row>
    <x:row r="198" ht="80" customHeight="1">
      <x:c r="A198" s="542" t="str">
        <x:v>orcl:FixedRateSeniorNotesDueApril2038Member</x:v>
      </x:c>
      <x:c r="B198" s="543" t="n">
        <x:v>0.065</x:v>
      </x:c>
      <x:c r="C198" s="544" t="str">
        <x:v>Stated fixed coupon</x:v>
      </x:c>
      <x:c r="D198" s="544"/>
      <x:c r="E198" s="544" t="d">
        <x:v>2026-05-31T00:00:00.000Z</x:v>
      </x:c>
      <x:c r="F198" s="544" t="str">
        <x:v>10-K</x:v>
      </x:c>
      <x:c r="G198" s="544" t="d">
        <x:v>2026-06-22T00:00:00.000Z</x:v>
      </x:c>
      <x:c r="H198" s="544" t="str">
        <x:v>0001193125-26-277521</x:v>
      </x:c>
      <x:c r="I198" s="544" t="str">
        <x:v>us-gaap:DebtInstrumentInterestRateStatedPercentage</x:v>
      </x:c>
      <x:c r="J198" s="544" t="str">
        <x:v>C_3f89c9fc-6e68-4cc6-83e1-9c86b63ce9de</x:v>
      </x:c>
      <x:c r="K198" s="544" t="str">
        <x:v>-2</x:v>
      </x:c>
      <x:c r="L198" s="544" t="str">
        <x:v>INF</x:v>
      </x:c>
      <x:c r="M198" s="544" t="str">
        <x:v>https://www.sec.gov/Archives/edgar/data/1341439/000119312526277521/orcl-20260531.htm</x:v>
      </x:c>
      <x:c r="N198" s="544" t="str">
        <x:v>10-K Note 6, pp. 83–84</x:v>
      </x:c>
      <x:c r="O198" s="544" t="str">
        <x:v>Unit pure; stated coupon as fraction. Exact instrument dimension; agreeing duplicates.</x:v>
      </x:c>
      <x:c r="P198" s="544" t="str">
        <x:v>us-gaap:DebtInstrumentAxis = orcl:FixedRateSeniorNotesDueApril2038Member</x:v>
      </x:c>
      <x:c r="Q198" s="544" t="str">
        <x:v>61a353e222f961e516bb3e8eed024a5245cfadbf30e3cc16a4a520129f1bdf63</x:v>
      </x:c>
      <x:c r="R198" s="545" t="str">
        <x:v>pure fraction, displayed as %</x:v>
      </x:c>
    </x:row>
    <x:row r="199" ht="80" customHeight="1">
      <x:c r="A199" s="542" t="str">
        <x:v>orcl:FixedRateSeniorNotesDueJuly2039Member</x:v>
      </x:c>
      <x:c r="B199" s="543" t="n">
        <x:v>0.06125</x:v>
      </x:c>
      <x:c r="C199" s="544" t="str">
        <x:v>Stated fixed coupon</x:v>
      </x:c>
      <x:c r="D199" s="544"/>
      <x:c r="E199" s="544" t="d">
        <x:v>2026-05-31T00:00:00.000Z</x:v>
      </x:c>
      <x:c r="F199" s="544" t="str">
        <x:v>10-K</x:v>
      </x:c>
      <x:c r="G199" s="544" t="d">
        <x:v>2026-06-22T00:00:00.000Z</x:v>
      </x:c>
      <x:c r="H199" s="544" t="str">
        <x:v>0001193125-26-277521</x:v>
      </x:c>
      <x:c r="I199" s="544" t="str">
        <x:v>us-gaap:DebtInstrumentInterestRateStatedPercentage</x:v>
      </x:c>
      <x:c r="J199" s="544" t="str">
        <x:v>C_ac987fd5-0ebc-4b0b-acd6-cb559c89ce69</x:v>
      </x:c>
      <x:c r="K199" s="544" t="str">
        <x:v>-2</x:v>
      </x:c>
      <x:c r="L199" s="544" t="str">
        <x:v>INF</x:v>
      </x:c>
      <x:c r="M199" s="544" t="str">
        <x:v>https://www.sec.gov/Archives/edgar/data/1341439/000119312526277521/orcl-20260531.htm</x:v>
      </x:c>
      <x:c r="N199" s="544" t="str">
        <x:v>10-K Note 6, pp. 83–84</x:v>
      </x:c>
      <x:c r="O199" s="544" t="str">
        <x:v>Unit pure; stated coupon as fraction. Exact instrument dimension; agreeing duplicates.</x:v>
      </x:c>
      <x:c r="P199" s="544" t="str">
        <x:v>us-gaap:DebtInstrumentAxis = orcl:FixedRateSeniorNotesDueJuly2039Member</x:v>
      </x:c>
      <x:c r="Q199" s="544" t="str">
        <x:v>61a353e222f961e516bb3e8eed024a5245cfadbf30e3cc16a4a520129f1bdf63</x:v>
      </x:c>
      <x:c r="R199" s="545" t="str">
        <x:v>pure fraction, displayed as %</x:v>
      </x:c>
    </x:row>
    <x:row r="200" ht="80" customHeight="1">
      <x:c r="A200" s="542" t="str">
        <x:v>orcl:FixedRateSeniorNotesDueApril2040Member</x:v>
      </x:c>
      <x:c r="B200" s="543" t="n">
        <x:v>0.036</x:v>
      </x:c>
      <x:c r="C200" s="544" t="str">
        <x:v>Stated fixed coupon</x:v>
      </x:c>
      <x:c r="D200" s="544"/>
      <x:c r="E200" s="544" t="d">
        <x:v>2026-05-31T00:00:00.000Z</x:v>
      </x:c>
      <x:c r="F200" s="544" t="str">
        <x:v>10-K</x:v>
      </x:c>
      <x:c r="G200" s="544" t="d">
        <x:v>2026-06-22T00:00:00.000Z</x:v>
      </x:c>
      <x:c r="H200" s="544" t="str">
        <x:v>0001193125-26-277521</x:v>
      </x:c>
      <x:c r="I200" s="544" t="str">
        <x:v>us-gaap:DebtInstrumentInterestRateStatedPercentage</x:v>
      </x:c>
      <x:c r="J200" s="544" t="str">
        <x:v>C_edacb177-150a-440a-8eab-3b1f65db82ab</x:v>
      </x:c>
      <x:c r="K200" s="544" t="str">
        <x:v>-2</x:v>
      </x:c>
      <x:c r="L200" s="544" t="str">
        <x:v>INF</x:v>
      </x:c>
      <x:c r="M200" s="544" t="str">
        <x:v>https://www.sec.gov/Archives/edgar/data/1341439/000119312526277521/orcl-20260531.htm</x:v>
      </x:c>
      <x:c r="N200" s="544" t="str">
        <x:v>10-K Note 6, pp. 83–84</x:v>
      </x:c>
      <x:c r="O200" s="544" t="str">
        <x:v>Unit pure; stated coupon as fraction. Exact instrument dimension; agreeing duplicates.</x:v>
      </x:c>
      <x:c r="P200" s="544" t="str">
        <x:v>us-gaap:DebtInstrumentAxis = orcl:FixedRateSeniorNotesDueApril2040Member</x:v>
      </x:c>
      <x:c r="Q200" s="544" t="str">
        <x:v>61a353e222f961e516bb3e8eed024a5245cfadbf30e3cc16a4a520129f1bdf63</x:v>
      </x:c>
      <x:c r="R200" s="545" t="str">
        <x:v>pure fraction, displayed as %</x:v>
      </x:c>
    </x:row>
    <x:row r="201" ht="80" customHeight="1">
      <x:c r="A201" s="542" t="str">
        <x:v>orcl:FixedRateSeniorNotesDueJuly2040Member</x:v>
      </x:c>
      <x:c r="B201" s="543" t="n">
        <x:v>0.05375</x:v>
      </x:c>
      <x:c r="C201" s="544" t="str">
        <x:v>Stated fixed coupon</x:v>
      </x:c>
      <x:c r="D201" s="544"/>
      <x:c r="E201" s="544" t="d">
        <x:v>2026-05-31T00:00:00.000Z</x:v>
      </x:c>
      <x:c r="F201" s="544" t="str">
        <x:v>10-K</x:v>
      </x:c>
      <x:c r="G201" s="544" t="d">
        <x:v>2026-06-22T00:00:00.000Z</x:v>
      </x:c>
      <x:c r="H201" s="544" t="str">
        <x:v>0001193125-26-277521</x:v>
      </x:c>
      <x:c r="I201" s="544" t="str">
        <x:v>us-gaap:DebtInstrumentInterestRateStatedPercentage</x:v>
      </x:c>
      <x:c r="J201" s="544" t="str">
        <x:v>C_ea9fb0e1-e7f4-43bd-9646-a319ee8e1fad</x:v>
      </x:c>
      <x:c r="K201" s="544" t="str">
        <x:v>-2</x:v>
      </x:c>
      <x:c r="L201" s="544" t="str">
        <x:v>INF</x:v>
      </x:c>
      <x:c r="M201" s="544" t="str">
        <x:v>https://www.sec.gov/Archives/edgar/data/1341439/000119312526277521/orcl-20260531.htm</x:v>
      </x:c>
      <x:c r="N201" s="544" t="str">
        <x:v>10-K Note 6, pp. 83–84</x:v>
      </x:c>
      <x:c r="O201" s="544" t="str">
        <x:v>Unit pure; stated coupon as fraction. Exact instrument dimension; agreeing duplicates.</x:v>
      </x:c>
      <x:c r="P201" s="544" t="str">
        <x:v>us-gaap:DebtInstrumentAxis = orcl:FixedRateSeniorNotesDueJuly2040Member</x:v>
      </x:c>
      <x:c r="Q201" s="544" t="str">
        <x:v>61a353e222f961e516bb3e8eed024a5245cfadbf30e3cc16a4a520129f1bdf63</x:v>
      </x:c>
      <x:c r="R201" s="545" t="str">
        <x:v>pure fraction, displayed as %</x:v>
      </x:c>
    </x:row>
    <x:row r="202" ht="80" customHeight="1">
      <x:c r="A202" s="542" t="str">
        <x:v>orcl:FixedRateSeniorNotesDueMarch2041Member</x:v>
      </x:c>
      <x:c r="B202" s="543" t="n">
        <x:v>0.0365</x:v>
      </x:c>
      <x:c r="C202" s="544" t="str">
        <x:v>Stated fixed coupon</x:v>
      </x:c>
      <x:c r="D202" s="544"/>
      <x:c r="E202" s="544" t="d">
        <x:v>2026-05-31T00:00:00.000Z</x:v>
      </x:c>
      <x:c r="F202" s="544" t="str">
        <x:v>10-K</x:v>
      </x:c>
      <x:c r="G202" s="544" t="d">
        <x:v>2026-06-22T00:00:00.000Z</x:v>
      </x:c>
      <x:c r="H202" s="544" t="str">
        <x:v>0001193125-26-277521</x:v>
      </x:c>
      <x:c r="I202" s="544" t="str">
        <x:v>us-gaap:DebtInstrumentInterestRateStatedPercentage</x:v>
      </x:c>
      <x:c r="J202" s="544" t="str">
        <x:v>C_0279d3a4-1e75-4ad5-847d-0aae45a2dc5a</x:v>
      </x:c>
      <x:c r="K202" s="544" t="str">
        <x:v>-2</x:v>
      </x:c>
      <x:c r="L202" s="544" t="str">
        <x:v>INF</x:v>
      </x:c>
      <x:c r="M202" s="544" t="str">
        <x:v>https://www.sec.gov/Archives/edgar/data/1341439/000119312526277521/orcl-20260531.htm</x:v>
      </x:c>
      <x:c r="N202" s="544" t="str">
        <x:v>10-K Note 6, pp. 83–84</x:v>
      </x:c>
      <x:c r="O202" s="544" t="str">
        <x:v>Unit pure; stated coupon as fraction. Exact instrument dimension; agreeing duplicates.</x:v>
      </x:c>
      <x:c r="P202" s="544" t="str">
        <x:v>us-gaap:DebtInstrumentAxis = orcl:FixedRateSeniorNotesDueMarch2041Member</x:v>
      </x:c>
      <x:c r="Q202" s="544" t="str">
        <x:v>61a353e222f961e516bb3e8eed024a5245cfadbf30e3cc16a4a520129f1bdf63</x:v>
      </x:c>
      <x:c r="R202" s="545" t="str">
        <x:v>pure fraction, displayed as %</x:v>
      </x:c>
    </x:row>
    <x:row r="203" ht="80" customHeight="1">
      <x:c r="A203" s="542" t="str">
        <x:v>orcl:FixedRateSeniorNotesDueJuly2044Member</x:v>
      </x:c>
      <x:c r="B203" s="543" t="n">
        <x:v>0.045</x:v>
      </x:c>
      <x:c r="C203" s="544" t="str">
        <x:v>Stated fixed coupon</x:v>
      </x:c>
      <x:c r="D203" s="544"/>
      <x:c r="E203" s="544" t="d">
        <x:v>2026-05-31T00:00:00.000Z</x:v>
      </x:c>
      <x:c r="F203" s="544" t="str">
        <x:v>10-K</x:v>
      </x:c>
      <x:c r="G203" s="544" t="d">
        <x:v>2026-06-22T00:00:00.000Z</x:v>
      </x:c>
      <x:c r="H203" s="544" t="str">
        <x:v>0001193125-26-277521</x:v>
      </x:c>
      <x:c r="I203" s="544" t="str">
        <x:v>us-gaap:DebtInstrumentInterestRateStatedPercentage</x:v>
      </x:c>
      <x:c r="J203" s="544" t="str">
        <x:v>C_fbf167a2-b1f8-4f0a-9421-2691f6ee52e0</x:v>
      </x:c>
      <x:c r="K203" s="544" t="str">
        <x:v>-2</x:v>
      </x:c>
      <x:c r="L203" s="544" t="str">
        <x:v>INF</x:v>
      </x:c>
      <x:c r="M203" s="544" t="str">
        <x:v>https://www.sec.gov/Archives/edgar/data/1341439/000119312526277521/orcl-20260531.htm</x:v>
      </x:c>
      <x:c r="N203" s="544" t="str">
        <x:v>10-K Note 6, pp. 83–84</x:v>
      </x:c>
      <x:c r="O203" s="544" t="str">
        <x:v>Unit pure; stated coupon as fraction. Exact instrument dimension; agreeing duplicates.</x:v>
      </x:c>
      <x:c r="P203" s="544" t="str">
        <x:v>us-gaap:DebtInstrumentAxis = orcl:FixedRateSeniorNotesDueJuly2044Member</x:v>
      </x:c>
      <x:c r="Q203" s="544" t="str">
        <x:v>61a353e222f961e516bb3e8eed024a5245cfadbf30e3cc16a4a520129f1bdf63</x:v>
      </x:c>
      <x:c r="R203" s="545" t="str">
        <x:v>pure fraction, displayed as %</x:v>
      </x:c>
    </x:row>
    <x:row r="204" ht="80" customHeight="1">
      <x:c r="A204" s="542" t="str">
        <x:v>orcl:FixedRateSeniorNotesDueMay2045Member</x:v>
      </x:c>
      <x:c r="B204" s="543" t="n">
        <x:v>0.04125</x:v>
      </x:c>
      <x:c r="C204" s="544" t="str">
        <x:v>Stated fixed coupon</x:v>
      </x:c>
      <x:c r="D204" s="544"/>
      <x:c r="E204" s="544" t="d">
        <x:v>2026-05-31T00:00:00.000Z</x:v>
      </x:c>
      <x:c r="F204" s="544" t="str">
        <x:v>10-K</x:v>
      </x:c>
      <x:c r="G204" s="544" t="d">
        <x:v>2026-06-22T00:00:00.000Z</x:v>
      </x:c>
      <x:c r="H204" s="544" t="str">
        <x:v>0001193125-26-277521</x:v>
      </x:c>
      <x:c r="I204" s="544" t="str">
        <x:v>us-gaap:DebtInstrumentInterestRateStatedPercentage</x:v>
      </x:c>
      <x:c r="J204" s="544" t="str">
        <x:v>C_659e0314-4b26-4b16-98b4-e72d8c61f734</x:v>
      </x:c>
      <x:c r="K204" s="544" t="str">
        <x:v>-2</x:v>
      </x:c>
      <x:c r="L204" s="544" t="str">
        <x:v>INF</x:v>
      </x:c>
      <x:c r="M204" s="544" t="str">
        <x:v>https://www.sec.gov/Archives/edgar/data/1341439/000119312526277521/orcl-20260531.htm</x:v>
      </x:c>
      <x:c r="N204" s="544" t="str">
        <x:v>10-K Note 6, pp. 83–84</x:v>
      </x:c>
      <x:c r="O204" s="544" t="str">
        <x:v>Unit pure; stated coupon as fraction. Exact instrument dimension; agreeing duplicates.</x:v>
      </x:c>
      <x:c r="P204" s="544" t="str">
        <x:v>us-gaap:DebtInstrumentAxis = orcl:FixedRateSeniorNotesDueMay2045Member</x:v>
      </x:c>
      <x:c r="Q204" s="544" t="str">
        <x:v>61a353e222f961e516bb3e8eed024a5245cfadbf30e3cc16a4a520129f1bdf63</x:v>
      </x:c>
      <x:c r="R204" s="545" t="str">
        <x:v>pure fraction, displayed as %</x:v>
      </x:c>
    </x:row>
    <x:row r="205" ht="80" customHeight="1">
      <x:c r="A205" s="542" t="str">
        <x:v>orcl:FixedRateSeniorNotesDueSeptember2045Member</x:v>
      </x:c>
      <x:c r="B205" s="543" t="n">
        <x:v>0.05875</x:v>
      </x:c>
      <x:c r="C205" s="544" t="str">
        <x:v>Stated fixed coupon</x:v>
      </x:c>
      <x:c r="D205" s="544"/>
      <x:c r="E205" s="544" t="d">
        <x:v>2026-05-31T00:00:00.000Z</x:v>
      </x:c>
      <x:c r="F205" s="544" t="str">
        <x:v>10-K</x:v>
      </x:c>
      <x:c r="G205" s="544" t="d">
        <x:v>2026-06-22T00:00:00.000Z</x:v>
      </x:c>
      <x:c r="H205" s="544" t="str">
        <x:v>0001193125-26-277521</x:v>
      </x:c>
      <x:c r="I205" s="544" t="str">
        <x:v>us-gaap:DebtInstrumentInterestRateStatedPercentage</x:v>
      </x:c>
      <x:c r="J205" s="544" t="str">
        <x:v>C_988fd38e-d5f3-4fa1-b1de-787d7b61a453</x:v>
      </x:c>
      <x:c r="K205" s="544" t="str">
        <x:v>-2</x:v>
      </x:c>
      <x:c r="L205" s="544" t="str">
        <x:v>INF</x:v>
      </x:c>
      <x:c r="M205" s="544" t="str">
        <x:v>https://www.sec.gov/Archives/edgar/data/1341439/000119312526277521/orcl-20260531.htm</x:v>
      </x:c>
      <x:c r="N205" s="544" t="str">
        <x:v>10-K Note 6, pp. 83–84</x:v>
      </x:c>
      <x:c r="O205" s="544" t="str">
        <x:v>Unit pure; stated coupon as fraction. Exact instrument dimension; agreeing duplicates.</x:v>
      </x:c>
      <x:c r="P205" s="544" t="str">
        <x:v>us-gaap:DebtInstrumentAxis = orcl:FixedRateSeniorNotesDueSeptember2045Member</x:v>
      </x:c>
      <x:c r="Q205" s="544" t="str">
        <x:v>61a353e222f961e516bb3e8eed024a5245cfadbf30e3cc16a4a520129f1bdf63</x:v>
      </x:c>
      <x:c r="R205" s="545" t="str">
        <x:v>pure fraction, displayed as %</x:v>
      </x:c>
    </x:row>
    <x:row r="206" ht="80" customHeight="1">
      <x:c r="A206" s="542" t="str">
        <x:v>orcl:FixedRateSeniorNotesDueFebruary2046Member</x:v>
      </x:c>
      <x:c r="B206" s="543" t="n">
        <x:v>0.0655</x:v>
      </x:c>
      <x:c r="C206" s="544" t="str">
        <x:v>Stated fixed coupon</x:v>
      </x:c>
      <x:c r="D206" s="544"/>
      <x:c r="E206" s="544" t="d">
        <x:v>2026-05-31T00:00:00.000Z</x:v>
      </x:c>
      <x:c r="F206" s="544" t="str">
        <x:v>10-K</x:v>
      </x:c>
      <x:c r="G206" s="544" t="d">
        <x:v>2026-06-22T00:00:00.000Z</x:v>
      </x:c>
      <x:c r="H206" s="544" t="str">
        <x:v>0001193125-26-277521</x:v>
      </x:c>
      <x:c r="I206" s="544" t="str">
        <x:v>us-gaap:DebtInstrumentInterestRateStatedPercentage</x:v>
      </x:c>
      <x:c r="J206" s="544" t="str">
        <x:v>C_eaaaba69-f386-49f6-9dbc-4f5720b4ffcc</x:v>
      </x:c>
      <x:c r="K206" s="544" t="str">
        <x:v>-2</x:v>
      </x:c>
      <x:c r="L206" s="544" t="str">
        <x:v>INF</x:v>
      </x:c>
      <x:c r="M206" s="544" t="str">
        <x:v>https://www.sec.gov/Archives/edgar/data/1341439/000119312526277521/orcl-20260531.htm</x:v>
      </x:c>
      <x:c r="N206" s="544" t="str">
        <x:v>10-K Note 6, pp. 83–84</x:v>
      </x:c>
      <x:c r="O206" s="544" t="str">
        <x:v>Unit pure; stated coupon as fraction. Exact instrument dimension; agreeing duplicates.</x:v>
      </x:c>
      <x:c r="P206" s="544" t="str">
        <x:v>us-gaap:DebtInstrumentAxis = orcl:FixedRateSeniorNotesDueFebruary2046Member</x:v>
      </x:c>
      <x:c r="Q206" s="544" t="str">
        <x:v>61a353e222f961e516bb3e8eed024a5245cfadbf30e3cc16a4a520129f1bdf63</x:v>
      </x:c>
      <x:c r="R206" s="545" t="str">
        <x:v>pure fraction, displayed as %</x:v>
      </x:c>
    </x:row>
    <x:row r="207" ht="80" customHeight="1">
      <x:c r="A207" s="542" t="str">
        <x:v>orcl:FixedRateSeniorNotesDueJuly2046Member</x:v>
      </x:c>
      <x:c r="B207" s="543" t="n">
        <x:v>0.04</x:v>
      </x:c>
      <x:c r="C207" s="544" t="str">
        <x:v>Stated fixed coupon</x:v>
      </x:c>
      <x:c r="D207" s="544"/>
      <x:c r="E207" s="544" t="d">
        <x:v>2026-05-31T00:00:00.000Z</x:v>
      </x:c>
      <x:c r="F207" s="544" t="str">
        <x:v>10-K</x:v>
      </x:c>
      <x:c r="G207" s="544" t="d">
        <x:v>2026-06-22T00:00:00.000Z</x:v>
      </x:c>
      <x:c r="H207" s="544" t="str">
        <x:v>0001193125-26-277521</x:v>
      </x:c>
      <x:c r="I207" s="544" t="str">
        <x:v>us-gaap:DebtInstrumentInterestRateStatedPercentage</x:v>
      </x:c>
      <x:c r="J207" s="544" t="str">
        <x:v>C_01a106fb-d1a5-45eb-aea5-1d2c1f806db3</x:v>
      </x:c>
      <x:c r="K207" s="544" t="str">
        <x:v>-2</x:v>
      </x:c>
      <x:c r="L207" s="544" t="str">
        <x:v>INF</x:v>
      </x:c>
      <x:c r="M207" s="544" t="str">
        <x:v>https://www.sec.gov/Archives/edgar/data/1341439/000119312526277521/orcl-20260531.htm</x:v>
      </x:c>
      <x:c r="N207" s="544" t="str">
        <x:v>10-K Note 6, pp. 83–84</x:v>
      </x:c>
      <x:c r="O207" s="544" t="str">
        <x:v>Unit pure; stated coupon as fraction. Exact instrument dimension; agreeing duplicates.</x:v>
      </x:c>
      <x:c r="P207" s="544" t="str">
        <x:v>us-gaap:DebtInstrumentAxis = orcl:FixedRateSeniorNotesDueJuly2046Member</x:v>
      </x:c>
      <x:c r="Q207" s="544" t="str">
        <x:v>61a353e222f961e516bb3e8eed024a5245cfadbf30e3cc16a4a520129f1bdf63</x:v>
      </x:c>
      <x:c r="R207" s="545" t="str">
        <x:v>pure fraction, displayed as %</x:v>
      </x:c>
    </x:row>
    <x:row r="208" ht="80" customHeight="1">
      <x:c r="A208" s="542" t="str">
        <x:v>orcl:FixedRateSeniorNotesDueNovember2047Member</x:v>
      </x:c>
      <x:c r="B208" s="543" t="n">
        <x:v>0.04</x:v>
      </x:c>
      <x:c r="C208" s="544" t="str">
        <x:v>Stated fixed coupon</x:v>
      </x:c>
      <x:c r="D208" s="544"/>
      <x:c r="E208" s="544" t="d">
        <x:v>2026-05-31T00:00:00.000Z</x:v>
      </x:c>
      <x:c r="F208" s="544" t="str">
        <x:v>10-K</x:v>
      </x:c>
      <x:c r="G208" s="544" t="d">
        <x:v>2026-06-22T00:00:00.000Z</x:v>
      </x:c>
      <x:c r="H208" s="544" t="str">
        <x:v>0001193125-26-277521</x:v>
      </x:c>
      <x:c r="I208" s="544" t="str">
        <x:v>us-gaap:DebtInstrumentInterestRateStatedPercentage</x:v>
      </x:c>
      <x:c r="J208" s="544" t="str">
        <x:v>C_c028290f-556a-41ee-891d-a0580570969c</x:v>
      </x:c>
      <x:c r="K208" s="544" t="str">
        <x:v>-2</x:v>
      </x:c>
      <x:c r="L208" s="544" t="str">
        <x:v>INF</x:v>
      </x:c>
      <x:c r="M208" s="544" t="str">
        <x:v>https://www.sec.gov/Archives/edgar/data/1341439/000119312526277521/orcl-20260531.htm</x:v>
      </x:c>
      <x:c r="N208" s="544" t="str">
        <x:v>10-K Note 6, pp. 83–84</x:v>
      </x:c>
      <x:c r="O208" s="544" t="str">
        <x:v>Unit pure; stated coupon as fraction. Exact instrument dimension; agreeing duplicates.</x:v>
      </x:c>
      <x:c r="P208" s="544" t="str">
        <x:v>us-gaap:DebtInstrumentAxis = orcl:FixedRateSeniorNotesDueNovember2047Member</x:v>
      </x:c>
      <x:c r="Q208" s="544" t="str">
        <x:v>61a353e222f961e516bb3e8eed024a5245cfadbf30e3cc16a4a520129f1bdf63</x:v>
      </x:c>
      <x:c r="R208" s="545" t="str">
        <x:v>pure fraction, displayed as %</x:v>
      </x:c>
    </x:row>
    <x:row r="209" ht="80" customHeight="1">
      <x:c r="A209" s="542" t="str">
        <x:v>orcl:FixedRateSeniorNotesDueApril2050Member</x:v>
      </x:c>
      <x:c r="B209" s="543" t="n">
        <x:v>0.036</x:v>
      </x:c>
      <x:c r="C209" s="544" t="str">
        <x:v>Stated fixed coupon</x:v>
      </x:c>
      <x:c r="D209" s="544"/>
      <x:c r="E209" s="544" t="d">
        <x:v>2026-05-31T00:00:00.000Z</x:v>
      </x:c>
      <x:c r="F209" s="544" t="str">
        <x:v>10-K</x:v>
      </x:c>
      <x:c r="G209" s="544" t="d">
        <x:v>2026-06-22T00:00:00.000Z</x:v>
      </x:c>
      <x:c r="H209" s="544" t="str">
        <x:v>0001193125-26-277521</x:v>
      </x:c>
      <x:c r="I209" s="544" t="str">
        <x:v>us-gaap:DebtInstrumentInterestRateStatedPercentage</x:v>
      </x:c>
      <x:c r="J209" s="544" t="str">
        <x:v>C_93d974de-69a0-4d66-8685-9c10b38c70e4</x:v>
      </x:c>
      <x:c r="K209" s="544" t="str">
        <x:v>-2</x:v>
      </x:c>
      <x:c r="L209" s="544" t="str">
        <x:v>INF</x:v>
      </x:c>
      <x:c r="M209" s="544" t="str">
        <x:v>https://www.sec.gov/Archives/edgar/data/1341439/000119312526277521/orcl-20260531.htm</x:v>
      </x:c>
      <x:c r="N209" s="544" t="str">
        <x:v>10-K Note 6, pp. 83–84</x:v>
      </x:c>
      <x:c r="O209" s="544" t="str">
        <x:v>Unit pure; stated coupon as fraction. Exact instrument dimension; agreeing duplicates.</x:v>
      </x:c>
      <x:c r="P209" s="544" t="str">
        <x:v>us-gaap:DebtInstrumentAxis = orcl:FixedRateSeniorNotesDueApril2050Member</x:v>
      </x:c>
      <x:c r="Q209" s="544" t="str">
        <x:v>61a353e222f961e516bb3e8eed024a5245cfadbf30e3cc16a4a520129f1bdf63</x:v>
      </x:c>
      <x:c r="R209" s="545" t="str">
        <x:v>pure fraction, displayed as %</x:v>
      </x:c>
    </x:row>
    <x:row r="210" ht="80" customHeight="1">
      <x:c r="A210" s="542" t="str">
        <x:v>orcl:FixedRateSeniorNotesDueMarch2051Member</x:v>
      </x:c>
      <x:c r="B210" s="543" t="n">
        <x:v>0.0395</x:v>
      </x:c>
      <x:c r="C210" s="544" t="str">
        <x:v>Stated fixed coupon</x:v>
      </x:c>
      <x:c r="D210" s="544"/>
      <x:c r="E210" s="544" t="d">
        <x:v>2026-05-31T00:00:00.000Z</x:v>
      </x:c>
      <x:c r="F210" s="544" t="str">
        <x:v>10-K</x:v>
      </x:c>
      <x:c r="G210" s="544" t="d">
        <x:v>2026-06-22T00:00:00.000Z</x:v>
      </x:c>
      <x:c r="H210" s="544" t="str">
        <x:v>0001193125-26-277521</x:v>
      </x:c>
      <x:c r="I210" s="544" t="str">
        <x:v>us-gaap:DebtInstrumentInterestRateStatedPercentage</x:v>
      </x:c>
      <x:c r="J210" s="544" t="str">
        <x:v>C_78c45de9-3a45-4a24-9a9d-682f75245066</x:v>
      </x:c>
      <x:c r="K210" s="544" t="str">
        <x:v>-2</x:v>
      </x:c>
      <x:c r="L210" s="544" t="str">
        <x:v>INF</x:v>
      </x:c>
      <x:c r="M210" s="544" t="str">
        <x:v>https://www.sec.gov/Archives/edgar/data/1341439/000119312526277521/orcl-20260531.htm</x:v>
      </x:c>
      <x:c r="N210" s="544" t="str">
        <x:v>10-K Note 6, pp. 83–84</x:v>
      </x:c>
      <x:c r="O210" s="544" t="str">
        <x:v>Unit pure; stated coupon as fraction. Exact instrument dimension; agreeing duplicates.</x:v>
      </x:c>
      <x:c r="P210" s="544" t="str">
        <x:v>us-gaap:DebtInstrumentAxis = orcl:FixedRateSeniorNotesDueMarch2051Member</x:v>
      </x:c>
      <x:c r="Q210" s="544" t="str">
        <x:v>61a353e222f961e516bb3e8eed024a5245cfadbf30e3cc16a4a520129f1bdf63</x:v>
      </x:c>
      <x:c r="R210" s="545" t="str">
        <x:v>pure fraction, displayed as %</x:v>
      </x:c>
    </x:row>
    <x:row r="211" ht="80" customHeight="1">
      <x:c r="A211" s="542" t="str">
        <x:v>orcl:FixedRateSeniorNotesDueNovember2052Member</x:v>
      </x:c>
      <x:c r="B211" s="543" t="n">
        <x:v>0.069</x:v>
      </x:c>
      <x:c r="C211" s="544" t="str">
        <x:v>Stated fixed coupon</x:v>
      </x:c>
      <x:c r="D211" s="544"/>
      <x:c r="E211" s="544" t="d">
        <x:v>2026-05-31T00:00:00.000Z</x:v>
      </x:c>
      <x:c r="F211" s="544" t="str">
        <x:v>10-K</x:v>
      </x:c>
      <x:c r="G211" s="544" t="d">
        <x:v>2026-06-22T00:00:00.000Z</x:v>
      </x:c>
      <x:c r="H211" s="544" t="str">
        <x:v>0001193125-26-277521</x:v>
      </x:c>
      <x:c r="I211" s="544" t="str">
        <x:v>us-gaap:DebtInstrumentInterestRateStatedPercentage</x:v>
      </x:c>
      <x:c r="J211" s="544" t="str">
        <x:v>C_1c2c1ccf-88f9-44b3-bbba-88d5b66222e1</x:v>
      </x:c>
      <x:c r="K211" s="544" t="str">
        <x:v>-2</x:v>
      </x:c>
      <x:c r="L211" s="544" t="str">
        <x:v>INF</x:v>
      </x:c>
      <x:c r="M211" s="544" t="str">
        <x:v>https://www.sec.gov/Archives/edgar/data/1341439/000119312526277521/orcl-20260531.htm</x:v>
      </x:c>
      <x:c r="N211" s="544" t="str">
        <x:v>10-K Note 6, pp. 83–84</x:v>
      </x:c>
      <x:c r="O211" s="544" t="str">
        <x:v>Unit pure; stated coupon as fraction. Exact instrument dimension; agreeing duplicates.</x:v>
      </x:c>
      <x:c r="P211" s="544" t="str">
        <x:v>us-gaap:DebtInstrumentAxis = orcl:FixedRateSeniorNotesDueNovember2052Member</x:v>
      </x:c>
      <x:c r="Q211" s="544" t="str">
        <x:v>61a353e222f961e516bb3e8eed024a5245cfadbf30e3cc16a4a520129f1bdf63</x:v>
      </x:c>
      <x:c r="R211" s="545" t="str">
        <x:v>pure fraction, displayed as %</x:v>
      </x:c>
    </x:row>
    <x:row r="212" ht="80" customHeight="1">
      <x:c r="A212" s="542" t="str">
        <x:v>orcl:FixedRateSeniorNotesDueFebruary2053Member</x:v>
      </x:c>
      <x:c r="B212" s="543" t="n">
        <x:v>0.0555</x:v>
      </x:c>
      <x:c r="C212" s="544" t="str">
        <x:v>Stated fixed coupon</x:v>
      </x:c>
      <x:c r="D212" s="544"/>
      <x:c r="E212" s="544" t="d">
        <x:v>2026-05-31T00:00:00.000Z</x:v>
      </x:c>
      <x:c r="F212" s="544" t="str">
        <x:v>10-K</x:v>
      </x:c>
      <x:c r="G212" s="544" t="d">
        <x:v>2026-06-22T00:00:00.000Z</x:v>
      </x:c>
      <x:c r="H212" s="544" t="str">
        <x:v>0001193125-26-277521</x:v>
      </x:c>
      <x:c r="I212" s="544" t="str">
        <x:v>us-gaap:DebtInstrumentInterestRateStatedPercentage</x:v>
      </x:c>
      <x:c r="J212" s="544" t="str">
        <x:v>C_275ee10c-5579-4b7f-9db6-d0c32731214a</x:v>
      </x:c>
      <x:c r="K212" s="544" t="str">
        <x:v>-2</x:v>
      </x:c>
      <x:c r="L212" s="544" t="str">
        <x:v>INF</x:v>
      </x:c>
      <x:c r="M212" s="544" t="str">
        <x:v>https://www.sec.gov/Archives/edgar/data/1341439/000119312526277521/orcl-20260531.htm</x:v>
      </x:c>
      <x:c r="N212" s="544" t="str">
        <x:v>10-K Note 6, pp. 83–84</x:v>
      </x:c>
      <x:c r="O212" s="544" t="str">
        <x:v>Unit pure; stated coupon as fraction. Exact instrument dimension; agreeing duplicates.</x:v>
      </x:c>
      <x:c r="P212" s="544" t="str">
        <x:v>us-gaap:DebtInstrumentAxis = orcl:FixedRateSeniorNotesDueFebruary2053Member</x:v>
      </x:c>
      <x:c r="Q212" s="544" t="str">
        <x:v>61a353e222f961e516bb3e8eed024a5245cfadbf30e3cc16a4a520129f1bdf63</x:v>
      </x:c>
      <x:c r="R212" s="545" t="str">
        <x:v>pure fraction, displayed as %</x:v>
      </x:c>
    </x:row>
    <x:row r="213" ht="80" customHeight="1">
      <x:c r="A213" s="542" t="str">
        <x:v>orcl:Fixed-RateSeniorNotesDueSeptember2054Member</x:v>
      </x:c>
      <x:c r="B213" s="543" t="n">
        <x:v>0.05375</x:v>
      </x:c>
      <x:c r="C213" s="544" t="str">
        <x:v>Stated fixed coupon</x:v>
      </x:c>
      <x:c r="D213" s="544"/>
      <x:c r="E213" s="544" t="d">
        <x:v>2026-05-31T00:00:00.000Z</x:v>
      </x:c>
      <x:c r="F213" s="544" t="str">
        <x:v>10-K</x:v>
      </x:c>
      <x:c r="G213" s="544" t="d">
        <x:v>2026-06-22T00:00:00.000Z</x:v>
      </x:c>
      <x:c r="H213" s="544" t="str">
        <x:v>0001193125-26-277521</x:v>
      </x:c>
      <x:c r="I213" s="544" t="str">
        <x:v>us-gaap:DebtInstrumentInterestRateStatedPercentage</x:v>
      </x:c>
      <x:c r="J213" s="544" t="str">
        <x:v>C_d6db44a5-2cc2-45f8-b9bb-750ce5701802</x:v>
      </x:c>
      <x:c r="K213" s="544" t="str">
        <x:v>-2</x:v>
      </x:c>
      <x:c r="L213" s="544" t="str">
        <x:v>INF</x:v>
      </x:c>
      <x:c r="M213" s="544" t="str">
        <x:v>https://www.sec.gov/Archives/edgar/data/1341439/000119312526277521/orcl-20260531.htm</x:v>
      </x:c>
      <x:c r="N213" s="544" t="str">
        <x:v>10-K Note 6, pp. 83–84</x:v>
      </x:c>
      <x:c r="O213" s="544" t="str">
        <x:v>Unit pure; stated coupon as fraction. Exact instrument dimension; agreeing duplicates.</x:v>
      </x:c>
      <x:c r="P213" s="544" t="str">
        <x:v>us-gaap:DebtInstrumentAxis = orcl:Fixed-RateSeniorNotesDueSeptember2054Member</x:v>
      </x:c>
      <x:c r="Q213" s="544" t="str">
        <x:v>61a353e222f961e516bb3e8eed024a5245cfadbf30e3cc16a4a520129f1bdf63</x:v>
      </x:c>
      <x:c r="R213" s="545" t="str">
        <x:v>pure fraction, displayed as %</x:v>
      </x:c>
    </x:row>
    <x:row r="214" ht="80" customHeight="1">
      <x:c r="A214" s="542" t="str">
        <x:v>orcl:FixedRateSeniorNotesDueMay2055Member</x:v>
      </x:c>
      <x:c r="B214" s="543" t="n">
        <x:v>0.04375</x:v>
      </x:c>
      <x:c r="C214" s="544" t="str">
        <x:v>Stated fixed coupon</x:v>
      </x:c>
      <x:c r="D214" s="544"/>
      <x:c r="E214" s="544" t="d">
        <x:v>2026-05-31T00:00:00.000Z</x:v>
      </x:c>
      <x:c r="F214" s="544" t="str">
        <x:v>10-K</x:v>
      </x:c>
      <x:c r="G214" s="544" t="d">
        <x:v>2026-06-22T00:00:00.000Z</x:v>
      </x:c>
      <x:c r="H214" s="544" t="str">
        <x:v>0001193125-26-277521</x:v>
      </x:c>
      <x:c r="I214" s="544" t="str">
        <x:v>us-gaap:DebtInstrumentInterestRateStatedPercentage</x:v>
      </x:c>
      <x:c r="J214" s="544" t="str">
        <x:v>C_10f379d0-eecf-4d69-9526-2a2acfd8110f</x:v>
      </x:c>
      <x:c r="K214" s="544" t="str">
        <x:v>-2</x:v>
      </x:c>
      <x:c r="L214" s="544" t="str">
        <x:v>INF</x:v>
      </x:c>
      <x:c r="M214" s="544" t="str">
        <x:v>https://www.sec.gov/Archives/edgar/data/1341439/000119312526277521/orcl-20260531.htm</x:v>
      </x:c>
      <x:c r="N214" s="544" t="str">
        <x:v>10-K Note 6, pp. 83–84</x:v>
      </x:c>
      <x:c r="O214" s="544" t="str">
        <x:v>Unit pure; stated coupon as fraction. Exact instrument dimension; agreeing duplicates.</x:v>
      </x:c>
      <x:c r="P214" s="544" t="str">
        <x:v>us-gaap:DebtInstrumentAxis = orcl:FixedRateSeniorNotesDueMay2055Member</x:v>
      </x:c>
      <x:c r="Q214" s="544" t="str">
        <x:v>61a353e222f961e516bb3e8eed024a5245cfadbf30e3cc16a4a520129f1bdf63</x:v>
      </x:c>
      <x:c r="R214" s="545" t="str">
        <x:v>pure fraction, displayed as %</x:v>
      </x:c>
    </x:row>
    <x:row r="215" ht="80" customHeight="1">
      <x:c r="A215" s="542" t="str">
        <x:v>orcl:Fixed-RateSeniorNotesDueAugust2055Member</x:v>
      </x:c>
      <x:c r="B215" s="543" t="n">
        <x:v>0.06</x:v>
      </x:c>
      <x:c r="C215" s="544" t="str">
        <x:v>Stated fixed coupon</x:v>
      </x:c>
      <x:c r="D215" s="544"/>
      <x:c r="E215" s="544" t="d">
        <x:v>2026-05-31T00:00:00.000Z</x:v>
      </x:c>
      <x:c r="F215" s="544" t="str">
        <x:v>10-K</x:v>
      </x:c>
      <x:c r="G215" s="544" t="d">
        <x:v>2026-06-22T00:00:00.000Z</x:v>
      </x:c>
      <x:c r="H215" s="544" t="str">
        <x:v>0001193125-26-277521</x:v>
      </x:c>
      <x:c r="I215" s="544" t="str">
        <x:v>us-gaap:DebtInstrumentInterestRateStatedPercentage</x:v>
      </x:c>
      <x:c r="J215" s="544" t="str">
        <x:v>C_6c16cb24-86ff-434f-9d08-118161063c4e</x:v>
      </x:c>
      <x:c r="K215" s="544" t="str">
        <x:v>-2</x:v>
      </x:c>
      <x:c r="L215" s="544" t="str">
        <x:v>INF</x:v>
      </x:c>
      <x:c r="M215" s="544" t="str">
        <x:v>https://www.sec.gov/Archives/edgar/data/1341439/000119312526277521/orcl-20260531.htm</x:v>
      </x:c>
      <x:c r="N215" s="544" t="str">
        <x:v>10-K Note 6, pp. 83–84</x:v>
      </x:c>
      <x:c r="O215" s="544" t="str">
        <x:v>Unit pure; stated coupon as fraction. Exact instrument dimension; agreeing duplicates.</x:v>
      </x:c>
      <x:c r="P215" s="544" t="str">
        <x:v>us-gaap:DebtInstrumentAxis = orcl:Fixed-RateSeniorNotesDueAugust2055Member</x:v>
      </x:c>
      <x:c r="Q215" s="544" t="str">
        <x:v>61a353e222f961e516bb3e8eed024a5245cfadbf30e3cc16a4a520129f1bdf63</x:v>
      </x:c>
      <x:c r="R215" s="545" t="str">
        <x:v>pure fraction, displayed as %</x:v>
      </x:c>
    </x:row>
    <x:row r="216" ht="80" customHeight="1">
      <x:c r="A216" s="542" t="str">
        <x:v>orcl:Fixed-RateSeniorNotesDueSeptember2055Member</x:v>
      </x:c>
      <x:c r="B216" s="543" t="n">
        <x:v>0.0595</x:v>
      </x:c>
      <x:c r="C216" s="544" t="str">
        <x:v>Stated fixed coupon</x:v>
      </x:c>
      <x:c r="D216" s="544"/>
      <x:c r="E216" s="544" t="d">
        <x:v>2026-05-31T00:00:00.000Z</x:v>
      </x:c>
      <x:c r="F216" s="544" t="str">
        <x:v>10-K</x:v>
      </x:c>
      <x:c r="G216" s="544" t="d">
        <x:v>2026-06-22T00:00:00.000Z</x:v>
      </x:c>
      <x:c r="H216" s="544" t="str">
        <x:v>0001193125-26-277521</x:v>
      </x:c>
      <x:c r="I216" s="544" t="str">
        <x:v>us-gaap:DebtInstrumentInterestRateStatedPercentage</x:v>
      </x:c>
      <x:c r="J216" s="544" t="str">
        <x:v>C_2dd1f035-9a29-4212-8137-0ffb70bc95f9</x:v>
      </x:c>
      <x:c r="K216" s="544" t="str">
        <x:v>-2</x:v>
      </x:c>
      <x:c r="L216" s="544" t="str">
        <x:v>INF</x:v>
      </x:c>
      <x:c r="M216" s="544" t="str">
        <x:v>https://www.sec.gov/Archives/edgar/data/1341439/000119312526277521/orcl-20260531.htm</x:v>
      </x:c>
      <x:c r="N216" s="544" t="str">
        <x:v>10-K Note 6, pp. 83–84</x:v>
      </x:c>
      <x:c r="O216" s="544" t="str">
        <x:v>Unit pure; stated coupon as fraction. Exact instrument dimension; agreeing duplicates.</x:v>
      </x:c>
      <x:c r="P216" s="544" t="str">
        <x:v>us-gaap:DebtInstrumentAxis = orcl:Fixed-RateSeniorNotesDueSeptember2055Member</x:v>
      </x:c>
      <x:c r="Q216" s="544" t="str">
        <x:v>61a353e222f961e516bb3e8eed024a5245cfadbf30e3cc16a4a520129f1bdf63</x:v>
      </x:c>
      <x:c r="R216" s="545" t="str">
        <x:v>pure fraction, displayed as %</x:v>
      </x:c>
    </x:row>
    <x:row r="217" ht="80" customHeight="1">
      <x:c r="A217" s="542" t="str">
        <x:v>orcl:Fixed-RateSeniorNotesDueFebruary2056Member</x:v>
      </x:c>
      <x:c r="B217" s="543" t="n">
        <x:v>0.067</x:v>
      </x:c>
      <x:c r="C217" s="544" t="str">
        <x:v>Stated fixed coupon</x:v>
      </x:c>
      <x:c r="D217" s="544"/>
      <x:c r="E217" s="544" t="d">
        <x:v>2026-05-31T00:00:00.000Z</x:v>
      </x:c>
      <x:c r="F217" s="544" t="str">
        <x:v>10-K</x:v>
      </x:c>
      <x:c r="G217" s="544" t="d">
        <x:v>2026-06-22T00:00:00.000Z</x:v>
      </x:c>
      <x:c r="H217" s="544" t="str">
        <x:v>0001193125-26-277521</x:v>
      </x:c>
      <x:c r="I217" s="544" t="str">
        <x:v>us-gaap:DebtInstrumentInterestRateStatedPercentage</x:v>
      </x:c>
      <x:c r="J217" s="544" t="str">
        <x:v>C_470c4dd1-b044-4c06-b569-b9f227d4bcc6</x:v>
      </x:c>
      <x:c r="K217" s="544" t="str">
        <x:v>-2</x:v>
      </x:c>
      <x:c r="L217" s="544" t="str">
        <x:v>INF</x:v>
      </x:c>
      <x:c r="M217" s="544" t="str">
        <x:v>https://www.sec.gov/Archives/edgar/data/1341439/000119312526277521/orcl-20260531.htm</x:v>
      </x:c>
      <x:c r="N217" s="544" t="str">
        <x:v>10-K Note 6, pp. 83–84</x:v>
      </x:c>
      <x:c r="O217" s="544" t="str">
        <x:v>Unit pure; stated coupon as fraction. Exact instrument dimension; agreeing duplicates.</x:v>
      </x:c>
      <x:c r="P217" s="544" t="str">
        <x:v>us-gaap:DebtInstrumentAxis = orcl:Fixed-RateSeniorNotesDueFebruary2056Member</x:v>
      </x:c>
      <x:c r="Q217" s="544" t="str">
        <x:v>61a353e222f961e516bb3e8eed024a5245cfadbf30e3cc16a4a520129f1bdf63</x:v>
      </x:c>
      <x:c r="R217" s="545" t="str">
        <x:v>pure fraction, displayed as %</x:v>
      </x:c>
    </x:row>
    <x:row r="218" ht="80" customHeight="1">
      <x:c r="A218" s="542" t="str">
        <x:v>orcl:FixedRateSeniorNotesDueApril2060Member</x:v>
      </x:c>
      <x:c r="B218" s="543" t="n">
        <x:v>0.0385</x:v>
      </x:c>
      <x:c r="C218" s="544" t="str">
        <x:v>Stated fixed coupon</x:v>
      </x:c>
      <x:c r="D218" s="544"/>
      <x:c r="E218" s="544" t="d">
        <x:v>2026-05-31T00:00:00.000Z</x:v>
      </x:c>
      <x:c r="F218" s="544" t="str">
        <x:v>10-K</x:v>
      </x:c>
      <x:c r="G218" s="544" t="d">
        <x:v>2026-06-22T00:00:00.000Z</x:v>
      </x:c>
      <x:c r="H218" s="544" t="str">
        <x:v>0001193125-26-277521</x:v>
      </x:c>
      <x:c r="I218" s="544" t="str">
        <x:v>us-gaap:DebtInstrumentInterestRateStatedPercentage</x:v>
      </x:c>
      <x:c r="J218" s="544" t="str">
        <x:v>C_72ade28f-8b47-4d01-b51d-ad50b6ab1306</x:v>
      </x:c>
      <x:c r="K218" s="544" t="str">
        <x:v>-2</x:v>
      </x:c>
      <x:c r="L218" s="544" t="str">
        <x:v>INF</x:v>
      </x:c>
      <x:c r="M218" s="544" t="str">
        <x:v>https://www.sec.gov/Archives/edgar/data/1341439/000119312526277521/orcl-20260531.htm</x:v>
      </x:c>
      <x:c r="N218" s="544" t="str">
        <x:v>10-K Note 6, pp. 83–84</x:v>
      </x:c>
      <x:c r="O218" s="544" t="str">
        <x:v>Unit pure; stated coupon as fraction. Exact instrument dimension; agreeing duplicates.</x:v>
      </x:c>
      <x:c r="P218" s="544" t="str">
        <x:v>us-gaap:DebtInstrumentAxis = orcl:FixedRateSeniorNotesDueApril2060Member</x:v>
      </x:c>
      <x:c r="Q218" s="544" t="str">
        <x:v>61a353e222f961e516bb3e8eed024a5245cfadbf30e3cc16a4a520129f1bdf63</x:v>
      </x:c>
      <x:c r="R218" s="545" t="str">
        <x:v>pure fraction, displayed as %</x:v>
      </x:c>
    </x:row>
    <x:row r="219" ht="80" customHeight="1">
      <x:c r="A219" s="542" t="str">
        <x:v>orcl:FixedRateSeniorNotesDueMarch2061Member</x:v>
      </x:c>
      <x:c r="B219" s="543" t="n">
        <x:v>0.041</x:v>
      </x:c>
      <x:c r="C219" s="544" t="str">
        <x:v>Stated fixed coupon</x:v>
      </x:c>
      <x:c r="D219" s="544"/>
      <x:c r="E219" s="544" t="d">
        <x:v>2026-05-31T00:00:00.000Z</x:v>
      </x:c>
      <x:c r="F219" s="544" t="str">
        <x:v>10-K</x:v>
      </x:c>
      <x:c r="G219" s="544" t="d">
        <x:v>2026-06-22T00:00:00.000Z</x:v>
      </x:c>
      <x:c r="H219" s="544" t="str">
        <x:v>0001193125-26-277521</x:v>
      </x:c>
      <x:c r="I219" s="544" t="str">
        <x:v>us-gaap:DebtInstrumentInterestRateStatedPercentage</x:v>
      </x:c>
      <x:c r="J219" s="544" t="str">
        <x:v>C_b75cf642-988f-4748-9e3d-32020e3a1e6e</x:v>
      </x:c>
      <x:c r="K219" s="544" t="str">
        <x:v>-2</x:v>
      </x:c>
      <x:c r="L219" s="544" t="str">
        <x:v>INF</x:v>
      </x:c>
      <x:c r="M219" s="544" t="str">
        <x:v>https://www.sec.gov/Archives/edgar/data/1341439/000119312526277521/orcl-20260531.htm</x:v>
      </x:c>
      <x:c r="N219" s="544" t="str">
        <x:v>10-K Note 6, pp. 83–84</x:v>
      </x:c>
      <x:c r="O219" s="544" t="str">
        <x:v>Unit pure; stated coupon as fraction. Exact instrument dimension; agreeing duplicates.</x:v>
      </x:c>
      <x:c r="P219" s="544" t="str">
        <x:v>us-gaap:DebtInstrumentAxis = orcl:FixedRateSeniorNotesDueMarch2061Member</x:v>
      </x:c>
      <x:c r="Q219" s="544" t="str">
        <x:v>61a353e222f961e516bb3e8eed024a5245cfadbf30e3cc16a4a520129f1bdf63</x:v>
      </x:c>
      <x:c r="R219" s="545" t="str">
        <x:v>pure fraction, displayed as %</x:v>
      </x:c>
    </x:row>
    <x:row r="220" ht="80" customHeight="1">
      <x:c r="A220" s="542" t="str">
        <x:v>orcl:Fixed-RateSeniorNotesDueSeptember2064Member</x:v>
      </x:c>
      <x:c r="B220" s="543" t="n">
        <x:v>0.055</x:v>
      </x:c>
      <x:c r="C220" s="544" t="str">
        <x:v>Stated fixed coupon</x:v>
      </x:c>
      <x:c r="D220" s="544"/>
      <x:c r="E220" s="544" t="d">
        <x:v>2026-05-31T00:00:00.000Z</x:v>
      </x:c>
      <x:c r="F220" s="544" t="str">
        <x:v>10-K</x:v>
      </x:c>
      <x:c r="G220" s="544" t="d">
        <x:v>2026-06-22T00:00:00.000Z</x:v>
      </x:c>
      <x:c r="H220" s="544" t="str">
        <x:v>0001193125-26-277521</x:v>
      </x:c>
      <x:c r="I220" s="544" t="str">
        <x:v>us-gaap:DebtInstrumentInterestRateStatedPercentage</x:v>
      </x:c>
      <x:c r="J220" s="544" t="str">
        <x:v>C_0d59a7d6-884c-46a0-8e28-22708f737f7d</x:v>
      </x:c>
      <x:c r="K220" s="544" t="str">
        <x:v>-2</x:v>
      </x:c>
      <x:c r="L220" s="544" t="str">
        <x:v>INF</x:v>
      </x:c>
      <x:c r="M220" s="544" t="str">
        <x:v>https://www.sec.gov/Archives/edgar/data/1341439/000119312526277521/orcl-20260531.htm</x:v>
      </x:c>
      <x:c r="N220" s="544" t="str">
        <x:v>10-K Note 6, pp. 83–84</x:v>
      </x:c>
      <x:c r="O220" s="544" t="str">
        <x:v>Unit pure; stated coupon as fraction. Exact instrument dimension; agreeing duplicates.</x:v>
      </x:c>
      <x:c r="P220" s="544" t="str">
        <x:v>us-gaap:DebtInstrumentAxis = orcl:Fixed-RateSeniorNotesDueSeptember2064Member</x:v>
      </x:c>
      <x:c r="Q220" s="544" t="str">
        <x:v>61a353e222f961e516bb3e8eed024a5245cfadbf30e3cc16a4a520129f1bdf63</x:v>
      </x:c>
      <x:c r="R220" s="545" t="str">
        <x:v>pure fraction, displayed as %</x:v>
      </x:c>
    </x:row>
    <x:row r="221" ht="80" customHeight="1">
      <x:c r="A221" s="542" t="str">
        <x:v>orcl:Fixed-RateSeniorNotesDueAugust2065Member</x:v>
      </x:c>
      <x:c r="B221" s="543" t="n">
        <x:v>0.06125</x:v>
      </x:c>
      <x:c r="C221" s="544" t="str">
        <x:v>Stated fixed coupon</x:v>
      </x:c>
      <x:c r="D221" s="544"/>
      <x:c r="E221" s="544" t="d">
        <x:v>2026-05-31T00:00:00.000Z</x:v>
      </x:c>
      <x:c r="F221" s="544" t="str">
        <x:v>10-K</x:v>
      </x:c>
      <x:c r="G221" s="544" t="d">
        <x:v>2026-06-22T00:00:00.000Z</x:v>
      </x:c>
      <x:c r="H221" s="544" t="str">
        <x:v>0001193125-26-277521</x:v>
      </x:c>
      <x:c r="I221" s="544" t="str">
        <x:v>us-gaap:DebtInstrumentInterestRateStatedPercentage</x:v>
      </x:c>
      <x:c r="J221" s="544" t="str">
        <x:v>C_e4423b6e-8f9e-4ed3-b891-83bcb06a00e7</x:v>
      </x:c>
      <x:c r="K221" s="544" t="str">
        <x:v>-2</x:v>
      </x:c>
      <x:c r="L221" s="544" t="str">
        <x:v>INF</x:v>
      </x:c>
      <x:c r="M221" s="544" t="str">
        <x:v>https://www.sec.gov/Archives/edgar/data/1341439/000119312526277521/orcl-20260531.htm</x:v>
      </x:c>
      <x:c r="N221" s="544" t="str">
        <x:v>10-K Note 6, pp. 83–84</x:v>
      </x:c>
      <x:c r="O221" s="544" t="str">
        <x:v>Unit pure; stated coupon as fraction. Exact instrument dimension; agreeing duplicates.</x:v>
      </x:c>
      <x:c r="P221" s="544" t="str">
        <x:v>us-gaap:DebtInstrumentAxis = orcl:Fixed-RateSeniorNotesDueAugust2065Member</x:v>
      </x:c>
      <x:c r="Q221" s="544" t="str">
        <x:v>61a353e222f961e516bb3e8eed024a5245cfadbf30e3cc16a4a520129f1bdf63</x:v>
      </x:c>
      <x:c r="R221" s="545" t="str">
        <x:v>pure fraction, displayed as %</x:v>
      </x:c>
    </x:row>
    <x:row r="222" ht="80" customHeight="1">
      <x:c r="A222" s="542" t="str">
        <x:v>orcl:Fixed-RateSeniorNotesDueSeptember2065Member</x:v>
      </x:c>
      <x:c r="B222" s="543" t="n">
        <x:v>0.061</x:v>
      </x:c>
      <x:c r="C222" s="544" t="str">
        <x:v>Stated fixed coupon</x:v>
      </x:c>
      <x:c r="D222" s="544"/>
      <x:c r="E222" s="544" t="d">
        <x:v>2026-05-31T00:00:00.000Z</x:v>
      </x:c>
      <x:c r="F222" s="544" t="str">
        <x:v>10-K</x:v>
      </x:c>
      <x:c r="G222" s="544" t="d">
        <x:v>2026-06-22T00:00:00.000Z</x:v>
      </x:c>
      <x:c r="H222" s="544" t="str">
        <x:v>0001193125-26-277521</x:v>
      </x:c>
      <x:c r="I222" s="544" t="str">
        <x:v>us-gaap:DebtInstrumentInterestRateStatedPercentage</x:v>
      </x:c>
      <x:c r="J222" s="544" t="str">
        <x:v>C_b1d66ac5-86bb-48a1-9fd7-0f91b2f20166</x:v>
      </x:c>
      <x:c r="K222" s="544" t="str">
        <x:v>-2</x:v>
      </x:c>
      <x:c r="L222" s="544" t="str">
        <x:v>INF</x:v>
      </x:c>
      <x:c r="M222" s="544" t="str">
        <x:v>https://www.sec.gov/Archives/edgar/data/1341439/000119312526277521/orcl-20260531.htm</x:v>
      </x:c>
      <x:c r="N222" s="544" t="str">
        <x:v>10-K Note 6, pp. 83–84</x:v>
      </x:c>
      <x:c r="O222" s="544" t="str">
        <x:v>Unit pure; stated coupon as fraction. Exact instrument dimension; agreeing duplicates.</x:v>
      </x:c>
      <x:c r="P222" s="544" t="str">
        <x:v>us-gaap:DebtInstrumentAxis = orcl:Fixed-RateSeniorNotesDueSeptember2065Member</x:v>
      </x:c>
      <x:c r="Q222" s="544" t="str">
        <x:v>61a353e222f961e516bb3e8eed024a5245cfadbf30e3cc16a4a520129f1bdf63</x:v>
      </x:c>
      <x:c r="R222" s="545" t="str">
        <x:v>pure fraction, displayed as %</x:v>
      </x:c>
    </x:row>
    <x:row r="223" ht="80" customHeight="1">
      <x:c r="A223" s="546" t="str">
        <x:v>orcl:Fixed-RateSeniorNotesDueFebruary2066Member</x:v>
      </x:c>
      <x:c r="B223" s="547" t="n">
        <x:v>0.0685</x:v>
      </x:c>
      <x:c r="C223" s="548" t="str">
        <x:v>Stated fixed coupon</x:v>
      </x:c>
      <x:c r="D223" s="548"/>
      <x:c r="E223" s="548" t="d">
        <x:v>2026-05-31T00:00:00.000Z</x:v>
      </x:c>
      <x:c r="F223" s="548" t="str">
        <x:v>10-K</x:v>
      </x:c>
      <x:c r="G223" s="548" t="d">
        <x:v>2026-06-22T00:00:00.000Z</x:v>
      </x:c>
      <x:c r="H223" s="548" t="str">
        <x:v>0001193125-26-277521</x:v>
      </x:c>
      <x:c r="I223" s="548" t="str">
        <x:v>us-gaap:DebtInstrumentInterestRateStatedPercentage</x:v>
      </x:c>
      <x:c r="J223" s="548" t="str">
        <x:v>C_9d3c0b91-ca57-49e8-bcd6-845c7dd4a592</x:v>
      </x:c>
      <x:c r="K223" s="548" t="str">
        <x:v>-2</x:v>
      </x:c>
      <x:c r="L223" s="548" t="str">
        <x:v>INF</x:v>
      </x:c>
      <x:c r="M223" s="548" t="str">
        <x:v>https://www.sec.gov/Archives/edgar/data/1341439/000119312526277521/orcl-20260531.htm</x:v>
      </x:c>
      <x:c r="N223" s="548" t="str">
        <x:v>10-K Note 6, pp. 83–84</x:v>
      </x:c>
      <x:c r="O223" s="548" t="str">
        <x:v>Unit pure; stated coupon as fraction. Exact instrument dimension; agreeing duplicates.</x:v>
      </x:c>
      <x:c r="P223" s="548" t="str">
        <x:v>us-gaap:DebtInstrumentAxis = orcl:Fixed-RateSeniorNotesDueFebruary2066Member</x:v>
      </x:c>
      <x:c r="Q223" s="548" t="str">
        <x:v>61a353e222f961e516bb3e8eed024a5245cfadbf30e3cc16a4a520129f1bdf63</x:v>
      </x:c>
      <x:c r="R223" s="549" t="str">
        <x:v>pure fraction, displayed as %</x:v>
      </x:c>
    </x:row>
  </x:sheetData>
  <x:hyperlinks xmlns:r="http://schemas.openxmlformats.org/officeDocument/2006/relationships">
    <x:hyperlink ref="M2" r:id="rIdSource1"/>
    <x:hyperlink ref="M3" r:id="rIdSource2"/>
    <x:hyperlink ref="M4" r:id="rIdSource3"/>
    <x:hyperlink ref="M5" r:id="rIdSource4"/>
    <x:hyperlink ref="M6" r:id="rIdSource5"/>
    <x:hyperlink ref="M7" r:id="rIdSource6"/>
    <x:hyperlink ref="M8" r:id="rIdSource7"/>
    <x:hyperlink ref="M9" r:id="rIdSource8"/>
    <x:hyperlink ref="M10" r:id="rIdSource9"/>
    <x:hyperlink ref="M11" r:id="rIdSource10"/>
    <x:hyperlink ref="M12" r:id="rIdSource11"/>
    <x:hyperlink ref="M13" r:id="rIdSource12"/>
    <x:hyperlink ref="M14" r:id="rIdSource13"/>
    <x:hyperlink ref="M15" r:id="rIdSource14"/>
    <x:hyperlink ref="M16" r:id="rIdSource15"/>
    <x:hyperlink ref="M17" r:id="rIdSource16"/>
    <x:hyperlink ref="M18" r:id="rIdSource17"/>
    <x:hyperlink ref="M19" r:id="rIdSource18"/>
    <x:hyperlink ref="M20" r:id="rIdSource19"/>
    <x:hyperlink ref="M21" r:id="rIdSource20"/>
    <x:hyperlink ref="M22" r:id="rIdSource21"/>
    <x:hyperlink ref="M23" r:id="rIdSource22"/>
    <x:hyperlink ref="M24" r:id="rIdSource23"/>
    <x:hyperlink ref="M25" r:id="rIdSource24"/>
    <x:hyperlink ref="M26" r:id="rIdSource25"/>
    <x:hyperlink ref="M27" r:id="rIdSource26"/>
    <x:hyperlink ref="M28" r:id="rIdSource27"/>
    <x:hyperlink ref="M29" r:id="rIdSource28"/>
    <x:hyperlink ref="M30" r:id="rIdSource29"/>
    <x:hyperlink ref="M31" r:id="rIdSource30"/>
    <x:hyperlink ref="M32" r:id="rIdSource31"/>
    <x:hyperlink ref="M33" r:id="rIdSource32"/>
    <x:hyperlink ref="M34" r:id="rIdSource33"/>
    <x:hyperlink ref="M35" r:id="rIdSource34"/>
    <x:hyperlink ref="M36" r:id="rIdSource35"/>
    <x:hyperlink ref="M37" r:id="rIdSource36"/>
    <x:hyperlink ref="M38" r:id="rIdSource37"/>
    <x:hyperlink ref="M39" r:id="rIdSource38"/>
    <x:hyperlink ref="M40" r:id="rIdSource39"/>
    <x:hyperlink ref="M41" r:id="rIdSource40"/>
    <x:hyperlink ref="M42" r:id="rIdSource41"/>
    <x:hyperlink ref="M43" r:id="rIdSource42"/>
    <x:hyperlink ref="M44" r:id="rIdSource43"/>
    <x:hyperlink ref="M45" r:id="rIdSource44"/>
    <x:hyperlink ref="M46" r:id="rIdSource45"/>
    <x:hyperlink ref="M47" r:id="rIdSource46"/>
    <x:hyperlink ref="M48" r:id="rIdSource47"/>
    <x:hyperlink ref="M49" r:id="rIdSource48"/>
    <x:hyperlink ref="M50" r:id="rIdSource49"/>
    <x:hyperlink ref="M51" r:id="rIdSource50"/>
    <x:hyperlink ref="M52" r:id="rIdSource51"/>
    <x:hyperlink ref="M53" r:id="rIdSource52"/>
    <x:hyperlink ref="M54" r:id="rIdSource53"/>
    <x:hyperlink ref="M55" r:id="rIdSource54"/>
    <x:hyperlink ref="M56" r:id="rIdSource55"/>
    <x:hyperlink ref="M57" r:id="rIdSource56"/>
    <x:hyperlink ref="M58" r:id="rIdSource57"/>
    <x:hyperlink ref="M59" r:id="rIdSource58"/>
    <x:hyperlink ref="M60" r:id="rIdSource59"/>
    <x:hyperlink ref="M61" r:id="rIdSource60"/>
    <x:hyperlink ref="M62" r:id="rIdSource61"/>
    <x:hyperlink ref="M63" r:id="rIdSource62"/>
    <x:hyperlink ref="M64" r:id="rIdSource63"/>
    <x:hyperlink ref="M65" r:id="rIdSource64"/>
    <x:hyperlink ref="M66" r:id="rIdSource65"/>
    <x:hyperlink ref="M67" r:id="rIdSource66"/>
    <x:hyperlink ref="M68" r:id="rIdSource67"/>
    <x:hyperlink ref="M69" r:id="rIdSource68"/>
    <x:hyperlink ref="M70" r:id="rIdSource69"/>
    <x:hyperlink ref="M71" r:id="rIdSource70"/>
    <x:hyperlink ref="M72" r:id="rIdSource71"/>
    <x:hyperlink ref="M73" r:id="rIdSource72"/>
    <x:hyperlink ref="M74" r:id="rIdSource73"/>
    <x:hyperlink ref="M75" r:id="rIdSource74"/>
    <x:hyperlink ref="M76" r:id="rIdSource75"/>
    <x:hyperlink ref="M77" r:id="rIdSource76"/>
    <x:hyperlink ref="M78" r:id="rIdSource77"/>
    <x:hyperlink ref="M79" r:id="rIdSource78"/>
    <x:hyperlink ref="M80" r:id="rIdSource79"/>
    <x:hyperlink ref="M81" r:id="rIdSource80"/>
    <x:hyperlink ref="M82" r:id="rIdSource81"/>
    <x:hyperlink ref="M83" r:id="rIdSource82"/>
    <x:hyperlink ref="M84" r:id="rIdSource83"/>
    <x:hyperlink ref="M85" r:id="rIdSource84"/>
    <x:hyperlink ref="M86" r:id="rIdSource85"/>
    <x:hyperlink ref="M90" r:id="rIdSource86"/>
    <x:hyperlink ref="M91" r:id="rIdSource87"/>
    <x:hyperlink ref="M92" r:id="rIdSource88"/>
    <x:hyperlink ref="M93" r:id="rIdSource89"/>
    <x:hyperlink ref="M94" r:id="rIdSource90"/>
    <x:hyperlink ref="M95" r:id="rIdSource91"/>
    <x:hyperlink ref="M96" r:id="rIdSource92"/>
    <x:hyperlink ref="M97" r:id="rIdSource93"/>
    <x:hyperlink ref="M98" r:id="rIdSource94"/>
    <x:hyperlink ref="M99" r:id="rIdSource95"/>
    <x:hyperlink ref="M100" r:id="rIdSource96"/>
    <x:hyperlink ref="M104" r:id="rIdSource97"/>
    <x:hyperlink ref="M105" r:id="rIdSource98"/>
    <x:hyperlink ref="M106" r:id="rIdSource99"/>
    <x:hyperlink ref="M107" r:id="rIdSource100"/>
    <x:hyperlink ref="M108" r:id="rIdSource101"/>
    <x:hyperlink ref="M109" r:id="rIdSource102"/>
    <x:hyperlink ref="M110" r:id="rIdSource103"/>
    <x:hyperlink ref="M111" r:id="rIdSource104"/>
    <x:hyperlink ref="M112" r:id="rIdSource105"/>
    <x:hyperlink ref="M113" r:id="rIdSource106"/>
    <x:hyperlink ref="M114" r:id="rIdSource107"/>
    <x:hyperlink ref="M115" r:id="rIdSource108"/>
    <x:hyperlink ref="M119" r:id="rIdSource109"/>
    <x:hyperlink ref="M120" r:id="rIdSource110"/>
    <x:hyperlink ref="M121" r:id="rIdSource111"/>
    <x:hyperlink ref="M122" r:id="rIdSource112"/>
    <x:hyperlink ref="M123" r:id="rIdSource113"/>
    <x:hyperlink ref="M124" r:id="rIdSource114"/>
    <x:hyperlink ref="M125" r:id="rIdSource115"/>
    <x:hyperlink ref="M126" r:id="rIdSource116"/>
    <x:hyperlink ref="M127" r:id="rIdSource117"/>
    <x:hyperlink ref="M128" r:id="rIdSource118"/>
    <x:hyperlink ref="M129" r:id="rIdSource119"/>
    <x:hyperlink ref="M133" r:id="rIdSource120"/>
    <x:hyperlink ref="M134" r:id="rIdSource121"/>
    <x:hyperlink ref="M135" r:id="rIdSource122"/>
    <x:hyperlink ref="M136" r:id="rIdSource123"/>
    <x:hyperlink ref="M137" r:id="rIdSource124"/>
    <x:hyperlink ref="M138" r:id="rIdSource125"/>
    <x:hyperlink ref="M139" r:id="rIdSource126"/>
    <x:hyperlink ref="M143" r:id="rIdSource127"/>
    <x:hyperlink ref="M144" r:id="rIdSource128"/>
    <x:hyperlink ref="M145" r:id="rIdSource129"/>
    <x:hyperlink ref="M146" r:id="rIdSource130"/>
    <x:hyperlink ref="M147" r:id="rIdSource131"/>
    <x:hyperlink ref="M148" r:id="rIdSource132"/>
    <x:hyperlink ref="M149" r:id="rIdSource133"/>
    <x:hyperlink ref="M150" r:id="rIdSource134"/>
    <x:hyperlink ref="M151" r:id="rIdSource135"/>
    <x:hyperlink ref="M152" r:id="rIdSource136"/>
    <x:hyperlink ref="M153" r:id="rIdSource137"/>
    <x:hyperlink ref="M154" r:id="rIdSource138"/>
    <x:hyperlink ref="M155" r:id="rIdSource139"/>
    <x:hyperlink ref="M156" r:id="rIdSource140"/>
    <x:hyperlink ref="M157" r:id="rIdSource141"/>
    <x:hyperlink ref="M158" r:id="rIdSource142"/>
    <x:hyperlink ref="M159" r:id="rIdSource143"/>
    <x:hyperlink ref="M160" r:id="rIdSource144"/>
    <x:hyperlink ref="M161" r:id="rIdSource145"/>
    <x:hyperlink ref="M162" r:id="rIdSource146"/>
    <x:hyperlink ref="M163" r:id="rIdSource147"/>
    <x:hyperlink ref="M164" r:id="rIdSource148"/>
    <x:hyperlink ref="M165" r:id="rIdSource149"/>
    <x:hyperlink ref="M166" r:id="rIdSource150"/>
    <x:hyperlink ref="M167" r:id="rIdSource151"/>
    <x:hyperlink ref="M171" r:id="rIdSource152"/>
    <x:hyperlink ref="M172" r:id="rIdSource153"/>
    <x:hyperlink ref="M173" r:id="rIdSource154"/>
    <x:hyperlink ref="M174" r:id="rIdSource155"/>
    <x:hyperlink ref="M175" r:id="rIdSource156"/>
    <x:hyperlink ref="M176" r:id="rIdSource157"/>
    <x:hyperlink ref="M177" r:id="rIdSource158"/>
    <x:hyperlink ref="M178" r:id="rIdSource159"/>
    <x:hyperlink ref="M179" r:id="rIdSource160"/>
    <x:hyperlink ref="M180" r:id="rIdSource161"/>
    <x:hyperlink ref="M181" r:id="rIdSource162"/>
    <x:hyperlink ref="M182" r:id="rIdSource163"/>
    <x:hyperlink ref="M183" r:id="rIdSource164"/>
    <x:hyperlink ref="M184" r:id="rIdSource165"/>
    <x:hyperlink ref="M185" r:id="rIdSource166"/>
    <x:hyperlink ref="M186" r:id="rIdSource167"/>
    <x:hyperlink ref="M187" r:id="rIdSource168"/>
    <x:hyperlink ref="M188" r:id="rIdSource169"/>
    <x:hyperlink ref="M189" r:id="rIdSource170"/>
    <x:hyperlink ref="M190" r:id="rIdSource171"/>
    <x:hyperlink ref="M191" r:id="rIdSource172"/>
    <x:hyperlink ref="M192" r:id="rIdSource173"/>
    <x:hyperlink ref="M193" r:id="rIdSource174"/>
    <x:hyperlink ref="M194" r:id="rIdSource175"/>
    <x:hyperlink ref="M195" r:id="rIdSource176"/>
    <x:hyperlink ref="M196" r:id="rIdSource177"/>
    <x:hyperlink ref="M197" r:id="rIdSource178"/>
    <x:hyperlink ref="M198" r:id="rIdSource179"/>
    <x:hyperlink ref="M199" r:id="rIdSource180"/>
    <x:hyperlink ref="M200" r:id="rIdSource181"/>
    <x:hyperlink ref="M201" r:id="rIdSource182"/>
    <x:hyperlink ref="M202" r:id="rIdSource183"/>
    <x:hyperlink ref="M203" r:id="rIdSource184"/>
    <x:hyperlink ref="M204" r:id="rIdSource185"/>
    <x:hyperlink ref="M205" r:id="rIdSource186"/>
    <x:hyperlink ref="M206" r:id="rIdSource187"/>
    <x:hyperlink ref="M207" r:id="rIdSource188"/>
    <x:hyperlink ref="M208" r:id="rIdSource189"/>
    <x:hyperlink ref="M209" r:id="rIdSource190"/>
    <x:hyperlink ref="M210" r:id="rIdSource191"/>
    <x:hyperlink ref="M211" r:id="rIdSource192"/>
    <x:hyperlink ref="M212" r:id="rIdSource193"/>
    <x:hyperlink ref="M213" r:id="rIdSource194"/>
    <x:hyperlink ref="M214" r:id="rIdSource195"/>
    <x:hyperlink ref="M215" r:id="rIdSource196"/>
    <x:hyperlink ref="M216" r:id="rIdSource197"/>
    <x:hyperlink ref="M217" r:id="rIdSource198"/>
    <x:hyperlink ref="M218" r:id="rIdSource199"/>
    <x:hyperlink ref="M219" r:id="rIdSource200"/>
    <x:hyperlink ref="M220" r:id="rIdSource201"/>
    <x:hyperlink ref="M221" r:id="rIdSource202"/>
    <x:hyperlink ref="M222" r:id="rIdSource203"/>
    <x:hyperlink ref="M223" r:id="rIdSource204"/>
  </x:hyperlinks>
  <x:pageMargins left="0.7" right="0.7" top="0.75" bottom="0.75" header="0.3" footer="0.3"/>
</x:worksheet>
</file>

<file path=xl/worksheets/sheet1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funding interpretation and index consistency checked October 16.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row r="22" ht="78" customHeight="1">
      <x:c r="A22" s="248" t="str">
        <x:v>Borrowing and leases</x:v>
      </x:c>
      <x:c r="B22" s="251" t="str">
        <x:v>The Borrowing and leases sheet reconciles baseline borrowing and shows lease balances on their own dates. Unavailable means the amount was not established in the checked evidence. Leases never enter baseline debt or its ratios.</x:v>
      </x:c>
      <x:c r="C22" s="252" t="str">
        <x:v>https://github.com/jackconnolly1000-ux/sec-filing-research-terminal/blob/main/docs/borrowing_lease_presentation.md</x:v>
      </x:c>
    </x:row>
    <x:row r="23" ht="86" customHeight="1">
      <x:c r="A23" s="248" t="str">
        <x:v>Ratio reconciliation</x:v>
      </x:c>
      <x:c r="B23" s="251" t="str">
        <x:v>Debt and liquidity shows current ratio, same-filing net debt, TTM OCF/debt and FCF/debt, and historical interest coverage. Denominator definitions and capital-spending bases differ by company. Values are historical, not future funding coverage.</x:v>
      </x:c>
      <x:c r="C23" s="252" t="str">
        <x:v>https://github.com/jackconnolly1000-ux/sec-filing-research-terminal/blob/main/docs/ratio_reconciliation.md</x:v>
      </x:c>
    </x:row>
    <x:row r="24" ht="70" customHeight="1">
      <x:c r="A24" s="307" t="str">
        <x:v>History</x:v>
      </x:c>
      <x:c r="B24" s="308" t="str">
        <x:v>Two dated observations per company. Fiscal-year and TTM flows are overlapping twelve-month windows. Vistra FY2025 borrowing now uses the checked annual presentation.</x:v>
      </x:c>
      <x:c r="C24" s="309" t="str">
        <x:v>https://github.com/jackconnolly1000-ux/sec-filing-research-terminal/blob/main/docs/company_history.md</x:v>
      </x:c>
    </x:row>
    <x:row r="25" ht="125" customHeight="1">
      <x:c r="A25" s="550" t="str">
        <x:v>Annual history basis</x:v>
      </x:c>
      <x:c r="B25" s="550" t="str">
        <x:v>Annual cash and borrowing are fiscal-year-end balances. OCF and capital spending cover each full fiscal year. FCF = OCF − capital spending; it excludes acquisitions and other investing and financing uses. Historical amounts do not establish future repayment coverage. Fiscal calendars, business perimeters and capital-spending definitions differ.</x:v>
      </x:c>
      <x:c r="C25" s="550" t="str">
        <x:v>https://github.com/jackconnolly1000-ux/sec-filing-research-terminal/blob/main/docs/annual_history.md</x:v>
      </x:c>
    </x:row>
    <x:row r="26" ht="70" customHeight="1">
      <x:c r="A26" s="307" t="str">
        <x:v>Core charts</x:v>
      </x:c>
      <x:c r="B26" s="308" t="str">
        <x:v>Two native charts link to Debt and liquidity and History. Signed capital spending is a use; FCF is the result. Unavailable observations are omitted, never plotted as zero.</x:v>
      </x:c>
      <x:c r="C26" s="309" t="str">
        <x:v>https://github.com/jackconnolly1000-ux/sec-filing-research-terminal/blob/main/docs/core_charts.md</x:v>
      </x:c>
    </x:row>
    <x:row r="27" ht="76" customHeight="1">
      <x:c r="A27" s="307" t="str">
        <x:v>Workbook guide</x:v>
      </x:c>
      <x:c r="B27" s="308" t="str">
        <x:v>The first sheet lists all workbook tabs and their questions. Core metrics, dated history and common charts agree with the app. Source URLs are full text and open as links when selected.</x:v>
      </x:c>
      <x:c r="C27" s="309" t="str">
        <x:v>https://github.com/jackconnolly1000-ux/sec-filing-research-terminal/blob/main/docs/excel_parity.md</x:v>
      </x:c>
    </x:row>
  </x:sheetData>
  <x:hyperlinks xmlns:r="http://schemas.openxmlformats.org/officeDocument/2006/relationships">
    <x:hyperlink ref="C6" r:id="rIdSource1"/>
    <x:hyperlink ref="C7" r:id="rIdSource2"/>
    <x:hyperlink ref="C8" r:id="rIdSource3"/>
    <x:hyperlink ref="C9" r:id="rIdSource4"/>
    <x:hyperlink ref="C10" r:id="rIdSource5"/>
    <x:hyperlink ref="C11" r:id="rIdSource6"/>
    <x:hyperlink ref="C12" r:id="rIdSource7"/>
    <x:hyperlink ref="C17" r:id="rIdSource8"/>
    <x:hyperlink ref="C18" r:id="rIdSource9"/>
    <x:hyperlink ref="C19" r:id="rIdSource10"/>
    <x:hyperlink ref="C20" r:id="rIdSource11"/>
    <x:hyperlink ref="C22" r:id="rIdSource12"/>
    <x:hyperlink ref="C23" r:id="rIdSource13"/>
    <x:hyperlink ref="C24" r:id="rIdSource14"/>
    <x:hyperlink ref="C25" r:id="rIdSource15"/>
    <x:hyperlink ref="C26" r:id="rIdSource16"/>
    <x:hyperlink ref="C27" r:id="rIdSource17"/>
  </x:hyperlinks>
  <x:pageMargins left="0.7" right="0.7" top="0.75" bottom="0.75" header="0.3" footer="0.3"/>
</x:worksheet>
</file>