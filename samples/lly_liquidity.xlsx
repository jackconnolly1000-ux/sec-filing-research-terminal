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drawings/charts/chart4.xml" ContentType="application/vnd.openxmlformats-officedocument.drawingml.chart+xml"/>
  <Override PartName="/xl/drawings/charts/chart5.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c5ce020ae7c24284" /></Relationships>
</file>

<file path=xl/workbook.xml><?xml version="1.0" encoding="utf-8"?>
<x:workbook xmlns:r="http://schemas.openxmlformats.org/officeDocument/2006/relationships" xmlns:x="http://schemas.openxmlformats.org/spreadsheetml/2006/main">
  <x:sheets>
    <x:sheet name="Funding conclusion" sheetId="1" r:id="R5d8071a01baa4740"/>
    <x:sheet name="Borrowing and leases" sheetId="2" r:id="Rdb561f41d7664885"/>
    <x:sheet name="Debt and liquidity" sheetId="3" r:id="R678973a6daee4721"/>
    <x:sheet name="History" sheetId="4" r:id="R61b303ccd30848b0"/>
    <x:sheet name="Annual history" sheetId="9" r:id="rIdAnnualHistory"/>
    <x:sheet name="Core charts" sheetId="5" r:id="R147af0f1d96f4e26"/>
    <x:sheet name="Repayment review" sheetId="6" r:id="R2d31b716f68d4673"/>
    <x:sheet name="Data" sheetId="7" r:id="Re3efeb6e05ad497b"/>
    <x:sheet name="About" sheetId="8" r:id="Rc20a55f23ee44f8d"/>
  </x:sheets>
</x:workbook>
</file>

<file path=xl/sharedStrings.xml><?xml version="1.0" encoding="utf-8"?>
<x:sst xmlns:x="http://schemas.openxmlformats.org/spreadsheetml/2006/main"/>
</file>

<file path=xl/styles.xml><?xml version="1.0" encoding="utf-8"?>
<x:styleSheet xmlns:x="http://schemas.openxmlformats.org/spreadsheetml/2006/main">
  <x:numFmts count="24">
    <x:numFmt numFmtId="200" formatCode="0.00&quot;x&quot;"/>
    <x:numFmt numFmtId="201" formatCode="#,##0,,;(#,##0,,);&quot;-&quot;"/>
    <x:numFmt numFmtId="202" formatCode="mmm d, yyyy"/>
    <x:numFmt numFmtId="203" formatCode="0.0%"/>
    <x:numFmt numFmtId="204" formatCode="0.000%"/>
    <x:numFmt numFmtId="205" formatCode="0.00&quot;x&quot;"/>
    <x:numFmt numFmtId="206" formatCode="#,##0,,;(#,##0,,);&quot;-&quot;"/>
    <x:numFmt numFmtId="207" formatCode="mmm d, yyyy"/>
    <x:numFmt numFmtId="208" formatCode="0.0%"/>
    <x:numFmt numFmtId="209" formatCode="0.000%"/>
    <x:numFmt numFmtId="210" formatCode="yyyy-mm-dd"/>
    <x:numFmt numFmtId="211" formatCode="#,##0.0,,;(#,##0.0,,);&quot;-&quot;"/>
    <x:numFmt numFmtId="212" formatCode="0.00&quot;x&quot;"/>
    <x:numFmt numFmtId="213" formatCode="#,##0,,;(#,##0,,);&quot;-&quot;"/>
    <x:numFmt numFmtId="214" formatCode="mmm d, yyyy"/>
    <x:numFmt numFmtId="215" formatCode="0.0%"/>
    <x:numFmt numFmtId="216" formatCode="0.000%"/>
    <x:numFmt numFmtId="217" formatCode="0.00&quot;x&quot;"/>
    <x:numFmt numFmtId="218" formatCode="#,##0,,;(#,##0,,);&quot;-&quot;"/>
    <x:numFmt numFmtId="219" formatCode="mmm d, yyyy"/>
    <x:numFmt numFmtId="220" formatCode="0.0%"/>
    <x:numFmt numFmtId="221" formatCode="0.000%"/>
    <x:numFmt numFmtId="222" formatCode="yyyy-mm-dd"/>
    <x:numFmt numFmtId="223" formatCode="#,##0.0,,;(#,##0.0,,);&quot;-&quot;"/>
  </x:numFmts>
  <x:fonts count="84">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0000"/>
      <x:name val="Arial"/>
    </x:font>
    <x:font>
      <x:sz val="11"/>
      <x:color rgb="FF008000"/>
      <x:name val="Arial"/>
    </x:font>
    <x:font>
      <x:sz val="10"/>
      <x:color rgb="FF000000"/>
      <x:name val="Arial"/>
    </x:font>
    <x:font>
      <x:sz val="10"/>
      <x:color rgb="FF008000"/>
      <x:name val="Arial"/>
    </x:font>
    <x:font>
      <x:sz val="11"/>
      <x:color rgb="FF0000FF"/>
      <x:name val="Arial"/>
    </x:font>
    <x:font>
      <x:sz val="10"/>
      <x:color rgb="FF0000FF"/>
      <x:name val="Arial"/>
    </x:font>
    <x:font>
      <x:sz val="10"/>
      <x:name val="Arial"/>
    </x:font>
    <x:font>
      <x:sz val="14"/>
      <x:name val="Arial"/>
    </x:font>
    <x:font>
      <x:b/>
      <x:sz val="10"/>
      <x:color rgb="FF000000"/>
      <x:name val="Arial"/>
    </x:font>
    <x:font>
      <x:b/>
      <x:sz val="13"/>
      <x:name val="Arial"/>
    </x:font>
    <x:font>
      <x:b/>
      <x:sz val="10"/>
      <x:color rgb="FF008000"/>
      <x:name val="Arial"/>
    </x:font>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0000"/>
      <x:name val="Arial"/>
    </x:font>
    <x:font>
      <x:sz val="11"/>
      <x:color rgb="FF008000"/>
      <x:name val="Arial"/>
    </x:font>
    <x:font>
      <x:sz val="10"/>
      <x:color rgb="FF000000"/>
      <x:name val="Arial"/>
    </x:font>
    <x:font>
      <x:sz val="10"/>
      <x:color rgb="FF008000"/>
      <x:name val="Arial"/>
    </x:font>
    <x:font>
      <x:sz val="11"/>
      <x:color rgb="FF0000FF"/>
      <x:name val="Arial"/>
    </x:font>
    <x:font>
      <x:sz val="10"/>
      <x:color rgb="FF0000FF"/>
      <x:name val="Arial"/>
    </x:font>
    <x:font>
      <x:sz val="10"/>
      <x:name val="Arial"/>
    </x:font>
    <x:font>
      <x:sz val="14"/>
      <x:name val="Arial"/>
    </x:font>
    <x:font>
      <x:b/>
      <x:sz val="10"/>
      <x:color rgb="FF000000"/>
      <x:name val="Arial"/>
    </x:font>
    <x:font>
      <x:b/>
      <x:sz val="13"/>
      <x:name val="Arial"/>
    </x:font>
    <x:font>
      <x:b/>
      <x:sz val="10"/>
      <x:color rgb="FF008000"/>
      <x:name val="Arial"/>
    </x:font>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0000"/>
      <x:name val="Arial"/>
    </x:font>
    <x:font>
      <x:sz val="11"/>
      <x:color rgb="FF008000"/>
      <x:name val="Arial"/>
    </x:font>
    <x:font>
      <x:sz val="10"/>
      <x:color rgb="FF000000"/>
      <x:name val="Arial"/>
    </x:font>
    <x:font>
      <x:sz val="10"/>
      <x:color rgb="FF008000"/>
      <x:name val="Arial"/>
    </x:font>
    <x:font>
      <x:sz val="11"/>
      <x:color rgb="FF0000FF"/>
      <x:name val="Arial"/>
    </x:font>
    <x:font>
      <x:sz val="10"/>
      <x:color rgb="FF0000FF"/>
      <x:name val="Arial"/>
    </x:font>
    <x:font>
      <x:sz val="10"/>
      <x:name val="Arial"/>
    </x:font>
    <x:font>
      <x:sz val="14"/>
      <x:name val="Arial"/>
    </x:font>
    <x:font>
      <x:b/>
      <x:sz val="10"/>
      <x:color rgb="FF000000"/>
      <x:name val="Arial"/>
    </x:font>
    <x:font>
      <x:b/>
      <x:sz val="13"/>
      <x:name val="Arial"/>
    </x:font>
    <x:font>
      <x:b/>
      <x:sz val="10"/>
      <x:color rgb="FF008000"/>
      <x:name val="Arial"/>
    </x:font>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0000"/>
      <x:name val="Arial"/>
    </x:font>
    <x:font>
      <x:sz val="11"/>
      <x:color rgb="FF008000"/>
      <x:name val="Arial"/>
    </x:font>
    <x:font>
      <x:sz val="10"/>
      <x:color rgb="FF000000"/>
      <x:name val="Arial"/>
    </x:font>
    <x:font>
      <x:sz val="10"/>
      <x:color rgb="FF008000"/>
      <x:name val="Arial"/>
    </x:font>
    <x:font>
      <x:sz val="11"/>
      <x:color rgb="FF0000FF"/>
      <x:name val="Arial"/>
    </x:font>
    <x:font>
      <x:sz val="10"/>
      <x:color rgb="FF0000FF"/>
      <x:name val="Arial"/>
    </x:font>
    <x:font>
      <x:sz val="10"/>
      <x:name val="Arial"/>
    </x:font>
    <x:font>
      <x:sz val="14"/>
      <x:name val="Arial"/>
    </x:font>
    <x:font>
      <x:b/>
      <x:sz val="10"/>
      <x:color rgb="FF000000"/>
      <x:name val="Arial"/>
    </x:font>
    <x:font>
      <x:b/>
      <x:sz val="13"/>
      <x:name val="Arial"/>
    </x:font>
    <x:font>
      <x:b/>
      <x:sz val="10"/>
      <x:color rgb="FF008000"/>
      <x:name val="Arial"/>
    </x:font>
  </x:fonts>
  <x:fills count="15">
    <x:fill>
      <x:patternFill patternType="none"/>
    </x:fill>
    <x:fill>
      <x:patternFill patternType="gray125"/>
    </x:fill>
    <x:fill>
      <x:patternFill patternType="solid">
        <x:fgColor rgb="FFF0F2F5"/>
      </x:patternFill>
    </x:fill>
    <x:fill>
      <x:patternFill patternType="none"/>
    </x:fill>
    <x:fill>
      <x:patternFill patternType="gray125"/>
    </x:fill>
    <x:fill>
      <x:patternFill patternType="solid">
        <x:fgColor rgb="FFF0F2F5"/>
      </x:patternFill>
    </x:fill>
    <x:fill>
      <x:patternFill patternType="solid">
        <x:fgColor rgb="FFF0F2F5"/>
      </x:patternFill>
    </x:fill>
    <x:fill>
      <x:patternFill patternType="none"/>
    </x:fill>
    <x:fill>
      <x:patternFill patternType="gray125"/>
    </x:fill>
    <x:fill>
      <x:patternFill patternType="solid">
        <x:fgColor rgb="FFF0F2F5"/>
      </x:patternFill>
    </x:fill>
    <x:fill>
      <x:patternFill patternType="none"/>
    </x:fill>
    <x:fill>
      <x:patternFill patternType="gray125"/>
    </x:fill>
    <x:fill>
      <x:patternFill patternType="solid">
        <x:fgColor rgb="FFF0F2F5"/>
      </x:patternFill>
    </x:fill>
    <x:fill>
      <x:patternFill patternType="solid">
        <x:fgColor rgb="FFF0F2F5"/>
      </x:patternFill>
    </x:fill>
    <x:fill>
      <x:patternFill patternType="solid">
        <x:fgColor rgb="FFF0F2F5"/>
      </x:patternFill>
    </x:fill>
  </x:fills>
  <x:borders count="560">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s>
  <x:cellStyleXfs count="4">
    <x:xf numFmtId="0" fontId="0" fillId="0" borderId="0"/>
    <x:xf numFmtId="0" fontId="21" fillId="3" borderId="140"/>
    <x:xf numFmtId="0" fontId="42" fillId="7" borderId="280"/>
    <x:xf numFmtId="0" fontId="63" fillId="10" borderId="420"/>
  </x:cellStyleXfs>
  <x:cellXfs count="146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201" fontId="0" fillId="0" borderId="0" xfId="0" applyNumberFormat="1" applyFont="1" applyFill="1" applyBorder="1"/>
    <x:xf numFmtId="200" fontId="0"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4" fontId="8" fillId="0" borderId="0" xfId="0" applyNumberFormat="1" applyFont="1" applyFill="1" applyBorder="1"/>
    <x:xf numFmtId="200" fontId="9" fillId="0" borderId="0" xfId="0" applyNumberFormat="1" applyFont="1" applyFill="1" applyBorder="1"/>
    <x:xf numFmtId="201" fontId="1" fillId="0" borderId="0" xfId="0" applyNumberFormat="1" applyFont="1" applyFill="1" applyBorder="1"/>
    <x:xf numFmtId="202" fontId="1" fillId="0" borderId="0" xfId="0" applyNumberFormat="1" applyFont="1" applyFill="1" applyBorder="1"/>
    <x:xf numFmtId="200" fontId="1" fillId="0" borderId="0" xfId="0" applyNumberFormat="1" applyFont="1" applyFill="1" applyBorder="1"/>
    <x:xf numFmtId="203" fontId="1" fillId="0" borderId="0" xfId="0" applyNumberFormat="1" applyFont="1" applyFill="1" applyBorder="1"/>
    <x:xf numFmtId="200" fontId="10" fillId="0" borderId="0" xfId="0" applyNumberFormat="1" applyFont="1" applyFill="1" applyBorder="1"/>
    <x:xf numFmtId="0" fontId="11" fillId="0" borderId="0" xfId="0" applyNumberFormat="1" applyFont="1" applyFill="1" applyBorder="1"/>
    <x:xf numFmtId="201" fontId="2" fillId="0" borderId="0" xfId="0" applyNumberFormat="1" applyFont="1" applyFill="1" applyBorder="1"/>
    <x:xf numFmtId="202" fontId="2" fillId="0" borderId="0" xfId="0" applyNumberFormat="1" applyFont="1" applyFill="1" applyBorder="1"/>
    <x:xf numFmtId="200" fontId="2" fillId="0" borderId="0" xfId="0" applyNumberFormat="1" applyFont="1" applyFill="1" applyBorder="1"/>
    <x:xf numFmtId="203" fontId="2" fillId="0" borderId="0" xfId="0" applyNumberFormat="1" applyFont="1" applyFill="1" applyBorder="1"/>
    <x:xf numFmtId="200" fontId="12" fillId="0" borderId="0" xfId="0" applyNumberFormat="1" applyFont="1" applyFill="1" applyBorder="1"/>
    <x:xf numFmtId="0" fontId="13" fillId="0" borderId="0" xfId="0" applyNumberFormat="1" applyFont="1" applyFill="1" applyBorder="1"/>
    <x:xf numFmtId="201" fontId="2" fillId="0" borderId="0" xfId="0" applyNumberFormat="1" applyFont="1" applyFill="1" applyBorder="1" applyAlignment="1">
      <x:alignment vertical="top"/>
    </x:xf>
    <x:xf numFmtId="202" fontId="2" fillId="0" borderId="0" xfId="0" applyNumberFormat="1" applyFont="1" applyFill="1" applyBorder="1" applyAlignment="1">
      <x:alignment vertical="top"/>
    </x:xf>
    <x:xf numFmtId="200" fontId="2" fillId="0" borderId="0" xfId="0" applyNumberFormat="1" applyFont="1" applyFill="1" applyBorder="1" applyAlignment="1">
      <x:alignment vertical="top"/>
    </x:xf>
    <x:xf numFmtId="203" fontId="2" fillId="0" borderId="0" xfId="0" applyNumberFormat="1" applyFont="1" applyFill="1" applyBorder="1" applyAlignment="1">
      <x:alignment vertical="top"/>
    </x:xf>
    <x:xf numFmtId="200" fontId="12" fillId="0" borderId="0" xfId="0" applyNumberFormat="1" applyFont="1" applyFill="1" applyBorder="1" applyAlignment="1">
      <x:alignment vertical="top"/>
    </x:xf>
    <x:xf numFmtId="0" fontId="13" fillId="0" borderId="0" xfId="0" applyNumberFormat="1" applyFont="1" applyFill="1" applyBorder="1" applyAlignment="1">
      <x:alignment vertical="top"/>
    </x:xf>
    <x:xf numFmtId="201" fontId="2"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0" fontId="12" fillId="0"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0" fillId="0" borderId="0" xfId="0" applyNumberFormat="1" applyFont="1" applyFill="1" applyBorder="1"/>
    <x:xf numFmtId="204" fontId="11" fillId="0" borderId="0" xfId="0" applyNumberFormat="1" applyFont="1" applyFill="1" applyBorder="1"/>
    <x:xf numFmtId="0" fontId="12" fillId="0" borderId="0" xfId="0" applyNumberFormat="1" applyFont="1" applyFill="1" applyBorder="1"/>
    <x:xf numFmtId="204" fontId="13" fillId="0" borderId="0" xfId="0" applyNumberFormat="1" applyFont="1" applyFill="1" applyBorder="1"/>
    <x:xf numFmtId="0" fontId="12" fillId="0" borderId="0" xfId="0" applyNumberFormat="1" applyFont="1" applyFill="1" applyBorder="1" applyAlignment="1">
      <x:alignment vertical="top"/>
    </x:xf>
    <x:xf numFmtId="204" fontId="13" fillId="0" borderId="0" xfId="0" applyNumberFormat="1" applyFont="1" applyFill="1" applyBorder="1" applyAlignment="1">
      <x:alignment vertical="top"/>
    </x:xf>
    <x:xf numFmtId="0" fontId="12" fillId="0" borderId="0" xfId="0" applyNumberFormat="1" applyFont="1" applyFill="1" applyBorder="1" applyAlignment="1">
      <x:alignment vertical="top" wrapText="1"/>
    </x:xf>
    <x:xf numFmtId="204" fontId="13" fillId="0" borderId="0" xfId="0" applyNumberFormat="1" applyFont="1" applyFill="1" applyBorder="1" applyAlignment="1">
      <x:alignment vertical="top" wrapText="1"/>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top"/>
    </x:xf>
    <x:xf numFmtId="201" fontId="15" fillId="0" borderId="0" xfId="0" applyNumberFormat="1" applyFont="1" applyFill="1" applyBorder="1" applyAlignment="1">
      <x:alignment vertical="top" wrapText="1"/>
    </x:xf>
    <x:xf numFmtId="0" fontId="2" fillId="0" borderId="8" xfId="0" applyNumberFormat="1" applyFont="1" applyFill="1" applyBorder="1" applyAlignment="1">
      <x:alignment vertical="top" wrapText="1"/>
    </x:xf>
    <x:xf numFmtId="0" fontId="2" fillId="0" borderId="9" xfId="0" applyNumberFormat="1" applyFont="1" applyFill="1" applyBorder="1" applyAlignment="1">
      <x:alignment vertical="top" wrapText="1"/>
    </x:xf>
    <x:xf numFmtId="0" fontId="2" fillId="0" borderId="10" xfId="0" applyNumberFormat="1" applyFont="1" applyFill="1" applyBorder="1" applyAlignment="1">
      <x:alignment vertical="top" wrapText="1"/>
    </x:xf>
    <x:xf numFmtId="201" fontId="2" fillId="0" borderId="11" xfId="0" applyNumberFormat="1" applyFont="1" applyFill="1" applyBorder="1" applyAlignment="1">
      <x:alignment vertical="top" wrapText="1"/>
    </x:xf>
    <x:xf numFmtId="202" fontId="2" fillId="0" borderId="11" xfId="0" applyNumberFormat="1" applyFont="1" applyFill="1" applyBorder="1" applyAlignment="1">
      <x:alignment vertical="top" wrapText="1"/>
    </x:xf>
    <x:xf numFmtId="200" fontId="2" fillId="0" borderId="11" xfId="0" applyNumberFormat="1" applyFont="1" applyFill="1" applyBorder="1" applyAlignment="1">
      <x:alignment vertical="top" wrapText="1"/>
    </x:xf>
    <x:xf numFmtId="203" fontId="2" fillId="0" borderId="11" xfId="0" applyNumberFormat="1" applyFont="1" applyFill="1" applyBorder="1" applyAlignment="1">
      <x:alignment vertical="top" wrapText="1"/>
    </x:xf>
    <x:xf numFmtId="200" fontId="12" fillId="0" borderId="12" xfId="0" applyNumberFormat="1" applyFont="1" applyFill="1" applyBorder="1" applyAlignment="1">
      <x:alignment vertical="top" wrapText="1"/>
    </x:xf>
    <x:xf numFmtId="202" fontId="2" fillId="0" borderId="12" xfId="0" applyNumberFormat="1" applyFont="1" applyFill="1" applyBorder="1" applyAlignment="1">
      <x:alignment vertical="top" wrapText="1"/>
    </x:xf>
    <x:xf numFmtId="0" fontId="13" fillId="0" borderId="4" xfId="0" applyNumberFormat="1" applyFont="1" applyFill="1" applyBorder="1" applyAlignment="1">
      <x:alignment vertical="top" wrapText="1"/>
    </x:xf>
    <x:xf numFmtId="0" fontId="13" fillId="0" borderId="11" xfId="0" applyNumberFormat="1" applyFont="1" applyFill="1" applyBorder="1" applyAlignment="1">
      <x:alignment vertical="top" wrapText="1"/>
    </x:xf>
    <x:xf numFmtId="0" fontId="13" fillId="0" borderId="5" xfId="0" applyNumberFormat="1" applyFont="1" applyFill="1" applyBorder="1" applyAlignment="1">
      <x:alignment vertical="top" wrapText="1"/>
    </x:xf>
    <x:xf numFmtId="0" fontId="13" fillId="0" borderId="6" xfId="0" applyNumberFormat="1" applyFont="1" applyFill="1" applyBorder="1" applyAlignment="1">
      <x:alignment vertical="top" wrapText="1"/>
    </x:xf>
    <x:xf numFmtId="0" fontId="13" fillId="0" borderId="12" xfId="0" applyNumberFormat="1" applyFont="1" applyFill="1" applyBorder="1" applyAlignment="1">
      <x:alignment vertical="top" wrapText="1"/>
    </x:xf>
    <x:xf numFmtId="0" fontId="13" fillId="0" borderId="7" xfId="0" applyNumberFormat="1" applyFont="1" applyFill="1" applyBorder="1" applyAlignment="1">
      <x:alignment vertical="top" wrapText="1"/>
    </x:xf>
    <x:xf numFmtId="0" fontId="2" fillId="2" borderId="8" xfId="0" applyNumberFormat="1" applyFont="1" applyFill="1" applyBorder="1" applyAlignment="1">
      <x:alignment vertical="top" wrapText="1"/>
    </x:xf>
    <x:xf numFmtId="0" fontId="2" fillId="2" borderId="9" xfId="0" applyNumberFormat="1" applyFont="1" applyFill="1" applyBorder="1" applyAlignment="1">
      <x:alignment vertical="top" wrapText="1"/>
    </x:xf>
    <x:xf numFmtId="0" fontId="2" fillId="2" borderId="10" xfId="0" applyNumberFormat="1" applyFont="1" applyFill="1" applyBorder="1" applyAlignment="1">
      <x:alignment vertical="top" wrapText="1"/>
    </x:xf>
    <x:xf numFmtId="0" fontId="3" fillId="2" borderId="8" xfId="0" applyNumberFormat="1" applyFont="1" applyFill="1" applyBorder="1" applyAlignment="1">
      <x:alignment vertical="top" wrapText="1"/>
    </x:xf>
    <x:xf numFmtId="0" fontId="3" fillId="2" borderId="9" xfId="0" applyNumberFormat="1" applyFont="1" applyFill="1" applyBorder="1" applyAlignment="1">
      <x:alignment vertical="top" wrapText="1"/>
    </x:xf>
    <x:xf numFmtId="0" fontId="3" fillId="2" borderId="10" xfId="0" applyNumberFormat="1" applyFont="1" applyFill="1" applyBorder="1" applyAlignment="1">
      <x:alignment vertical="top" wrapText="1"/>
    </x:xf>
    <x:xf numFmtId="0" fontId="3" fillId="2" borderId="8" xfId="0" applyNumberFormat="1" applyFont="1" applyFill="1" applyBorder="1" applyAlignment="1">
      <x:alignment horizontal="center" vertical="top" wrapText="1"/>
    </x:xf>
    <x:xf numFmtId="0" fontId="3" fillId="2" borderId="9" xfId="0" applyNumberFormat="1" applyFont="1" applyFill="1" applyBorder="1" applyAlignment="1">
      <x:alignment horizontal="center" vertical="top" wrapText="1"/>
    </x:xf>
    <x:xf numFmtId="0" fontId="3" fillId="2" borderId="10" xfId="0" applyNumberFormat="1" applyFont="1" applyFill="1" applyBorder="1" applyAlignment="1">
      <x:alignment horizontal="center" vertical="top" wrapText="1"/>
    </x:xf>
    <x:xf numFmtId="0" fontId="3" fillId="2" borderId="13" xfId="0" applyNumberFormat="1" applyFont="1" applyFill="1" applyBorder="1" applyAlignment="1">
      <x:alignment horizontal="center" vertical="top" wrapText="1"/>
    </x:xf>
    <x:xf numFmtId="201" fontId="3" fillId="0" borderId="11" xfId="0" applyNumberFormat="1" applyFont="1" applyFill="1" applyBorder="1" applyAlignment="1">
      <x:alignment vertical="top" wrapText="1"/>
    </x:xf>
    <x:xf numFmtId="202" fontId="3" fillId="0" borderId="11"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8" xfId="0" applyNumberFormat="1" applyFont="1" applyFill="1" applyBorder="1" applyAlignment="1">
      <x:alignment vertical="top" wrapText="1"/>
    </x:xf>
    <x:xf numFmtId="201" fontId="3" fillId="0" borderId="9" xfId="0" applyNumberFormat="1" applyFont="1" applyFill="1" applyBorder="1" applyAlignment="1">
      <x:alignment vertical="top" wrapText="1"/>
    </x:xf>
    <x:xf numFmtId="202" fontId="3" fillId="0" borderId="9" xfId="0" applyNumberFormat="1" applyFont="1" applyFill="1" applyBorder="1" applyAlignment="1">
      <x:alignment vertical="top" wrapText="1"/>
    </x:xf>
    <x:xf numFmtId="0" fontId="3" fillId="0" borderId="10" xfId="0" applyNumberFormat="1" applyFont="1" applyFill="1" applyBorder="1" applyAlignment="1">
      <x:alignment vertical="top" wrapText="1"/>
    </x:xf>
    <x:xf numFmtId="0" fontId="16" fillId="0" borderId="5" xfId="0" applyNumberFormat="1" applyFont="1" applyFill="1" applyBorder="1" applyAlignment="1">
      <x:alignment vertical="top" wrapText="1"/>
    </x:xf>
    <x:xf numFmtId="0" fontId="16" fillId="0" borderId="10" xfId="0" applyNumberFormat="1" applyFont="1" applyFill="1" applyBorder="1" applyAlignment="1">
      <x:alignment vertical="top" wrapText="1"/>
    </x:xf>
    <x:xf numFmtId="201" fontId="15" fillId="0" borderId="11" xfId="0" applyNumberFormat="1" applyFont="1" applyFill="1" applyBorder="1" applyAlignment="1">
      <x:alignment vertical="top" wrapText="1"/>
    </x:xf>
    <x:xf numFmtId="0" fontId="2" fillId="0" borderId="11" xfId="0" applyNumberFormat="1" applyFont="1" applyFill="1" applyBorder="1" applyAlignment="1">
      <x:alignment vertical="top" wrapText="1"/>
    </x:xf>
    <x:xf numFmtId="201" fontId="15" fillId="0" borderId="12"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17" fillId="0" borderId="0" xfId="0" applyNumberFormat="1" applyFont="1" applyFill="1" applyBorder="1" applyAlignment="1">
      <x:alignment vertical="top" wrapText="1"/>
    </x:xf>
    <x:xf numFmtId="0" fontId="12" fillId="0" borderId="11" xfId="0" applyNumberFormat="1" applyFont="1" applyFill="1" applyBorder="1" applyAlignment="1">
      <x:alignment vertical="top" wrapText="1"/>
    </x:xf>
    <x:xf numFmtId="0" fontId="12" fillId="0" borderId="12"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8" fillId="0" borderId="11"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3" fillId="0" borderId="9" xfId="0" applyNumberFormat="1" applyFont="1" applyFill="1" applyBorder="1" applyAlignment="1">
      <x:alignment vertical="top" wrapText="1"/>
    </x:xf>
    <x:xf numFmtId="0" fontId="18" fillId="0" borderId="12"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0" fontId="18" fillId="0" borderId="13" xfId="0" applyNumberFormat="1" applyFont="1" applyFill="1" applyBorder="1" applyAlignment="1">
      <x:alignment vertical="top" wrapText="1"/>
    </x:xf>
    <x:xf numFmtId="0" fontId="3" fillId="0" borderId="13"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3" fillId="0" borderId="11" xfId="0" applyNumberFormat="1" applyFont="1" applyFill="1" applyBorder="1" applyAlignment="1">
      <x:alignment vertical="top" wrapText="1"/>
    </x:xf>
    <x:xf numFmtId="201" fontId="18" fillId="0" borderId="9" xfId="0" applyNumberFormat="1" applyFont="1" applyFill="1" applyBorder="1" applyAlignment="1">
      <x:alignment vertical="top" wrapText="1"/>
    </x:xf>
    <x:xf numFmtId="201" fontId="18" fillId="0" borderId="13" xfId="0" applyNumberFormat="1" applyFont="1" applyFill="1" applyBorder="1" applyAlignment="1">
      <x:alignment vertical="top" wrapText="1"/>
    </x:xf>
    <x:xf numFmtId="201" fontId="3" fillId="2" borderId="13" xfId="0" applyNumberFormat="1" applyFont="1" applyFill="1" applyBorder="1" applyAlignment="1">
      <x:alignment horizontal="center" vertical="top" wrapText="1"/>
    </x:xf>
    <x:xf numFmtId="201" fontId="13" fillId="0" borderId="12" xfId="0" applyNumberFormat="1" applyFont="1" applyFill="1" applyBorder="1" applyAlignment="1">
      <x:alignment vertical="top" wrapText="1"/>
    </x:xf>
    <x:xf numFmtId="201" fontId="13" fillId="0" borderId="9" xfId="0" applyNumberFormat="1" applyFont="1" applyFill="1" applyBorder="1" applyAlignment="1">
      <x:alignment vertical="top" wrapText="1"/>
    </x:xf>
    <x:xf numFmtId="201" fontId="2" fillId="0" borderId="12" xfId="0" applyNumberFormat="1" applyFont="1" applyFill="1" applyBorder="1" applyAlignment="1">
      <x:alignment vertical="top" wrapText="1"/>
    </x:xf>
    <x:xf numFmtId="0" fontId="15" fillId="0" borderId="11" xfId="0" applyNumberFormat="1" applyFont="1" applyFill="1" applyBorder="1" applyAlignment="1">
      <x:alignment vertical="top" wrapText="1"/>
    </x:xf>
    <x:xf numFmtId="0" fontId="15" fillId="0" borderId="12" xfId="0" applyNumberFormat="1" applyFont="1" applyFill="1" applyBorder="1" applyAlignment="1">
      <x:alignment vertical="top" wrapText="1"/>
    </x:xf>
    <x:xf numFmtId="204" fontId="13" fillId="0" borderId="5" xfId="0" applyNumberFormat="1" applyFont="1" applyFill="1" applyBorder="1" applyAlignment="1">
      <x:alignment vertical="top" wrapText="1"/>
    </x:xf>
    <x:xf numFmtId="202" fontId="13" fillId="0" borderId="11" xfId="0" applyNumberFormat="1" applyFont="1" applyFill="1" applyBorder="1" applyAlignment="1">
      <x:alignment vertical="top" wrapText="1"/>
    </x:xf>
    <x:xf numFmtId="204" fontId="2" fillId="0" borderId="0" xfId="0" applyNumberFormat="1" applyFont="1" applyFill="1" applyBorder="1" applyAlignment="1">
      <x:alignment vertical="top" wrapText="1"/>
    </x:xf>
    <x:xf numFmtId="204" fontId="15" fillId="0" borderId="0" xfId="0" applyNumberFormat="1" applyFont="1" applyFill="1" applyBorder="1" applyAlignment="1">
      <x:alignment vertical="top" wrapText="1"/>
    </x:xf>
    <x:xf numFmtId="204" fontId="15" fillId="0" borderId="4" xfId="0" applyNumberFormat="1" applyFont="1" applyFill="1" applyBorder="1" applyAlignment="1">
      <x:alignment vertical="top" wrapText="1"/>
    </x:xf>
    <x:xf numFmtId="204" fontId="15" fillId="0" borderId="5" xfId="0" applyNumberFormat="1" applyFont="1" applyFill="1" applyBorder="1" applyAlignment="1">
      <x:alignment vertical="top" wrapText="1"/>
    </x:xf>
    <x:xf numFmtId="204" fontId="15" fillId="0" borderId="6" xfId="0" applyNumberFormat="1" applyFont="1" applyFill="1" applyBorder="1" applyAlignment="1">
      <x:alignment vertical="top" wrapText="1"/>
    </x:xf>
    <x:xf numFmtId="204" fontId="15" fillId="0" borderId="7" xfId="0" applyNumberFormat="1" applyFont="1" applyFill="1" applyBorder="1" applyAlignment="1">
      <x:alignment vertical="top" wrapText="1"/>
    </x:xf>
    <x:xf numFmtId="0" fontId="19"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1" fontId="13" fillId="0" borderId="5" xfId="0" applyNumberFormat="1" applyFont="1" applyFill="1" applyBorder="1" applyAlignment="1">
      <x:alignment vertical="top" wrapText="1"/>
    </x:xf>
    <x:xf numFmtId="201" fontId="2" fillId="0" borderId="5" xfId="0" applyNumberFormat="1" applyFont="1" applyFill="1" applyBorder="1" applyAlignment="1">
      <x:alignment vertical="top" wrapText="1"/>
    </x:xf>
    <x:xf numFmtId="201" fontId="2" fillId="0" borderId="7"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3" fillId="0" borderId="13" xfId="0" applyNumberFormat="1" applyFont="1" applyFill="1" applyBorder="1" applyAlignment="1">
      <x:alignment vertical="top" wrapText="1"/>
    </x:xf>
    <x:xf numFmtId="201" fontId="13" fillId="0" borderId="3" xfId="0" applyNumberFormat="1" applyFont="1" applyFill="1" applyBorder="1" applyAlignment="1">
      <x:alignment vertical="top" wrapText="1"/>
    </x:xf>
    <x:xf numFmtId="201" fontId="2" fillId="0" borderId="9" xfId="0" applyNumberFormat="1" applyFont="1" applyFill="1" applyBorder="1" applyAlignment="1">
      <x:alignment vertical="top" wrapText="1"/>
    </x:xf>
    <x:xf numFmtId="201" fontId="2" fillId="0" borderId="10" xfId="0" applyNumberFormat="1" applyFont="1" applyFill="1" applyBorder="1" applyAlignment="1">
      <x:alignment vertical="top" wrapText="1"/>
    </x:xf>
    <x:xf numFmtId="200" fontId="2" fillId="0" borderId="12" xfId="0" applyNumberFormat="1" applyFont="1" applyFill="1" applyBorder="1" applyAlignment="1">
      <x:alignment vertical="top" wrapText="1"/>
    </x:xf>
    <x:xf numFmtId="201" fontId="3" fillId="0" borderId="5" xfId="0" applyNumberFormat="1" applyFont="1" applyFill="1" applyBorder="1" applyAlignment="1">
      <x:alignment vertical="top" wrapText="1"/>
    </x:xf>
    <x:xf numFmtId="201" fontId="3" fillId="0" borderId="10" xfId="0" applyNumberFormat="1" applyFont="1" applyFill="1" applyBorder="1" applyAlignment="1">
      <x:alignment vertical="top" wrapText="1"/>
    </x:xf>
    <x:xf numFmtId="201" fontId="3" fillId="0" borderId="12" xfId="0" applyNumberFormat="1" applyFont="1" applyFill="1" applyBorder="1" applyAlignment="1">
      <x:alignment vertical="top" wrapText="1"/>
    </x:xf>
    <x:xf numFmtId="201" fontId="3" fillId="0" borderId="7" xfId="0" applyNumberFormat="1" applyFont="1" applyFill="1" applyBorder="1" applyAlignment="1">
      <x:alignment vertical="top" wrapText="1"/>
    </x:xf>
    <x:xf numFmtId="201" fontId="3" fillId="0" borderId="13" xfId="0" applyNumberFormat="1" applyFont="1" applyFill="1" applyBorder="1" applyAlignment="1">
      <x:alignment vertical="top" wrapText="1"/>
    </x:xf>
    <x:xf numFmtId="201" fontId="3" fillId="0" borderId="3" xfId="0" applyNumberFormat="1" applyFont="1" applyFill="1" applyBorder="1" applyAlignment="1">
      <x:alignment vertical="top" wrapText="1"/>
    </x:xf>
    <x:xf numFmtId="200" fontId="3" fillId="0" borderId="12" xfId="0" applyNumberFormat="1" applyFont="1" applyFill="1" applyBorder="1" applyAlignment="1">
      <x:alignment vertical="top" wrapText="1"/>
    </x:xf>
    <x:xf numFmtId="200" fontId="3" fillId="0" borderId="13" xfId="0" applyNumberFormat="1" applyFont="1" applyFill="1" applyBorder="1" applyAlignment="1">
      <x:alignment vertical="top" wrapText="1"/>
    </x:xf>
    <x:xf numFmtId="201" fontId="20" fillId="0" borderId="9" xfId="0" applyNumberFormat="1" applyFont="1" applyFill="1" applyBorder="1" applyAlignment="1">
      <x:alignment vertical="top" wrapText="1"/>
    </x:xf>
    <x:xf numFmtId="200" fontId="13" fillId="0" borderId="11" xfId="0" applyNumberFormat="1" applyFont="1" applyFill="1" applyBorder="1" applyAlignment="1">
      <x:alignment vertical="top" wrapText="1"/>
    </x:xf>
    <x:xf numFmtId="203" fontId="12" fillId="0" borderId="11"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2" fillId="0" borderId="0" xfId="0" applyNumberFormat="1" applyFont="1" applyFill="1" applyBorder="1" applyAlignment="1">
      <x:alignment wrapText="1"/>
    </x:xf>
    <x:xf numFmtId="0" fontId="2" fillId="0" borderId="13"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2" borderId="14" xfId="0" applyNumberFormat="1" applyFont="1" applyFill="1" applyBorder="1" applyAlignment="1">
      <x:alignment vertical="top" wrapText="1"/>
    </x:xf>
    <x:xf numFmtId="0" fontId="3" fillId="2" borderId="14" xfId="0" applyNumberFormat="1" applyFont="1" applyFill="1" applyBorder="1" applyAlignment="1">
      <x:alignment vertical="top" wrapText="1"/>
    </x:xf>
    <x:xf numFmtId="0" fontId="3" fillId="2" borderId="14"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201" fontId="12"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2" fillId="0" borderId="12" xfId="0" applyNumberFormat="1" applyFont="1" applyFill="1" applyBorder="1" applyAlignment="1">
      <x:alignment vertical="top" wrapText="1"/>
    </x:xf>
    <x:xf numFmtId="202" fontId="3" fillId="2" borderId="13" xfId="0" applyNumberFormat="1" applyFont="1" applyFill="1" applyBorder="1" applyAlignment="1">
      <x:alignment horizontal="center" vertical="top" wrapText="1"/>
    </x:xf>
    <x:xf numFmtId="201" fontId="12" fillId="0" borderId="11" xfId="0" applyNumberFormat="1" applyFont="1" applyFill="1" applyBorder="1" applyAlignment="1">
      <x:alignment vertical="top" wrapText="1"/>
    </x:xf>
    <x:xf numFmtId="201" fontId="2" fillId="0" borderId="13" xfId="0" applyNumberFormat="1" applyFont="1" applyFill="1" applyBorder="1" applyAlignment="1">
      <x:alignment vertical="top" wrapText="1"/>
    </x:xf>
    <x:xf numFmtId="202" fontId="2" fillId="0" borderId="13" xfId="0" applyNumberFormat="1" applyFont="1" applyFill="1" applyBorder="1" applyAlignment="1">
      <x:alignment vertical="top" wrapText="1"/>
    </x:xf>
    <x:xf numFmtId="201" fontId="18" fillId="0" borderId="12" xfId="0" applyNumberFormat="1" applyFont="1" applyFill="1" applyBorder="1" applyAlignment="1">
      <x:alignment vertical="top" wrapText="1"/>
    </x:xf>
    <x:xf numFmtId="202" fontId="3" fillId="0" borderId="12" xfId="0" applyNumberFormat="1" applyFont="1" applyFill="1" applyBorder="1" applyAlignment="1">
      <x:alignment vertical="top" wrapText="1"/>
    </x:xf>
    <x:xf numFmtId="202" fontId="3" fillId="0" borderId="13" xfId="0" applyNumberFormat="1" applyFont="1" applyFill="1" applyBorder="1" applyAlignment="1">
      <x:alignment vertical="top" wrapText="1"/>
    </x:xf>
    <x:xf numFmtId="201" fontId="18" fillId="0" borderId="11" xfId="0" applyNumberFormat="1" applyFont="1" applyFill="1" applyBorder="1" applyAlignment="1">
      <x:alignment vertical="top" wrapText="1"/>
    </x:xf>
    <x:xf numFmtId="201" fontId="8" fillId="0" borderId="0" xfId="0" applyNumberFormat="1" applyFont="1" applyFill="1" applyBorder="1"/>
    <x:xf numFmtId="201" fontId="9" fillId="0" borderId="0" xfId="0" applyNumberFormat="1" applyFont="1" applyFill="1" applyBorder="1"/>
    <x:xf numFmtId="200" fontId="8" fillId="0" borderId="0" xfId="0" applyNumberFormat="1" applyFont="1" applyFill="1" applyBorder="1"/>
    <x:xf numFmtId="203" fontId="9" fillId="0" borderId="0" xfId="0" applyNumberFormat="1" applyFont="1" applyFill="1" applyBorder="1"/>
    <x:xf numFmtId="203" fontId="8" fillId="0" borderId="0" xfId="0" applyNumberFormat="1" applyFont="1" applyFill="1" applyBorder="1"/>
    <x:xf numFmtId="201" fontId="11" fillId="0" borderId="0" xfId="0" applyNumberFormat="1" applyFont="1" applyFill="1" applyBorder="1"/>
    <x:xf numFmtId="201" fontId="10" fillId="0" borderId="0" xfId="0" applyNumberFormat="1" applyFont="1" applyFill="1" applyBorder="1"/>
    <x:xf numFmtId="200" fontId="11" fillId="0" borderId="0" xfId="0" applyNumberFormat="1" applyFont="1" applyFill="1" applyBorder="1"/>
    <x:xf numFmtId="203" fontId="10" fillId="0" borderId="0" xfId="0" applyNumberFormat="1" applyFont="1" applyFill="1" applyBorder="1"/>
    <x:xf numFmtId="203" fontId="11" fillId="0" borderId="0" xfId="0" applyNumberFormat="1" applyFont="1" applyFill="1" applyBorder="1"/>
    <x:xf numFmtId="201" fontId="13" fillId="0" borderId="0" xfId="0" applyNumberFormat="1" applyFont="1" applyFill="1" applyBorder="1"/>
    <x:xf numFmtId="201" fontId="12" fillId="0" borderId="0" xfId="0" applyNumberFormat="1" applyFont="1" applyFill="1" applyBorder="1"/>
    <x:xf numFmtId="200" fontId="13" fillId="0" borderId="0" xfId="0" applyNumberFormat="1" applyFont="1" applyFill="1" applyBorder="1"/>
    <x:xf numFmtId="203" fontId="12" fillId="0" borderId="0" xfId="0" applyNumberFormat="1" applyFont="1" applyFill="1" applyBorder="1"/>
    <x:xf numFmtId="203" fontId="13" fillId="0" borderId="0" xfId="0" applyNumberFormat="1" applyFont="1" applyFill="1" applyBorder="1"/>
    <x:xf numFmtId="201" fontId="13" fillId="0" borderId="0" xfId="0" applyNumberFormat="1" applyFont="1" applyFill="1" applyBorder="1" applyAlignment="1">
      <x:alignment wrapText="1"/>
    </x:xf>
    <x:xf numFmtId="201" fontId="12" fillId="0" borderId="0" xfId="0" applyNumberFormat="1" applyFont="1" applyFill="1" applyBorder="1" applyAlignment="1">
      <x:alignment wrapText="1"/>
    </x:xf>
    <x:xf numFmtId="200" fontId="13" fillId="0" borderId="0" xfId="0" applyNumberFormat="1" applyFont="1" applyFill="1" applyBorder="1" applyAlignment="1">
      <x:alignment wrapText="1"/>
    </x:xf>
    <x:xf numFmtId="203" fontId="12" fillId="0" borderId="0" xfId="0" applyNumberFormat="1" applyFont="1" applyFill="1" applyBorder="1" applyAlignment="1">
      <x:alignment wrapText="1"/>
    </x:xf>
    <x:xf numFmtId="203" fontId="13" fillId="0" borderId="0" xfId="0" applyNumberFormat="1" applyFont="1" applyFill="1" applyBorder="1" applyAlignment="1">
      <x:alignment wrapText="1"/>
    </x:xf>
    <x:xf numFmtId="200" fontId="13" fillId="0" borderId="0" xfId="0" applyNumberFormat="1" applyFont="1" applyFill="1" applyBorder="1" applyAlignment="1">
      <x:alignment vertical="top" wrapText="1"/>
    </x:xf>
    <x:xf numFmtId="203" fontId="12" fillId="0" borderId="0" xfId="0" applyNumberFormat="1" applyFont="1" applyFill="1" applyBorder="1" applyAlignment="1">
      <x:alignment vertical="top" wrapText="1"/>
    </x:xf>
    <x:xf numFmtId="203" fontId="13" fillId="0" borderId="0" xfId="0" applyNumberFormat="1" applyFont="1" applyFill="1" applyBorder="1" applyAlignment="1">
      <x:alignment vertical="top" wrapText="1"/>
    </x:xf>
    <x:xf numFmtId="203" fontId="13" fillId="0" borderId="11" xfId="0" applyNumberFormat="1" applyFont="1" applyFill="1" applyBorder="1" applyAlignment="1">
      <x:alignment vertical="top" wrapText="1"/>
    </x:xf>
    <x:xf numFmtId="200" fontId="13" fillId="0" borderId="12"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3" xfId="0" applyNumberFormat="1" applyFont="1" applyFill="1" applyBorder="1" applyAlignment="1">
      <x:alignment wrapText="1"/>
    </x:xf>
    <x:xf numFmtId="0" fontId="2" fillId="0" borderId="3" xfId="0" applyNumberFormat="1" applyFont="1" applyFill="1" applyBorder="1" applyAlignment="1">
      <x:alignment wrapText="1"/>
    </x:xf>
    <x:xf numFmtId="201" fontId="13" fillId="0" borderId="7" xfId="0" applyNumberFormat="1" applyFont="1" applyFill="1" applyBorder="1" applyAlignment="1">
      <x:alignment vertical="top" wrapText="1"/>
    </x:xf>
    <x:xf numFmtId="0" fontId="2" fillId="0" borderId="18"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4" fillId="0" borderId="20" xfId="0" applyNumberFormat="1" applyFont="1" applyFill="1" applyBorder="1" applyAlignment="1">
      <x:alignment vertical="top" wrapText="0"/>
    </x:xf>
    <x:xf numFmtId="0" fontId="2" fillId="0" borderId="21" xfId="0" applyNumberFormat="1" applyFont="1" applyFill="1" applyBorder="1" applyAlignment="1">
      <x:alignment vertical="top" wrapText="0"/>
    </x:xf>
    <x:xf numFmtId="0" fontId="3" fillId="2" borderId="22" xfId="0" applyNumberFormat="1" applyFont="1" applyFill="1" applyBorder="1" applyAlignment="1">
      <x:alignment horizontal="center" vertical="top" wrapText="1"/>
    </x:xf>
    <x:xf numFmtId="0" fontId="3" fillId="2" borderId="23" xfId="0" applyNumberFormat="1" applyFont="1" applyFill="1" applyBorder="1" applyAlignment="1">
      <x:alignment horizontal="center" vertical="top" wrapText="1"/>
    </x:xf>
    <x:xf numFmtId="0" fontId="3" fillId="0" borderId="24" xfId="0" applyNumberFormat="1" applyFont="1" applyFill="1" applyBorder="1" applyAlignment="1">
      <x:alignment vertical="top" wrapText="1"/>
    </x:xf>
    <x:xf numFmtId="0" fontId="2" fillId="0" borderId="25" xfId="0" applyNumberFormat="1" applyFont="1" applyFill="1" applyBorder="1" applyAlignment="1">
      <x:alignment vertical="top" wrapText="1"/>
    </x:xf>
    <x:xf numFmtId="0" fontId="3" fillId="0" borderId="26" xfId="0" applyNumberFormat="1" applyFont="1" applyFill="1" applyBorder="1" applyAlignment="1">
      <x:alignment vertical="top" wrapText="1"/>
    </x:xf>
    <x:xf numFmtId="0" fontId="2" fillId="0" borderId="27" xfId="0" applyNumberFormat="1" applyFont="1" applyFill="1" applyBorder="1" applyAlignment="1">
      <x:alignment vertical="top" wrapText="1"/>
    </x:xf>
    <x:xf numFmtId="0" fontId="5" fillId="0" borderId="28" xfId="0" applyNumberFormat="1" applyFont="1" applyFill="1" applyBorder="1" applyAlignment="1">
      <x:alignment vertical="top" wrapText="1"/>
    </x:xf>
    <x:xf numFmtId="200" fontId="6" fillId="0" borderId="29" xfId="0" applyNumberFormat="1" applyFont="1" applyFill="1" applyBorder="1" applyAlignment="1">
      <x:alignment vertical="top" wrapText="1"/>
    </x:xf>
    <x:xf numFmtId="0" fontId="2" fillId="0" borderId="30" xfId="0" applyNumberFormat="1" applyFont="1" applyFill="1" applyBorder="1" applyAlignment="1">
      <x:alignment vertical="top" wrapText="1"/>
    </x:xf>
    <x:xf numFmtId="0" fontId="2" fillId="0" borderId="31" xfId="0" applyNumberFormat="1" applyFont="1" applyFill="1" applyBorder="1" applyAlignment="1">
      <x:alignment vertical="top" wrapText="1"/>
    </x:xf>
    <x:xf numFmtId="0" fontId="3" fillId="0" borderId="32" xfId="0" applyNumberFormat="1" applyFont="1" applyFill="1" applyBorder="1" applyAlignment="1">
      <x:alignment vertical="top" wrapText="1"/>
    </x:xf>
    <x:xf numFmtId="0" fontId="2" fillId="0" borderId="33" xfId="0" applyNumberFormat="1" applyFont="1" applyFill="1" applyBorder="1" applyAlignment="1">
      <x:alignment vertical="top" wrapText="1"/>
    </x:xf>
    <x:xf numFmtId="0" fontId="2" fillId="0" borderId="34" xfId="0" applyNumberFormat="1" applyFont="1" applyFill="1" applyBorder="1" applyAlignment="1">
      <x:alignment vertical="top" wrapText="1"/>
    </x:xf>
    <x:xf numFmtId="0" fontId="2" fillId="0" borderId="35" xfId="0" applyNumberFormat="1" applyFont="1" applyFill="1" applyBorder="1" applyAlignment="1">
      <x:alignment vertical="top" wrapText="1"/>
    </x:xf>
    <x:xf numFmtId="0" fontId="2" fillId="0" borderId="36" xfId="0" applyNumberFormat="1" applyFont="1" applyFill="1" applyBorder="1" applyAlignment="1">
      <x:alignment vertical="top" wrapText="1"/>
    </x:xf>
    <x:xf numFmtId="0" fontId="2" fillId="0" borderId="37" xfId="0" applyNumberFormat="1" applyFont="1" applyFill="1" applyBorder="1" applyAlignment="1">
      <x:alignment vertical="top" wrapText="1"/>
    </x:xf>
    <x:xf numFmtId="0" fontId="3" fillId="2" borderId="38" xfId="0" applyNumberFormat="1" applyFont="1" applyFill="1" applyBorder="1" applyAlignment="1">
      <x:alignment horizontal="center" vertical="top" wrapText="1"/>
    </x:xf>
    <x:xf numFmtId="201" fontId="13" fillId="0" borderId="39" xfId="0" applyNumberFormat="1" applyFont="1" applyFill="1" applyBorder="1" applyAlignment="1">
      <x:alignment vertical="top" wrapText="1"/>
    </x:xf>
    <x:xf numFmtId="202" fontId="2" fillId="0" borderId="40" xfId="0" applyNumberFormat="1" applyFont="1" applyFill="1" applyBorder="1" applyAlignment="1">
      <x:alignment vertical="top" wrapText="1"/>
    </x:xf>
    <x:xf numFmtId="0" fontId="2" fillId="0" borderId="41" xfId="0" applyNumberFormat="1" applyFont="1" applyFill="1" applyBorder="1" applyAlignment="1">
      <x:alignment vertical="top" wrapText="1"/>
    </x:xf>
    <x:xf numFmtId="0" fontId="3" fillId="0" borderId="42" xfId="0" applyNumberFormat="1" applyFont="1" applyFill="1" applyBorder="1" applyAlignment="1">
      <x:alignment vertical="top" wrapText="1"/>
    </x:xf>
    <x:xf numFmtId="201" fontId="18" fillId="0" borderId="43" xfId="0" applyNumberFormat="1" applyFont="1" applyFill="1" applyBorder="1" applyAlignment="1">
      <x:alignment vertical="top" wrapText="1"/>
    </x:xf>
    <x:xf numFmtId="202" fontId="3" fillId="0" borderId="44" xfId="0" applyNumberFormat="1" applyFont="1" applyFill="1" applyBorder="1" applyAlignment="1">
      <x:alignment vertical="top" wrapText="1"/>
    </x:xf>
    <x:xf numFmtId="0" fontId="3" fillId="0" borderId="45" xfId="0" applyNumberFormat="1" applyFont="1" applyFill="1" applyBorder="1" applyAlignment="1">
      <x:alignment vertical="top" wrapText="1"/>
    </x:xf>
    <x:xf numFmtId="0" fontId="3" fillId="0" borderId="46" xfId="0" applyNumberFormat="1" applyFont="1" applyFill="1" applyBorder="1" applyAlignment="1">
      <x:alignment vertical="top" wrapText="1"/>
    </x:xf>
    <x:xf numFmtId="201" fontId="2" fillId="0" borderId="47" xfId="0" applyNumberFormat="1" applyFont="1" applyFill="1" applyBorder="1" applyAlignment="1">
      <x:alignment vertical="top" wrapText="1"/>
    </x:xf>
    <x:xf numFmtId="202" fontId="2" fillId="0" borderId="48" xfId="0" applyNumberFormat="1" applyFont="1" applyFill="1" applyBorder="1" applyAlignment="1">
      <x:alignment vertical="top" wrapText="1"/>
    </x:xf>
    <x:xf numFmtId="201" fontId="3" fillId="2" borderId="49" xfId="0" applyNumberFormat="1" applyFont="1" applyFill="1" applyBorder="1" applyAlignment="1">
      <x:alignment horizontal="center" vertical="top" wrapText="1"/>
    </x:xf>
    <x:xf numFmtId="202" fontId="3" fillId="2" borderId="50" xfId="0" applyNumberFormat="1" applyFont="1" applyFill="1" applyBorder="1" applyAlignment="1">
      <x:alignment horizontal="center" vertical="top" wrapText="1"/>
    </x:xf>
    <x:xf numFmtId="201" fontId="2" fillId="0" borderId="51" xfId="0" applyNumberFormat="1" applyFont="1" applyFill="1" applyBorder="1" applyAlignment="1">
      <x:alignment vertical="top" wrapText="1"/>
    </x:xf>
    <x:xf numFmtId="0" fontId="3" fillId="0" borderId="52" xfId="0" applyNumberFormat="1" applyFont="1" applyFill="1" applyBorder="1" applyAlignment="1">
      <x:alignment vertical="top" wrapText="1"/>
    </x:xf>
    <x:xf numFmtId="201" fontId="18" fillId="0" borderId="53" xfId="0" applyNumberFormat="1" applyFont="1" applyFill="1" applyBorder="1" applyAlignment="1">
      <x:alignment vertical="top" wrapText="1"/>
    </x:xf>
    <x:xf numFmtId="202" fontId="3" fillId="0" borderId="54" xfId="0" applyNumberFormat="1" applyFont="1" applyFill="1" applyBorder="1" applyAlignment="1">
      <x:alignment vertical="top" wrapText="1"/>
    </x:xf>
    <x:xf numFmtId="0" fontId="3" fillId="0" borderId="55" xfId="0" applyNumberFormat="1" applyFont="1" applyFill="1" applyBorder="1" applyAlignment="1">
      <x:alignment vertical="top" wrapText="1"/>
    </x:xf>
    <x:xf numFmtId="0" fontId="3" fillId="0" borderId="56" xfId="0" applyNumberFormat="1" applyFont="1" applyFill="1" applyBorder="1" applyAlignment="1">
      <x:alignment vertical="top" wrapText="1"/>
    </x:xf>
    <x:xf numFmtId="201" fontId="2" fillId="0" borderId="57" xfId="0" applyNumberFormat="1" applyFont="1" applyFill="1" applyBorder="1" applyAlignment="1">
      <x:alignment vertical="top" wrapText="1"/>
    </x:xf>
    <x:xf numFmtId="202" fontId="2" fillId="0" borderId="58" xfId="0" applyNumberFormat="1" applyFont="1" applyFill="1" applyBorder="1" applyAlignment="1">
      <x:alignment vertical="top" wrapText="1"/>
    </x:xf>
    <x:xf numFmtId="0" fontId="2" fillId="0" borderId="59" xfId="0" applyNumberFormat="1" applyFont="1" applyFill="1" applyBorder="1" applyAlignment="1">
      <x:alignment vertical="top" wrapText="1"/>
    </x:xf>
    <x:xf numFmtId="0" fontId="2" fillId="0" borderId="60" xfId="0" applyNumberFormat="1" applyFont="1" applyFill="1" applyBorder="1" applyAlignment="1">
      <x:alignment vertical="top" wrapText="1"/>
    </x:xf>
    <x:xf numFmtId="201" fontId="2" fillId="0" borderId="61" xfId="0" applyNumberFormat="1" applyFont="1" applyFill="1" applyBorder="1" applyAlignment="1">
      <x:alignment vertical="top" wrapText="1"/>
    </x:xf>
    <x:xf numFmtId="202" fontId="2" fillId="0" borderId="62" xfId="0" applyNumberFormat="1" applyFont="1" applyFill="1" applyBorder="1" applyAlignment="1">
      <x:alignment vertical="top" wrapText="1"/>
    </x:xf>
    <x:xf numFmtId="0" fontId="2" fillId="0" borderId="63" xfId="0" applyNumberFormat="1" applyFont="1" applyFill="1" applyBorder="1" applyAlignment="1">
      <x:alignment vertical="top" wrapText="1"/>
    </x:xf>
    <x:xf numFmtId="0" fontId="2" fillId="0" borderId="64" xfId="0" applyNumberFormat="1" applyFont="1" applyFill="1" applyBorder="1" applyAlignment="1">
      <x:alignment vertical="top" wrapText="1"/>
    </x:xf>
    <x:xf numFmtId="0" fontId="4" fillId="0" borderId="65" xfId="0" applyNumberFormat="1" applyFont="1" applyFill="1" applyBorder="1" applyAlignment="1">
      <x:alignment vertical="top" wrapText="1"/>
    </x:xf>
    <x:xf numFmtId="0" fontId="16" fillId="0" borderId="66" xfId="0" applyNumberFormat="1" applyFont="1" applyFill="1" applyBorder="1" applyAlignment="1">
      <x:alignment vertical="top" wrapText="1"/>
    </x:xf>
    <x:xf numFmtId="201" fontId="20" fillId="0" borderId="67" xfId="0" applyNumberFormat="1" applyFont="1" applyFill="1" applyBorder="1" applyAlignment="1">
      <x:alignment vertical="top" wrapText="1"/>
    </x:xf>
    <x:xf numFmtId="0" fontId="16" fillId="0" borderId="68" xfId="0" applyNumberFormat="1" applyFont="1" applyFill="1" applyBorder="1" applyAlignment="1">
      <x:alignment vertical="top" wrapText="1"/>
    </x:xf>
    <x:xf numFmtId="200" fontId="13" fillId="0" borderId="69" xfId="0" applyNumberFormat="1" applyFont="1" applyFill="1" applyBorder="1" applyAlignment="1">
      <x:alignment vertical="top" wrapText="1"/>
    </x:xf>
    <x:xf numFmtId="203" fontId="12" fillId="0" borderId="70" xfId="0" applyNumberFormat="1" applyFont="1" applyFill="1" applyBorder="1" applyAlignment="1">
      <x:alignment vertical="top" wrapText="1"/>
    </x:xf>
    <x:xf numFmtId="200" fontId="12" fillId="0" borderId="71" xfId="0" applyNumberFormat="1" applyFont="1" applyFill="1" applyBorder="1" applyAlignment="1">
      <x:alignment vertical="top" wrapText="1"/>
    </x:xf>
    <x:xf numFmtId="0" fontId="16" fillId="0" borderId="72" xfId="0" applyNumberFormat="1" applyFont="1" applyFill="1" applyBorder="1" applyAlignment="1">
      <x:alignment vertical="top" wrapText="1"/>
    </x:xf>
    <x:xf numFmtId="0" fontId="3" fillId="2" borderId="73" xfId="0" applyNumberFormat="1" applyFont="1" applyFill="1" applyBorder="1" applyAlignment="1">
      <x:alignment horizontal="center" vertical="top" wrapText="1"/>
    </x:xf>
    <x:xf numFmtId="0" fontId="13" fillId="0" borderId="74" xfId="0" applyNumberFormat="1" applyFont="1" applyFill="1" applyBorder="1" applyAlignment="1">
      <x:alignment vertical="top" wrapText="1"/>
    </x:xf>
    <x:xf numFmtId="0" fontId="13" fillId="0" borderId="75" xfId="0" applyNumberFormat="1" applyFont="1" applyFill="1" applyBorder="1" applyAlignment="1">
      <x:alignment vertical="top" wrapText="1"/>
    </x:xf>
    <x:xf numFmtId="0" fontId="13" fillId="0" borderId="76" xfId="0" applyNumberFormat="1" applyFont="1" applyFill="1" applyBorder="1" applyAlignment="1">
      <x:alignment vertical="top" wrapText="1"/>
    </x:xf>
    <x:xf numFmtId="0" fontId="13" fillId="0" borderId="77" xfId="0" applyNumberFormat="1" applyFont="1" applyFill="1" applyBorder="1" applyAlignment="1">
      <x:alignment vertical="top" wrapText="1"/>
    </x:xf>
    <x:xf numFmtId="0" fontId="13" fillId="0" borderId="78" xfId="0" applyNumberFormat="1" applyFont="1" applyFill="1" applyBorder="1" applyAlignment="1">
      <x:alignment vertical="top" wrapText="1"/>
    </x:xf>
    <x:xf numFmtId="0" fontId="13" fillId="0" borderId="79" xfId="0" applyNumberFormat="1" applyFont="1" applyFill="1" applyBorder="1" applyAlignment="1">
      <x:alignment vertical="top" wrapText="1"/>
    </x:xf>
    <x:xf numFmtId="0" fontId="19" fillId="0" borderId="80" xfId="0" applyNumberFormat="1" applyFont="1" applyFill="1" applyBorder="1" applyAlignment="1">
      <x:alignment vertical="top" wrapText="1"/>
    </x:xf>
    <x:xf numFmtId="201" fontId="13" fillId="0" borderId="81" xfId="0" applyNumberFormat="1" applyFont="1" applyFill="1" applyBorder="1" applyAlignment="1">
      <x:alignment vertical="top" wrapText="1"/>
    </x:xf>
    <x:xf numFmtId="201" fontId="3" fillId="0" borderId="82" xfId="0" applyNumberFormat="1" applyFont="1" applyFill="1" applyBorder="1" applyAlignment="1">
      <x:alignment vertical="top" wrapText="1"/>
    </x:xf>
    <x:xf numFmtId="201" fontId="3" fillId="0" borderId="83" xfId="0" applyNumberFormat="1" applyFont="1" applyFill="1" applyBorder="1" applyAlignment="1">
      <x:alignment vertical="top" wrapText="1"/>
    </x:xf>
    <x:xf numFmtId="201" fontId="2" fillId="0" borderId="84" xfId="0" applyNumberFormat="1" applyFont="1" applyFill="1" applyBorder="1" applyAlignment="1">
      <x:alignment vertical="top" wrapText="1"/>
    </x:xf>
    <x:xf numFmtId="201" fontId="2" fillId="0" borderId="85" xfId="0" applyNumberFormat="1" applyFont="1" applyFill="1" applyBorder="1" applyAlignment="1">
      <x:alignment vertical="top" wrapText="1"/>
    </x:xf>
    <x:xf numFmtId="201" fontId="3" fillId="0" borderId="86" xfId="0" applyNumberFormat="1" applyFont="1" applyFill="1" applyBorder="1" applyAlignment="1">
      <x:alignment vertical="top" wrapText="1"/>
    </x:xf>
    <x:xf numFmtId="201" fontId="3" fillId="0" borderId="87" xfId="0" applyNumberFormat="1" applyFont="1" applyFill="1" applyBorder="1" applyAlignment="1">
      <x:alignment vertical="top" wrapText="1"/>
    </x:xf>
    <x:xf numFmtId="201" fontId="2" fillId="0" borderId="88" xfId="0" applyNumberFormat="1" applyFont="1" applyFill="1" applyBorder="1" applyAlignment="1">
      <x:alignment vertical="top" wrapText="1"/>
    </x:xf>
    <x:xf numFmtId="201" fontId="13" fillId="0" borderId="89" xfId="0" applyNumberFormat="1" applyFont="1" applyFill="1" applyBorder="1" applyAlignment="1">
      <x:alignment vertical="top" wrapText="1"/>
    </x:xf>
    <x:xf numFmtId="201" fontId="13" fillId="0" borderId="90" xfId="0" applyNumberFormat="1" applyFont="1" applyFill="1" applyBorder="1" applyAlignment="1">
      <x:alignment vertical="top" wrapText="1"/>
    </x:xf>
    <x:xf numFmtId="201" fontId="3" fillId="0" borderId="91" xfId="0" applyNumberFormat="1" applyFont="1" applyFill="1" applyBorder="1" applyAlignment="1">
      <x:alignment vertical="top" wrapText="1"/>
    </x:xf>
    <x:xf numFmtId="201" fontId="3" fillId="0" borderId="92" xfId="0" applyNumberFormat="1" applyFont="1" applyFill="1" applyBorder="1" applyAlignment="1">
      <x:alignment vertical="top" wrapText="1"/>
    </x:xf>
    <x:xf numFmtId="200" fontId="3" fillId="0" borderId="93" xfId="0" applyNumberFormat="1" applyFont="1" applyFill="1" applyBorder="1" applyAlignment="1">
      <x:alignment vertical="top" wrapText="1"/>
    </x:xf>
    <x:xf numFmtId="201" fontId="12" fillId="0" borderId="94" xfId="0" applyNumberFormat="1" applyFont="1" applyFill="1" applyBorder="1" applyAlignment="1">
      <x:alignment vertical="top" wrapText="1"/>
    </x:xf>
    <x:xf numFmtId="203" fontId="13" fillId="0" borderId="95" xfId="0" applyNumberFormat="1" applyFont="1" applyFill="1" applyBorder="1" applyAlignment="1">
      <x:alignment vertical="top" wrapText="1"/>
    </x:xf>
    <x:xf numFmtId="200" fontId="13" fillId="0" borderId="96" xfId="0" applyNumberFormat="1" applyFont="1" applyFill="1" applyBorder="1" applyAlignment="1">
      <x:alignment vertical="top" wrapText="1"/>
    </x:xf>
    <x:xf numFmtId="0" fontId="2" fillId="0" borderId="97" xfId="0" applyNumberFormat="1" applyFont="1" applyFill="1" applyBorder="1"/>
    <x:xf numFmtId="201" fontId="13" fillId="0" borderId="98" xfId="0" applyNumberFormat="1" applyFont="1" applyFill="1" applyBorder="1" applyAlignment="1">
      <x:alignment vertical="top" wrapText="1"/>
    </x:xf>
    <x:xf numFmtId="201" fontId="13" fillId="0" borderId="99" xfId="0" applyNumberFormat="1" applyFont="1" applyFill="1" applyBorder="1" applyAlignment="1">
      <x:alignment vertical="top" wrapText="1"/>
    </x:xf>
    <x:xf numFmtId="201" fontId="13" fillId="0" borderId="100" xfId="0" applyNumberFormat="1" applyFont="1" applyFill="1" applyBorder="1" applyAlignment="1">
      <x:alignment vertical="top" wrapText="1"/>
    </x:xf>
    <x:xf numFmtId="0" fontId="2" fillId="0" borderId="101" xfId="0" applyNumberFormat="1" applyFont="1" applyFill="1" applyBorder="1" applyAlignment="1">
      <x:alignment vertical="top" wrapText="1"/>
    </x:xf>
    <x:xf numFmtId="0" fontId="3" fillId="0" borderId="102" xfId="0" applyNumberFormat="1" applyFont="1" applyFill="1" applyBorder="1" applyAlignment="1">
      <x:alignment vertical="top" wrapText="1"/>
    </x:xf>
    <x:xf numFmtId="0" fontId="3" fillId="0" borderId="103" xfId="0" applyNumberFormat="1" applyFont="1" applyFill="1" applyBorder="1" applyAlignment="1">
      <x:alignment vertical="top" wrapText="1"/>
    </x:xf>
    <x:xf numFmtId="0" fontId="2" fillId="0" borderId="104" xfId="0" applyNumberFormat="1" applyFont="1" applyFill="1" applyBorder="1" applyAlignment="1">
      <x:alignment vertical="top" wrapText="1"/>
    </x:xf>
    <x:xf numFmtId="201" fontId="2" fillId="0" borderId="105" xfId="0" applyNumberFormat="1" applyFont="1" applyFill="1" applyBorder="1" applyAlignment="1">
      <x:alignment vertical="top" wrapText="1"/>
    </x:xf>
    <x:xf numFmtId="0" fontId="2" fillId="0" borderId="106" xfId="0" applyNumberFormat="1" applyFont="1" applyFill="1" applyBorder="1" applyAlignment="1">
      <x:alignment vertical="top" wrapText="1"/>
    </x:xf>
    <x:xf numFmtId="201" fontId="2" fillId="0" borderId="107" xfId="0" applyNumberFormat="1" applyFont="1" applyFill="1" applyBorder="1" applyAlignment="1">
      <x:alignment vertical="top" wrapText="1"/>
    </x:xf>
    <x:xf numFmtId="0" fontId="2" fillId="0" borderId="108" xfId="0" applyNumberFormat="1" applyFont="1" applyFill="1" applyBorder="1" applyAlignment="1">
      <x:alignment vertical="top" wrapText="1"/>
    </x:xf>
    <x:xf numFmtId="0" fontId="2" fillId="0" borderId="109" xfId="0" applyNumberFormat="1" applyFont="1" applyFill="1" applyBorder="1" applyAlignment="1">
      <x:alignment vertical="top" wrapText="1"/>
    </x:xf>
    <x:xf numFmtId="0" fontId="2" fillId="0" borderId="110" xfId="0" applyNumberFormat="1" applyFont="1" applyFill="1" applyBorder="1" applyAlignment="1">
      <x:alignment vertical="top" wrapText="1"/>
    </x:xf>
    <x:xf numFmtId="201" fontId="13" fillId="0" borderId="111" xfId="0" applyNumberFormat="1" applyFont="1" applyFill="1" applyBorder="1" applyAlignment="1">
      <x:alignment vertical="top" wrapText="1"/>
    </x:xf>
    <x:xf numFmtId="0" fontId="2" fillId="0" borderId="112" xfId="0" applyNumberFormat="1" applyFont="1" applyFill="1" applyBorder="1" applyAlignment="1">
      <x:alignment vertical="top" wrapText="1"/>
    </x:xf>
    <x:xf numFmtId="0" fontId="2" fillId="0" borderId="113" xfId="0" applyNumberFormat="1" applyFont="1" applyFill="1" applyBorder="1" applyAlignment="1">
      <x:alignment vertical="top" wrapText="1"/>
    </x:xf>
    <x:xf numFmtId="0" fontId="2" fillId="0" borderId="114" xfId="0" applyNumberFormat="1" applyFont="1" applyFill="1" applyBorder="1" applyAlignment="1">
      <x:alignment vertical="top" wrapText="1"/>
    </x:xf>
    <x:xf numFmtId="202" fontId="13" fillId="0" borderId="115" xfId="0" applyNumberFormat="1" applyFont="1" applyFill="1" applyBorder="1" applyAlignment="1">
      <x:alignment vertical="top" wrapText="1"/>
    </x:xf>
    <x:xf numFmtId="204" fontId="13" fillId="0" borderId="116" xfId="0" applyNumberFormat="1" applyFont="1" applyFill="1" applyBorder="1" applyAlignment="1">
      <x:alignment vertical="top" wrapText="1"/>
    </x:xf>
    <x:xf numFmtId="201" fontId="15" fillId="0" borderId="117" xfId="0" applyNumberFormat="1" applyFont="1" applyFill="1" applyBorder="1" applyAlignment="1">
      <x:alignment vertical="top" wrapText="1"/>
    </x:xf>
    <x:xf numFmtId="202" fontId="2" fillId="0" borderId="118" xfId="0" applyNumberFormat="1" applyFont="1" applyFill="1" applyBorder="1" applyAlignment="1">
      <x:alignment vertical="top" wrapText="1"/>
    </x:xf>
    <x:xf numFmtId="0" fontId="2" fillId="0" borderId="119" xfId="0" applyNumberFormat="1" applyFont="1" applyFill="1" applyBorder="1" applyAlignment="1">
      <x:alignment vertical="top" wrapText="1"/>
    </x:xf>
    <x:xf numFmtId="201" fontId="15" fillId="0" borderId="120" xfId="0" applyNumberFormat="1" applyFont="1" applyFill="1" applyBorder="1" applyAlignment="1">
      <x:alignment vertical="top" wrapText="1"/>
    </x:xf>
    <x:xf numFmtId="0" fontId="2" fillId="0" borderId="121" xfId="0" applyNumberFormat="1" applyFont="1" applyFill="1" applyBorder="1" applyAlignment="1">
      <x:alignment vertical="top" wrapText="1"/>
    </x:xf>
    <x:xf numFmtId="0" fontId="2" fillId="0" borderId="122" xfId="0" applyNumberFormat="1" applyFont="1" applyFill="1" applyBorder="1" applyAlignment="1">
      <x:alignment vertical="top" wrapText="1"/>
    </x:xf>
    <x:xf numFmtId="0" fontId="3" fillId="2" borderId="123" xfId="0" applyNumberFormat="1" applyFont="1" applyFill="1" applyBorder="1" applyAlignment="1">
      <x:alignment horizontal="center" vertical="top" wrapText="1"/>
    </x:xf>
    <x:xf numFmtId="204" fontId="15" fillId="0" borderId="124" xfId="0" applyNumberFormat="1" applyFont="1" applyFill="1" applyBorder="1" applyAlignment="1">
      <x:alignment vertical="top" wrapText="1"/>
    </x:xf>
    <x:xf numFmtId="204" fontId="15" fillId="0" borderId="125" xfId="0" applyNumberFormat="1" applyFont="1" applyFill="1" applyBorder="1" applyAlignment="1">
      <x:alignment vertical="top" wrapText="1"/>
    </x:xf>
    <x:xf numFmtId="204" fontId="15" fillId="0" borderId="126" xfId="0" applyNumberFormat="1" applyFont="1" applyFill="1" applyBorder="1" applyAlignment="1">
      <x:alignment vertical="top" wrapText="1"/>
    </x:xf>
    <x:xf numFmtId="204" fontId="15" fillId="0" borderId="127" xfId="0" applyNumberFormat="1" applyFont="1" applyFill="1" applyBorder="1" applyAlignment="1">
      <x:alignment vertical="top" wrapText="1"/>
    </x:xf>
    <x:xf numFmtId="202" fontId="2" fillId="0" borderId="128" xfId="0" applyNumberFormat="1" applyFont="1" applyFill="1" applyBorder="1" applyAlignment="1">
      <x:alignment vertical="top" wrapText="1"/>
    </x:xf>
    <x:xf numFmtId="204" fontId="15" fillId="0" borderId="129" xfId="0" applyNumberFormat="1" applyFont="1" applyFill="1" applyBorder="1" applyAlignment="1">
      <x:alignment vertical="top" wrapText="1"/>
    </x:xf>
    <x:xf numFmtId="204" fontId="15" fillId="0" borderId="130" xfId="0" applyNumberFormat="1" applyFont="1" applyFill="1" applyBorder="1" applyAlignment="1">
      <x:alignment vertical="top" wrapText="1"/>
    </x:xf>
    <x:xf numFmtId="0" fontId="3" fillId="2" borderId="131" xfId="0" applyNumberFormat="1" applyFont="1" applyFill="1" applyBorder="1" applyAlignment="1">
      <x:alignment horizontal="center" vertical="top" wrapText="1"/>
    </x:xf>
    <x:xf numFmtId="0" fontId="2" fillId="0" borderId="132" xfId="0" applyNumberFormat="1" applyFont="1" applyFill="1" applyBorder="1" applyAlignment="1">
      <x:alignment vertical="top" wrapText="1"/>
    </x:xf>
    <x:xf numFmtId="0" fontId="2" fillId="0" borderId="133" xfId="0" applyNumberFormat="1" applyFont="1" applyFill="1" applyBorder="1" applyAlignment="1">
      <x:alignment vertical="top" wrapText="1"/>
    </x:xf>
    <x:xf numFmtId="201" fontId="15" fillId="0" borderId="134" xfId="0" applyNumberFormat="1" applyFont="1" applyFill="1" applyBorder="1" applyAlignment="1">
      <x:alignment vertical="top" wrapText="1"/>
    </x:xf>
    <x:xf numFmtId="201" fontId="15" fillId="0" borderId="135" xfId="0" applyNumberFormat="1" applyFont="1" applyFill="1" applyBorder="1" applyAlignment="1">
      <x:alignment vertical="top" wrapText="1"/>
    </x:xf>
    <x:xf numFmtId="0" fontId="2" fillId="0" borderId="136" xfId="0" applyNumberFormat="1" applyFont="1" applyFill="1" applyBorder="1" applyAlignment="1">
      <x:alignment vertical="top" wrapText="1"/>
    </x:xf>
    <x:xf numFmtId="0" fontId="2" fillId="0" borderId="137" xfId="0" applyNumberFormat="1" applyFont="1" applyFill="1" applyBorder="1" applyAlignment="1">
      <x:alignment wrapText="1"/>
    </x:xf>
    <x:xf numFmtId="0" fontId="2" fillId="0" borderId="138" xfId="0" applyNumberFormat="1" applyFont="1" applyFill="1" applyBorder="1" applyAlignment="1">
      <x:alignment wrapText="1"/>
    </x:xf>
    <x:xf numFmtId="0" fontId="2" fillId="0" borderId="139" xfId="0" applyNumberFormat="1" applyFont="1" applyFill="1" applyBorder="1" applyAlignment="1">
      <x:alignment wrapText="1"/>
    </x:xf>
    <x:xf numFmtId="0" fontId="21" fillId="3" borderId="140" xfId="1"/>
    <x:xf numFmtId="0" fontId="22" fillId="3" borderId="140" xfId="1" applyNumberFormat="1" applyFont="1" applyFill="1" applyBorder="1"/>
    <x:xf numFmtId="0" fontId="23" fillId="3" borderId="140" xfId="1" applyNumberFormat="1" applyFont="1" applyFill="1" applyBorder="1"/>
    <x:xf numFmtId="0" fontId="23" fillId="3" borderId="140" xfId="1" applyNumberFormat="1" applyFont="1" applyFill="1" applyBorder="1" applyAlignment="1">
      <x:alignment vertical="top"/>
    </x:xf>
    <x:xf numFmtId="0" fontId="23" fillId="3" borderId="140" xfId="1" applyNumberFormat="1" applyFont="1" applyFill="1" applyBorder="1" applyAlignment="1">
      <x:alignment vertical="top" wrapText="1"/>
    </x:xf>
    <x:xf numFmtId="0" fontId="24" fillId="3" borderId="140" xfId="1" applyNumberFormat="1" applyFont="1" applyFill="1" applyBorder="1" applyAlignment="1">
      <x:alignment vertical="top" wrapText="1"/>
    </x:xf>
    <x:xf numFmtId="0" fontId="25" fillId="3" borderId="140" xfId="1" applyNumberFormat="1" applyFont="1" applyFill="1" applyBorder="1" applyAlignment="1">
      <x:alignment vertical="top" wrapText="1"/>
    </x:xf>
    <x:xf numFmtId="0" fontId="25" fillId="3" borderId="140" xfId="1" applyNumberFormat="1" applyFont="1" applyFill="1" applyBorder="1" applyAlignment="1">
      <x:alignment vertical="top" wrapText="0"/>
    </x:xf>
    <x:xf numFmtId="0" fontId="23" fillId="3" borderId="140" xfId="1" applyNumberFormat="1" applyFont="1" applyFill="1" applyBorder="1" applyAlignment="1">
      <x:alignment vertical="top" wrapText="0"/>
    </x:xf>
    <x:xf numFmtId="0" fontId="23" fillId="5" borderId="140" xfId="1" applyNumberFormat="1" applyFont="1" applyFill="1" applyBorder="1" applyAlignment="1">
      <x:alignment vertical="top" wrapText="1"/>
    </x:xf>
    <x:xf numFmtId="0" fontId="24" fillId="5" borderId="140" xfId="1" applyNumberFormat="1" applyFont="1" applyFill="1" applyBorder="1" applyAlignment="1">
      <x:alignment vertical="top" wrapText="1"/>
    </x:xf>
    <x:xf numFmtId="0" fontId="24" fillId="5" borderId="140" xfId="1" applyNumberFormat="1" applyFont="1" applyFill="1" applyBorder="1" applyAlignment="1">
      <x:alignment horizontal="center" vertical="top" wrapText="1"/>
    </x:xf>
    <x:xf numFmtId="0" fontId="24" fillId="5" borderId="141" xfId="1" applyNumberFormat="1" applyFont="1" applyFill="1" applyBorder="1" applyAlignment="1">
      <x:alignment horizontal="center" vertical="top" wrapText="1"/>
    </x:xf>
    <x:xf numFmtId="0" fontId="24" fillId="5" borderId="142" xfId="1" applyNumberFormat="1" applyFont="1" applyFill="1" applyBorder="1" applyAlignment="1">
      <x:alignment horizontal="center" vertical="top" wrapText="1"/>
    </x:xf>
    <x:xf numFmtId="0" fontId="24" fillId="5" borderId="143" xfId="1" applyNumberFormat="1" applyFont="1" applyFill="1" applyBorder="1" applyAlignment="1">
      <x:alignment horizontal="center" vertical="top" wrapText="1"/>
    </x:xf>
    <x:xf numFmtId="0" fontId="24" fillId="3" borderId="144" xfId="1" applyNumberFormat="1" applyFont="1" applyFill="1" applyBorder="1" applyAlignment="1">
      <x:alignment vertical="top" wrapText="1"/>
    </x:xf>
    <x:xf numFmtId="0" fontId="23" fillId="3" borderId="145" xfId="1" applyNumberFormat="1" applyFont="1" applyFill="1" applyBorder="1" applyAlignment="1">
      <x:alignment vertical="top" wrapText="1"/>
    </x:xf>
    <x:xf numFmtId="0" fontId="24" fillId="3" borderId="146" xfId="1" applyNumberFormat="1" applyFont="1" applyFill="1" applyBorder="1" applyAlignment="1">
      <x:alignment vertical="top" wrapText="1"/>
    </x:xf>
    <x:xf numFmtId="0" fontId="23" fillId="3" borderId="147" xfId="1" applyNumberFormat="1" applyFont="1" applyFill="1" applyBorder="1" applyAlignment="1">
      <x:alignment vertical="top" wrapText="1"/>
    </x:xf>
    <x:xf numFmtId="205" fontId="23" fillId="3" borderId="140" xfId="1" applyNumberFormat="1" applyFont="1" applyFill="1" applyBorder="1" applyAlignment="1">
      <x:alignment vertical="top" wrapText="1"/>
    </x:xf>
    <x:xf numFmtId="0" fontId="26" fillId="3" borderId="140" xfId="1" applyNumberFormat="1" applyFont="1" applyFill="1" applyBorder="1" applyAlignment="1">
      <x:alignment vertical="top" wrapText="1"/>
    </x:xf>
    <x:xf numFmtId="205" fontId="26" fillId="3" borderId="140" xfId="1" applyNumberFormat="1" applyFont="1" applyFill="1" applyBorder="1" applyAlignment="1">
      <x:alignment vertical="top" wrapText="1"/>
    </x:xf>
    <x:xf numFmtId="205" fontId="27" fillId="3" borderId="140" xfId="1" applyNumberFormat="1" applyFont="1" applyFill="1" applyBorder="1" applyAlignment="1">
      <x:alignment vertical="top" wrapText="1"/>
    </x:xf>
    <x:xf numFmtId="0" fontId="26" fillId="3" borderId="144" xfId="1" applyNumberFormat="1" applyFont="1" applyFill="1" applyBorder="1" applyAlignment="1">
      <x:alignment vertical="top" wrapText="1"/>
    </x:xf>
    <x:xf numFmtId="205" fontId="27" fillId="3" borderId="145" xfId="1" applyNumberFormat="1" applyFont="1" applyFill="1" applyBorder="1" applyAlignment="1">
      <x:alignment vertical="top" wrapText="1"/>
    </x:xf>
    <x:xf numFmtId="0" fontId="23" fillId="3" borderId="144" xfId="1" applyNumberFormat="1" applyFont="1" applyFill="1" applyBorder="1" applyAlignment="1">
      <x:alignment vertical="top" wrapText="1"/>
    </x:xf>
    <x:xf numFmtId="0" fontId="23" fillId="3" borderId="146" xfId="1" applyNumberFormat="1" applyFont="1" applyFill="1" applyBorder="1" applyAlignment="1">
      <x:alignment vertical="top" wrapText="1"/>
    </x:xf>
    <x:xf numFmtId="0" fontId="28" fillId="3" borderId="140" xfId="1" applyNumberFormat="1" applyFont="1" applyFill="1" applyBorder="1"/>
    <x:xf numFmtId="206" fontId="28" fillId="3" borderId="140" xfId="1" applyNumberFormat="1" applyFont="1" applyFill="1" applyBorder="1"/>
    <x:xf numFmtId="207" fontId="21" fillId="3" borderId="140" xfId="1" applyNumberFormat="1" applyFont="1" applyFill="1" applyBorder="1"/>
    <x:xf numFmtId="206" fontId="21" fillId="3" borderId="140" xfId="1" applyNumberFormat="1" applyFont="1" applyFill="1" applyBorder="1"/>
    <x:xf numFmtId="205" fontId="21" fillId="3" borderId="140" xfId="1" applyNumberFormat="1" applyFont="1" applyFill="1" applyBorder="1"/>
    <x:xf numFmtId="208" fontId="21" fillId="3" borderId="140" xfId="1" applyNumberFormat="1" applyFont="1" applyFill="1" applyBorder="1"/>
    <x:xf numFmtId="0" fontId="29" fillId="3" borderId="140" xfId="1" applyNumberFormat="1" applyFont="1" applyFill="1" applyBorder="1"/>
    <x:xf numFmtId="0" fontId="30" fillId="3" borderId="140" xfId="1" applyNumberFormat="1" applyFont="1" applyFill="1" applyBorder="1"/>
    <x:xf numFmtId="209" fontId="29" fillId="3" borderId="140" xfId="1" applyNumberFormat="1" applyFont="1" applyFill="1" applyBorder="1"/>
    <x:xf numFmtId="205" fontId="30" fillId="3" borderId="140" xfId="1" applyNumberFormat="1" applyFont="1" applyFill="1" applyBorder="1"/>
    <x:xf numFmtId="206" fontId="22" fillId="3" borderId="140" xfId="1" applyNumberFormat="1" applyFont="1" applyFill="1" applyBorder="1"/>
    <x:xf numFmtId="207" fontId="22" fillId="3" borderId="140" xfId="1" applyNumberFormat="1" applyFont="1" applyFill="1" applyBorder="1"/>
    <x:xf numFmtId="205" fontId="22" fillId="3" borderId="140" xfId="1" applyNumberFormat="1" applyFont="1" applyFill="1" applyBorder="1"/>
    <x:xf numFmtId="208" fontId="22" fillId="3" borderId="140" xfId="1" applyNumberFormat="1" applyFont="1" applyFill="1" applyBorder="1"/>
    <x:xf numFmtId="205" fontId="31" fillId="3" borderId="140" xfId="1" applyNumberFormat="1" applyFont="1" applyFill="1" applyBorder="1"/>
    <x:xf numFmtId="0" fontId="32" fillId="3" borderId="140" xfId="1" applyNumberFormat="1" applyFont="1" applyFill="1" applyBorder="1"/>
    <x:xf numFmtId="206" fontId="23" fillId="3" borderId="140" xfId="1" applyNumberFormat="1" applyFont="1" applyFill="1" applyBorder="1"/>
    <x:xf numFmtId="207" fontId="23" fillId="3" borderId="140" xfId="1" applyNumberFormat="1" applyFont="1" applyFill="1" applyBorder="1"/>
    <x:xf numFmtId="205" fontId="23" fillId="3" borderId="140" xfId="1" applyNumberFormat="1" applyFont="1" applyFill="1" applyBorder="1"/>
    <x:xf numFmtId="208" fontId="23" fillId="3" borderId="140" xfId="1" applyNumberFormat="1" applyFont="1" applyFill="1" applyBorder="1"/>
    <x:xf numFmtId="205" fontId="33" fillId="3" borderId="140" xfId="1" applyNumberFormat="1" applyFont="1" applyFill="1" applyBorder="1"/>
    <x:xf numFmtId="0" fontId="34" fillId="3" borderId="140" xfId="1" applyNumberFormat="1" applyFont="1" applyFill="1" applyBorder="1"/>
    <x:xf numFmtId="206" fontId="23" fillId="3" borderId="140" xfId="1" applyNumberFormat="1" applyFont="1" applyFill="1" applyBorder="1" applyAlignment="1">
      <x:alignment vertical="top"/>
    </x:xf>
    <x:xf numFmtId="207" fontId="23" fillId="3" borderId="140" xfId="1" applyNumberFormat="1" applyFont="1" applyFill="1" applyBorder="1" applyAlignment="1">
      <x:alignment vertical="top"/>
    </x:xf>
    <x:xf numFmtId="205" fontId="23" fillId="3" borderId="140" xfId="1" applyNumberFormat="1" applyFont="1" applyFill="1" applyBorder="1" applyAlignment="1">
      <x:alignment vertical="top"/>
    </x:xf>
    <x:xf numFmtId="208" fontId="23" fillId="3" borderId="140" xfId="1" applyNumberFormat="1" applyFont="1" applyFill="1" applyBorder="1" applyAlignment="1">
      <x:alignment vertical="top"/>
    </x:xf>
    <x:xf numFmtId="205" fontId="33" fillId="3" borderId="140" xfId="1" applyNumberFormat="1" applyFont="1" applyFill="1" applyBorder="1" applyAlignment="1">
      <x:alignment vertical="top"/>
    </x:xf>
    <x:xf numFmtId="0" fontId="34" fillId="3" borderId="140" xfId="1" applyNumberFormat="1" applyFont="1" applyFill="1" applyBorder="1" applyAlignment="1">
      <x:alignment vertical="top"/>
    </x:xf>
    <x:xf numFmtId="206" fontId="23" fillId="3" borderId="140" xfId="1" applyNumberFormat="1" applyFont="1" applyFill="1" applyBorder="1" applyAlignment="1">
      <x:alignment vertical="top" wrapText="1"/>
    </x:xf>
    <x:xf numFmtId="207" fontId="23" fillId="3" borderId="140" xfId="1" applyNumberFormat="1" applyFont="1" applyFill="1" applyBorder="1" applyAlignment="1">
      <x:alignment vertical="top" wrapText="1"/>
    </x:xf>
    <x:xf numFmtId="208" fontId="23" fillId="3" borderId="140" xfId="1" applyNumberFormat="1" applyFont="1" applyFill="1" applyBorder="1" applyAlignment="1">
      <x:alignment vertical="top" wrapText="1"/>
    </x:xf>
    <x:xf numFmtId="205" fontId="33" fillId="3" borderId="140" xfId="1" applyNumberFormat="1" applyFont="1" applyFill="1" applyBorder="1" applyAlignment="1">
      <x:alignment vertical="top" wrapText="1"/>
    </x:xf>
    <x:xf numFmtId="0" fontId="34" fillId="3" borderId="140" xfId="1" applyNumberFormat="1" applyFont="1" applyFill="1" applyBorder="1" applyAlignment="1">
      <x:alignment vertical="top" wrapText="1"/>
    </x:xf>
    <x:xf numFmtId="0" fontId="31" fillId="3" borderId="140" xfId="1" applyNumberFormat="1" applyFont="1" applyFill="1" applyBorder="1"/>
    <x:xf numFmtId="209" fontId="32" fillId="3" borderId="140" xfId="1" applyNumberFormat="1" applyFont="1" applyFill="1" applyBorder="1"/>
    <x:xf numFmtId="0" fontId="33" fillId="3" borderId="140" xfId="1" applyNumberFormat="1" applyFont="1" applyFill="1" applyBorder="1"/>
    <x:xf numFmtId="209" fontId="34" fillId="3" borderId="140" xfId="1" applyNumberFormat="1" applyFont="1" applyFill="1" applyBorder="1"/>
    <x:xf numFmtId="0" fontId="33" fillId="3" borderId="140" xfId="1" applyNumberFormat="1" applyFont="1" applyFill="1" applyBorder="1" applyAlignment="1">
      <x:alignment vertical="top"/>
    </x:xf>
    <x:xf numFmtId="209" fontId="34" fillId="3" borderId="140" xfId="1" applyNumberFormat="1" applyFont="1" applyFill="1" applyBorder="1" applyAlignment="1">
      <x:alignment vertical="top"/>
    </x:xf>
    <x:xf numFmtId="0" fontId="33" fillId="3" borderId="140" xfId="1" applyNumberFormat="1" applyFont="1" applyFill="1" applyBorder="1" applyAlignment="1">
      <x:alignment vertical="top" wrapText="1"/>
    </x:xf>
    <x:xf numFmtId="209" fontId="34" fillId="3" borderId="140" xfId="1" applyNumberFormat="1" applyFont="1" applyFill="1" applyBorder="1" applyAlignment="1">
      <x:alignment vertical="top" wrapText="1"/>
    </x:xf>
    <x:xf numFmtId="206" fontId="35" fillId="3" borderId="140" xfId="1" applyNumberFormat="1" applyFont="1" applyFill="1" applyBorder="1"/>
    <x:xf numFmtId="206" fontId="36" fillId="3" borderId="140" xfId="1" applyNumberFormat="1" applyFont="1" applyFill="1" applyBorder="1"/>
    <x:xf numFmtId="206" fontId="36" fillId="3" borderId="140" xfId="1" applyNumberFormat="1" applyFont="1" applyFill="1" applyBorder="1" applyAlignment="1">
      <x:alignment vertical="top"/>
    </x:xf>
    <x:xf numFmtId="206" fontId="36" fillId="3" borderId="140" xfId="1" applyNumberFormat="1" applyFont="1" applyFill="1" applyBorder="1" applyAlignment="1">
      <x:alignment vertical="top" wrapText="1"/>
    </x:xf>
    <x:xf numFmtId="0" fontId="23" fillId="3" borderId="148" xfId="1" applyNumberFormat="1" applyFont="1" applyFill="1" applyBorder="1" applyAlignment="1">
      <x:alignment vertical="top" wrapText="1"/>
    </x:xf>
    <x:xf numFmtId="0" fontId="23" fillId="3" borderId="149" xfId="1" applyNumberFormat="1" applyFont="1" applyFill="1" applyBorder="1" applyAlignment="1">
      <x:alignment vertical="top" wrapText="1"/>
    </x:xf>
    <x:xf numFmtId="0" fontId="23" fillId="3" borderId="150" xfId="1" applyNumberFormat="1" applyFont="1" applyFill="1" applyBorder="1" applyAlignment="1">
      <x:alignment vertical="top" wrapText="1"/>
    </x:xf>
    <x:xf numFmtId="206" fontId="23" fillId="3" borderId="151" xfId="1" applyNumberFormat="1" applyFont="1" applyFill="1" applyBorder="1" applyAlignment="1">
      <x:alignment vertical="top" wrapText="1"/>
    </x:xf>
    <x:xf numFmtId="207" fontId="23" fillId="3" borderId="151" xfId="1" applyNumberFormat="1" applyFont="1" applyFill="1" applyBorder="1" applyAlignment="1">
      <x:alignment vertical="top" wrapText="1"/>
    </x:xf>
    <x:xf numFmtId="205" fontId="23" fillId="3" borderId="151" xfId="1" applyNumberFormat="1" applyFont="1" applyFill="1" applyBorder="1" applyAlignment="1">
      <x:alignment vertical="top" wrapText="1"/>
    </x:xf>
    <x:xf numFmtId="208" fontId="23" fillId="3" borderId="151" xfId="1" applyNumberFormat="1" applyFont="1" applyFill="1" applyBorder="1" applyAlignment="1">
      <x:alignment vertical="top" wrapText="1"/>
    </x:xf>
    <x:xf numFmtId="205" fontId="33" fillId="3" borderId="152" xfId="1" applyNumberFormat="1" applyFont="1" applyFill="1" applyBorder="1" applyAlignment="1">
      <x:alignment vertical="top" wrapText="1"/>
    </x:xf>
    <x:xf numFmtId="207" fontId="23" fillId="3" borderId="152" xfId="1" applyNumberFormat="1" applyFont="1" applyFill="1" applyBorder="1" applyAlignment="1">
      <x:alignment vertical="top" wrapText="1"/>
    </x:xf>
    <x:xf numFmtId="0" fontId="34" fillId="3" borderId="144" xfId="1" applyNumberFormat="1" applyFont="1" applyFill="1" applyBorder="1" applyAlignment="1">
      <x:alignment vertical="top" wrapText="1"/>
    </x:xf>
    <x:xf numFmtId="0" fontId="34" fillId="3" borderId="151" xfId="1" applyNumberFormat="1" applyFont="1" applyFill="1" applyBorder="1" applyAlignment="1">
      <x:alignment vertical="top" wrapText="1"/>
    </x:xf>
    <x:xf numFmtId="0" fontId="34" fillId="3" borderId="145" xfId="1" applyNumberFormat="1" applyFont="1" applyFill="1" applyBorder="1" applyAlignment="1">
      <x:alignment vertical="top" wrapText="1"/>
    </x:xf>
    <x:xf numFmtId="0" fontId="34" fillId="3" borderId="146" xfId="1" applyNumberFormat="1" applyFont="1" applyFill="1" applyBorder="1" applyAlignment="1">
      <x:alignment vertical="top" wrapText="1"/>
    </x:xf>
    <x:xf numFmtId="0" fontId="34" fillId="3" borderId="152" xfId="1" applyNumberFormat="1" applyFont="1" applyFill="1" applyBorder="1" applyAlignment="1">
      <x:alignment vertical="top" wrapText="1"/>
    </x:xf>
    <x:xf numFmtId="0" fontId="34" fillId="3" borderId="147" xfId="1" applyNumberFormat="1" applyFont="1" applyFill="1" applyBorder="1" applyAlignment="1">
      <x:alignment vertical="top" wrapText="1"/>
    </x:xf>
    <x:xf numFmtId="0" fontId="23" fillId="5" borderId="148" xfId="1" applyNumberFormat="1" applyFont="1" applyFill="1" applyBorder="1" applyAlignment="1">
      <x:alignment vertical="top" wrapText="1"/>
    </x:xf>
    <x:xf numFmtId="0" fontId="23" fillId="5" borderId="149" xfId="1" applyNumberFormat="1" applyFont="1" applyFill="1" applyBorder="1" applyAlignment="1">
      <x:alignment vertical="top" wrapText="1"/>
    </x:xf>
    <x:xf numFmtId="0" fontId="23" fillId="5" borderId="150" xfId="1" applyNumberFormat="1" applyFont="1" applyFill="1" applyBorder="1" applyAlignment="1">
      <x:alignment vertical="top" wrapText="1"/>
    </x:xf>
    <x:xf numFmtId="0" fontId="24" fillId="5" borderId="148" xfId="1" applyNumberFormat="1" applyFont="1" applyFill="1" applyBorder="1" applyAlignment="1">
      <x:alignment vertical="top" wrapText="1"/>
    </x:xf>
    <x:xf numFmtId="0" fontId="24" fillId="5" borderId="149" xfId="1" applyNumberFormat="1" applyFont="1" applyFill="1" applyBorder="1" applyAlignment="1">
      <x:alignment vertical="top" wrapText="1"/>
    </x:xf>
    <x:xf numFmtId="0" fontId="24" fillId="5" borderId="150" xfId="1" applyNumberFormat="1" applyFont="1" applyFill="1" applyBorder="1" applyAlignment="1">
      <x:alignment vertical="top" wrapText="1"/>
    </x:xf>
    <x:xf numFmtId="0" fontId="24" fillId="5" borderId="148" xfId="1" applyNumberFormat="1" applyFont="1" applyFill="1" applyBorder="1" applyAlignment="1">
      <x:alignment horizontal="center" vertical="top" wrapText="1"/>
    </x:xf>
    <x:xf numFmtId="0" fontId="24" fillId="5" borderId="149" xfId="1" applyNumberFormat="1" applyFont="1" applyFill="1" applyBorder="1" applyAlignment="1">
      <x:alignment horizontal="center" vertical="top" wrapText="1"/>
    </x:xf>
    <x:xf numFmtId="0" fontId="24" fillId="5" borderId="150" xfId="1" applyNumberFormat="1" applyFont="1" applyFill="1" applyBorder="1" applyAlignment="1">
      <x:alignment horizontal="center" vertical="top" wrapText="1"/>
    </x:xf>
    <x:xf numFmtId="0" fontId="24" fillId="5" borderId="153" xfId="1" applyNumberFormat="1" applyFont="1" applyFill="1" applyBorder="1" applyAlignment="1">
      <x:alignment horizontal="center" vertical="top" wrapText="1"/>
    </x:xf>
    <x:xf numFmtId="206" fontId="24" fillId="3" borderId="151" xfId="1" applyNumberFormat="1" applyFont="1" applyFill="1" applyBorder="1" applyAlignment="1">
      <x:alignment vertical="top" wrapText="1"/>
    </x:xf>
    <x:xf numFmtId="207" fontId="24" fillId="3" borderId="151" xfId="1" applyNumberFormat="1" applyFont="1" applyFill="1" applyBorder="1" applyAlignment="1">
      <x:alignment vertical="top" wrapText="1"/>
    </x:xf>
    <x:xf numFmtId="0" fontId="24" fillId="3" borderId="145" xfId="1" applyNumberFormat="1" applyFont="1" applyFill="1" applyBorder="1" applyAlignment="1">
      <x:alignment vertical="top" wrapText="1"/>
    </x:xf>
    <x:xf numFmtId="0" fontId="24" fillId="3" borderId="148" xfId="1" applyNumberFormat="1" applyFont="1" applyFill="1" applyBorder="1" applyAlignment="1">
      <x:alignment vertical="top" wrapText="1"/>
    </x:xf>
    <x:xf numFmtId="206" fontId="24" fillId="3" borderId="149" xfId="1" applyNumberFormat="1" applyFont="1" applyFill="1" applyBorder="1" applyAlignment="1">
      <x:alignment vertical="top" wrapText="1"/>
    </x:xf>
    <x:xf numFmtId="207" fontId="24" fillId="3" borderId="149" xfId="1" applyNumberFormat="1" applyFont="1" applyFill="1" applyBorder="1" applyAlignment="1">
      <x:alignment vertical="top" wrapText="1"/>
    </x:xf>
    <x:xf numFmtId="0" fontId="24" fillId="3" borderId="150" xfId="1" applyNumberFormat="1" applyFont="1" applyFill="1" applyBorder="1" applyAlignment="1">
      <x:alignment vertical="top" wrapText="1"/>
    </x:xf>
    <x:xf numFmtId="0" fontId="37" fillId="3" borderId="145" xfId="1" applyNumberFormat="1" applyFont="1" applyFill="1" applyBorder="1" applyAlignment="1">
      <x:alignment vertical="top" wrapText="1"/>
    </x:xf>
    <x:xf numFmtId="0" fontId="37" fillId="3" borderId="150" xfId="1" applyNumberFormat="1" applyFont="1" applyFill="1" applyBorder="1" applyAlignment="1">
      <x:alignment vertical="top" wrapText="1"/>
    </x:xf>
    <x:xf numFmtId="206" fontId="36" fillId="3" borderId="151" xfId="1" applyNumberFormat="1" applyFont="1" applyFill="1" applyBorder="1" applyAlignment="1">
      <x:alignment vertical="top" wrapText="1"/>
    </x:xf>
    <x:xf numFmtId="0" fontId="23" fillId="3" borderId="151" xfId="1" applyNumberFormat="1" applyFont="1" applyFill="1" applyBorder="1" applyAlignment="1">
      <x:alignment vertical="top" wrapText="1"/>
    </x:xf>
    <x:xf numFmtId="206" fontId="36" fillId="3" borderId="152" xfId="1" applyNumberFormat="1" applyFont="1" applyFill="1" applyBorder="1" applyAlignment="1">
      <x:alignment vertical="top" wrapText="1"/>
    </x:xf>
    <x:xf numFmtId="0" fontId="23" fillId="3" borderId="152" xfId="1" applyNumberFormat="1" applyFont="1" applyFill="1" applyBorder="1" applyAlignment="1">
      <x:alignment vertical="top" wrapText="1"/>
    </x:xf>
    <x:xf numFmtId="0" fontId="38" fillId="3" borderId="140" xfId="1" applyNumberFormat="1" applyFont="1" applyFill="1" applyBorder="1" applyAlignment="1">
      <x:alignment vertical="top" wrapText="1"/>
    </x:xf>
    <x:xf numFmtId="0" fontId="33" fillId="3" borderId="151" xfId="1" applyNumberFormat="1" applyFont="1" applyFill="1" applyBorder="1" applyAlignment="1">
      <x:alignment vertical="top" wrapText="1"/>
    </x:xf>
    <x:xf numFmtId="0" fontId="33" fillId="3" borderId="152" xfId="1" applyNumberFormat="1" applyFont="1" applyFill="1" applyBorder="1" applyAlignment="1">
      <x:alignment vertical="top" wrapText="1"/>
    </x:xf>
    <x:xf numFmtId="0" fontId="34" fillId="3" borderId="149" xfId="1" applyNumberFormat="1" applyFont="1" applyFill="1" applyBorder="1" applyAlignment="1">
      <x:alignment vertical="top" wrapText="1"/>
    </x:xf>
    <x:xf numFmtId="0" fontId="39" fillId="3" borderId="151" xfId="1" applyNumberFormat="1" applyFont="1" applyFill="1" applyBorder="1" applyAlignment="1">
      <x:alignment vertical="top" wrapText="1"/>
    </x:xf>
    <x:xf numFmtId="0" fontId="24" fillId="3" borderId="151" xfId="1" applyNumberFormat="1" applyFont="1" applyFill="1" applyBorder="1" applyAlignment="1">
      <x:alignment vertical="top" wrapText="1"/>
    </x:xf>
    <x:xf numFmtId="0" fontId="39" fillId="3" borderId="149" xfId="1" applyNumberFormat="1" applyFont="1" applyFill="1" applyBorder="1" applyAlignment="1">
      <x:alignment vertical="top" wrapText="1"/>
    </x:xf>
    <x:xf numFmtId="0" fontId="24" fillId="3" borderId="149" xfId="1" applyNumberFormat="1" applyFont="1" applyFill="1" applyBorder="1" applyAlignment="1">
      <x:alignment vertical="top" wrapText="1"/>
    </x:xf>
    <x:xf numFmtId="0" fontId="39" fillId="3" borderId="152" xfId="1" applyNumberFormat="1" applyFont="1" applyFill="1" applyBorder="1" applyAlignment="1">
      <x:alignment vertical="top" wrapText="1"/>
    </x:xf>
    <x:xf numFmtId="0" fontId="24" fillId="3" borderId="152" xfId="1" applyNumberFormat="1" applyFont="1" applyFill="1" applyBorder="1" applyAlignment="1">
      <x:alignment vertical="top" wrapText="1"/>
    </x:xf>
    <x:xf numFmtId="0" fontId="24" fillId="3" borderId="147" xfId="1" applyNumberFormat="1" applyFont="1" applyFill="1" applyBorder="1" applyAlignment="1">
      <x:alignment vertical="top" wrapText="1"/>
    </x:xf>
    <x:xf numFmtId="0" fontId="24" fillId="3" borderId="142" xfId="1" applyNumberFormat="1" applyFont="1" applyFill="1" applyBorder="1" applyAlignment="1">
      <x:alignment vertical="top" wrapText="1"/>
    </x:xf>
    <x:xf numFmtId="0" fontId="39" fillId="3" borderId="153" xfId="1" applyNumberFormat="1" applyFont="1" applyFill="1" applyBorder="1" applyAlignment="1">
      <x:alignment vertical="top" wrapText="1"/>
    </x:xf>
    <x:xf numFmtId="0" fontId="24" fillId="3" borderId="153" xfId="1" applyNumberFormat="1" applyFont="1" applyFill="1" applyBorder="1" applyAlignment="1">
      <x:alignment vertical="top" wrapText="1"/>
    </x:xf>
    <x:xf numFmtId="0" fontId="24" fillId="3" borderId="143" xfId="1" applyNumberFormat="1" applyFont="1" applyFill="1" applyBorder="1" applyAlignment="1">
      <x:alignment vertical="top" wrapText="1"/>
    </x:xf>
    <x:xf numFmtId="206" fontId="34" fillId="3" borderId="151" xfId="1" applyNumberFormat="1" applyFont="1" applyFill="1" applyBorder="1" applyAlignment="1">
      <x:alignment vertical="top" wrapText="1"/>
    </x:xf>
    <x:xf numFmtId="206" fontId="39" fillId="3" borderId="149" xfId="1" applyNumberFormat="1" applyFont="1" applyFill="1" applyBorder="1" applyAlignment="1">
      <x:alignment vertical="top" wrapText="1"/>
    </x:xf>
    <x:xf numFmtId="206" fontId="39" fillId="3" borderId="153" xfId="1" applyNumberFormat="1" applyFont="1" applyFill="1" applyBorder="1" applyAlignment="1">
      <x:alignment vertical="top" wrapText="1"/>
    </x:xf>
    <x:xf numFmtId="206" fontId="24" fillId="5" borderId="153" xfId="1" applyNumberFormat="1" applyFont="1" applyFill="1" applyBorder="1" applyAlignment="1">
      <x:alignment horizontal="center" vertical="top" wrapText="1"/>
    </x:xf>
    <x:xf numFmtId="206" fontId="34" fillId="3" borderId="152" xfId="1" applyNumberFormat="1" applyFont="1" applyFill="1" applyBorder="1" applyAlignment="1">
      <x:alignment vertical="top" wrapText="1"/>
    </x:xf>
    <x:xf numFmtId="206" fontId="34" fillId="3" borderId="149" xfId="1" applyNumberFormat="1" applyFont="1" applyFill="1" applyBorder="1" applyAlignment="1">
      <x:alignment vertical="top" wrapText="1"/>
    </x:xf>
    <x:xf numFmtId="206" fontId="23" fillId="3" borderId="152" xfId="1" applyNumberFormat="1" applyFont="1" applyFill="1" applyBorder="1" applyAlignment="1">
      <x:alignment vertical="top" wrapText="1"/>
    </x:xf>
    <x:xf numFmtId="0" fontId="36" fillId="3" borderId="151" xfId="1" applyNumberFormat="1" applyFont="1" applyFill="1" applyBorder="1" applyAlignment="1">
      <x:alignment vertical="top" wrapText="1"/>
    </x:xf>
    <x:xf numFmtId="0" fontId="36" fillId="3" borderId="152" xfId="1" applyNumberFormat="1" applyFont="1" applyFill="1" applyBorder="1" applyAlignment="1">
      <x:alignment vertical="top" wrapText="1"/>
    </x:xf>
    <x:xf numFmtId="209" fontId="34" fillId="3" borderId="145" xfId="1" applyNumberFormat="1" applyFont="1" applyFill="1" applyBorder="1" applyAlignment="1">
      <x:alignment vertical="top" wrapText="1"/>
    </x:xf>
    <x:xf numFmtId="207" fontId="34" fillId="3" borderId="151" xfId="1" applyNumberFormat="1" applyFont="1" applyFill="1" applyBorder="1" applyAlignment="1">
      <x:alignment vertical="top" wrapText="1"/>
    </x:xf>
    <x:xf numFmtId="209" fontId="23" fillId="3" borderId="140" xfId="1" applyNumberFormat="1" applyFont="1" applyFill="1" applyBorder="1" applyAlignment="1">
      <x:alignment vertical="top" wrapText="1"/>
    </x:xf>
    <x:xf numFmtId="209" fontId="36" fillId="3" borderId="140" xfId="1" applyNumberFormat="1" applyFont="1" applyFill="1" applyBorder="1" applyAlignment="1">
      <x:alignment vertical="top" wrapText="1"/>
    </x:xf>
    <x:xf numFmtId="209" fontId="36" fillId="3" borderId="144" xfId="1" applyNumberFormat="1" applyFont="1" applyFill="1" applyBorder="1" applyAlignment="1">
      <x:alignment vertical="top" wrapText="1"/>
    </x:xf>
    <x:xf numFmtId="209" fontId="36" fillId="3" borderId="145" xfId="1" applyNumberFormat="1" applyFont="1" applyFill="1" applyBorder="1" applyAlignment="1">
      <x:alignment vertical="top" wrapText="1"/>
    </x:xf>
    <x:xf numFmtId="209" fontId="36" fillId="3" borderId="146" xfId="1" applyNumberFormat="1" applyFont="1" applyFill="1" applyBorder="1" applyAlignment="1">
      <x:alignment vertical="top" wrapText="1"/>
    </x:xf>
    <x:xf numFmtId="209" fontId="36" fillId="3" borderId="147" xfId="1" applyNumberFormat="1" applyFont="1" applyFill="1" applyBorder="1" applyAlignment="1">
      <x:alignment vertical="top" wrapText="1"/>
    </x:xf>
    <x:xf numFmtId="0" fontId="40" fillId="3" borderId="140" xfId="1" applyNumberFormat="1" applyFont="1" applyFill="1" applyBorder="1" applyAlignment="1">
      <x:alignment vertical="top" wrapText="1"/>
    </x:xf>
    <x:xf numFmtId="206" fontId="34" fillId="3" borderId="140" xfId="1" applyNumberFormat="1" applyFont="1" applyFill="1" applyBorder="1" applyAlignment="1">
      <x:alignment vertical="top" wrapText="1"/>
    </x:xf>
    <x:xf numFmtId="206" fontId="34" fillId="3" borderId="145" xfId="1" applyNumberFormat="1" applyFont="1" applyFill="1" applyBorder="1" applyAlignment="1">
      <x:alignment vertical="top" wrapText="1"/>
    </x:xf>
    <x:xf numFmtId="206" fontId="23" fillId="3" borderId="145" xfId="1" applyNumberFormat="1" applyFont="1" applyFill="1" applyBorder="1" applyAlignment="1">
      <x:alignment vertical="top" wrapText="1"/>
    </x:xf>
    <x:xf numFmtId="206" fontId="23" fillId="3" borderId="147" xfId="1" applyNumberFormat="1" applyFont="1" applyFill="1" applyBorder="1" applyAlignment="1">
      <x:alignment vertical="top" wrapText="1"/>
    </x:xf>
    <x:xf numFmtId="0" fontId="23" fillId="3" borderId="142" xfId="1" applyNumberFormat="1" applyFont="1" applyFill="1" applyBorder="1" applyAlignment="1">
      <x:alignment vertical="top" wrapText="1"/>
    </x:xf>
    <x:xf numFmtId="206" fontId="34" fillId="3" borderId="153" xfId="1" applyNumberFormat="1" applyFont="1" applyFill="1" applyBorder="1" applyAlignment="1">
      <x:alignment vertical="top" wrapText="1"/>
    </x:xf>
    <x:xf numFmtId="206" fontId="34" fillId="3" borderId="143" xfId="1" applyNumberFormat="1" applyFont="1" applyFill="1" applyBorder="1" applyAlignment="1">
      <x:alignment vertical="top" wrapText="1"/>
    </x:xf>
    <x:xf numFmtId="206" fontId="23" fillId="3" borderId="149" xfId="1" applyNumberFormat="1" applyFont="1" applyFill="1" applyBorder="1" applyAlignment="1">
      <x:alignment vertical="top" wrapText="1"/>
    </x:xf>
    <x:xf numFmtId="206" fontId="23" fillId="3" borderId="150" xfId="1" applyNumberFormat="1" applyFont="1" applyFill="1" applyBorder="1" applyAlignment="1">
      <x:alignment vertical="top" wrapText="1"/>
    </x:xf>
    <x:xf numFmtId="205" fontId="23" fillId="3" borderId="152" xfId="1" applyNumberFormat="1" applyFont="1" applyFill="1" applyBorder="1" applyAlignment="1">
      <x:alignment vertical="top" wrapText="1"/>
    </x:xf>
    <x:xf numFmtId="206" fontId="24" fillId="3" borderId="145" xfId="1" applyNumberFormat="1" applyFont="1" applyFill="1" applyBorder="1" applyAlignment="1">
      <x:alignment vertical="top" wrapText="1"/>
    </x:xf>
    <x:xf numFmtId="206" fontId="24" fillId="3" borderId="150" xfId="1" applyNumberFormat="1" applyFont="1" applyFill="1" applyBorder="1" applyAlignment="1">
      <x:alignment vertical="top" wrapText="1"/>
    </x:xf>
    <x:xf numFmtId="206" fontId="24" fillId="3" borderId="152" xfId="1" applyNumberFormat="1" applyFont="1" applyFill="1" applyBorder="1" applyAlignment="1">
      <x:alignment vertical="top" wrapText="1"/>
    </x:xf>
    <x:xf numFmtId="206" fontId="24" fillId="3" borderId="147" xfId="1" applyNumberFormat="1" applyFont="1" applyFill="1" applyBorder="1" applyAlignment="1">
      <x:alignment vertical="top" wrapText="1"/>
    </x:xf>
    <x:xf numFmtId="206" fontId="24" fillId="3" borderId="153" xfId="1" applyNumberFormat="1" applyFont="1" applyFill="1" applyBorder="1" applyAlignment="1">
      <x:alignment vertical="top" wrapText="1"/>
    </x:xf>
    <x:xf numFmtId="206" fontId="24" fillId="3" borderId="143" xfId="1" applyNumberFormat="1" applyFont="1" applyFill="1" applyBorder="1" applyAlignment="1">
      <x:alignment vertical="top" wrapText="1"/>
    </x:xf>
    <x:xf numFmtId="205" fontId="24" fillId="3" borderId="152" xfId="1" applyNumberFormat="1" applyFont="1" applyFill="1" applyBorder="1" applyAlignment="1">
      <x:alignment vertical="top" wrapText="1"/>
    </x:xf>
    <x:xf numFmtId="205" fontId="24" fillId="3" borderId="153" xfId="1" applyNumberFormat="1" applyFont="1" applyFill="1" applyBorder="1" applyAlignment="1">
      <x:alignment vertical="top" wrapText="1"/>
    </x:xf>
    <x:xf numFmtId="206" fontId="41" fillId="3" borderId="149" xfId="1" applyNumberFormat="1" applyFont="1" applyFill="1" applyBorder="1" applyAlignment="1">
      <x:alignment vertical="top" wrapText="1"/>
    </x:xf>
    <x:xf numFmtId="205" fontId="34" fillId="3" borderId="151" xfId="1" applyNumberFormat="1" applyFont="1" applyFill="1" applyBorder="1" applyAlignment="1">
      <x:alignment vertical="top" wrapText="1"/>
    </x:xf>
    <x:xf numFmtId="208" fontId="33" fillId="3" borderId="151" xfId="1" applyNumberFormat="1" applyFont="1" applyFill="1" applyBorder="1" applyAlignment="1">
      <x:alignment vertical="top" wrapText="1"/>
    </x:xf>
    <x:xf numFmtId="0" fontId="37" fillId="3" borderId="147" xfId="1" applyNumberFormat="1" applyFont="1" applyFill="1" applyBorder="1" applyAlignment="1">
      <x:alignment vertical="top" wrapText="1"/>
    </x:xf>
    <x:xf numFmtId="0" fontId="23" fillId="3" borderId="140" xfId="1" applyNumberFormat="1" applyFont="1" applyFill="1" applyBorder="1" applyAlignment="1">
      <x:alignment wrapText="1"/>
    </x:xf>
    <x:xf numFmtId="0" fontId="23" fillId="3" borderId="153" xfId="1" applyNumberFormat="1" applyFont="1" applyFill="1" applyBorder="1" applyAlignment="1">
      <x:alignment vertical="top" wrapText="1"/>
    </x:xf>
    <x:xf numFmtId="0" fontId="23" fillId="3" borderId="143" xfId="1" applyNumberFormat="1" applyFont="1" applyFill="1" applyBorder="1" applyAlignment="1">
      <x:alignment vertical="top" wrapText="1"/>
    </x:xf>
    <x:xf numFmtId="0" fontId="23" fillId="3" borderId="154" xfId="1" applyNumberFormat="1" applyFont="1" applyFill="1" applyBorder="1" applyAlignment="1">
      <x:alignment vertical="top" wrapText="1"/>
    </x:xf>
    <x:xf numFmtId="0" fontId="23" fillId="3" borderId="155" xfId="1" applyNumberFormat="1" applyFont="1" applyFill="1" applyBorder="1" applyAlignment="1">
      <x:alignment vertical="top" wrapText="1"/>
    </x:xf>
    <x:xf numFmtId="0" fontId="23" fillId="3" borderId="156" xfId="1" applyNumberFormat="1" applyFont="1" applyFill="1" applyBorder="1" applyAlignment="1">
      <x:alignment vertical="top" wrapText="1"/>
    </x:xf>
    <x:xf numFmtId="0" fontId="23" fillId="5" borderId="154" xfId="1" applyNumberFormat="1" applyFont="1" applyFill="1" applyBorder="1" applyAlignment="1">
      <x:alignment vertical="top" wrapText="1"/>
    </x:xf>
    <x:xf numFmtId="0" fontId="24" fillId="5" borderId="154" xfId="1" applyNumberFormat="1" applyFont="1" applyFill="1" applyBorder="1" applyAlignment="1">
      <x:alignment vertical="top" wrapText="1"/>
    </x:xf>
    <x:xf numFmtId="0" fontId="24" fillId="5" borderId="154" xfId="1" applyNumberFormat="1" applyFont="1" applyFill="1" applyBorder="1" applyAlignment="1">
      <x:alignment horizontal="center" vertical="top" wrapText="1"/>
    </x:xf>
    <x:xf numFmtId="0" fontId="24" fillId="5" borderId="157" xfId="1" applyNumberFormat="1" applyFont="1" applyFill="1" applyBorder="1" applyAlignment="1">
      <x:alignment horizontal="center" vertical="top" wrapText="1"/>
    </x:xf>
    <x:xf numFmtId="206" fontId="33" fillId="3" borderId="140" xfId="1" applyNumberFormat="1" applyFont="1" applyFill="1" applyBorder="1" applyAlignment="1">
      <x:alignment vertical="top" wrapText="1"/>
    </x:xf>
    <x:xf numFmtId="206" fontId="23" fillId="5" borderId="140" xfId="1" applyNumberFormat="1" applyFont="1" applyFill="1" applyBorder="1" applyAlignment="1">
      <x:alignment vertical="top" wrapText="1"/>
    </x:xf>
    <x:xf numFmtId="207" fontId="23" fillId="5" borderId="140" xfId="1" applyNumberFormat="1" applyFont="1" applyFill="1" applyBorder="1" applyAlignment="1">
      <x:alignment vertical="top" wrapText="1"/>
    </x:xf>
    <x:xf numFmtId="206" fontId="24" fillId="5" borderId="140" xfId="1" applyNumberFormat="1" applyFont="1" applyFill="1" applyBorder="1" applyAlignment="1">
      <x:alignment vertical="top" wrapText="1"/>
    </x:xf>
    <x:xf numFmtId="207" fontId="24" fillId="5" borderId="140" xfId="1" applyNumberFormat="1" applyFont="1" applyFill="1" applyBorder="1" applyAlignment="1">
      <x:alignment vertical="top" wrapText="1"/>
    </x:xf>
    <x:xf numFmtId="206" fontId="24" fillId="5" borderId="140" xfId="1" applyNumberFormat="1" applyFont="1" applyFill="1" applyBorder="1" applyAlignment="1">
      <x:alignment horizontal="center" vertical="top" wrapText="1"/>
    </x:xf>
    <x:xf numFmtId="207" fontId="24" fillId="5" borderId="140" xfId="1" applyNumberFormat="1" applyFont="1" applyFill="1" applyBorder="1" applyAlignment="1">
      <x:alignment horizontal="center" vertical="top" wrapText="1"/>
    </x:xf>
    <x:xf numFmtId="206" fontId="24" fillId="5" borderId="141" xfId="1" applyNumberFormat="1" applyFont="1" applyFill="1" applyBorder="1" applyAlignment="1">
      <x:alignment horizontal="center" vertical="top" wrapText="1"/>
    </x:xf>
    <x:xf numFmtId="207" fontId="24" fillId="5" borderId="141" xfId="1" applyNumberFormat="1" applyFont="1" applyFill="1" applyBorder="1" applyAlignment="1">
      <x:alignment horizontal="center" vertical="top" wrapText="1"/>
    </x:xf>
    <x:xf numFmtId="206" fontId="33" fillId="3" borderId="152" xfId="1" applyNumberFormat="1" applyFont="1" applyFill="1" applyBorder="1" applyAlignment="1">
      <x:alignment vertical="top" wrapText="1"/>
    </x:xf>
    <x:xf numFmtId="207" fontId="24" fillId="5" borderId="153" xfId="1" applyNumberFormat="1" applyFont="1" applyFill="1" applyBorder="1" applyAlignment="1">
      <x:alignment horizontal="center" vertical="top" wrapText="1"/>
    </x:xf>
    <x:xf numFmtId="206" fontId="33" fillId="3" borderId="151" xfId="1" applyNumberFormat="1" applyFont="1" applyFill="1" applyBorder="1" applyAlignment="1">
      <x:alignment vertical="top" wrapText="1"/>
    </x:xf>
    <x:xf numFmtId="206" fontId="23" fillId="3" borderId="153" xfId="1" applyNumberFormat="1" applyFont="1" applyFill="1" applyBorder="1" applyAlignment="1">
      <x:alignment vertical="top" wrapText="1"/>
    </x:xf>
    <x:xf numFmtId="207" fontId="23" fillId="3" borderId="153" xfId="1" applyNumberFormat="1" applyFont="1" applyFill="1" applyBorder="1" applyAlignment="1">
      <x:alignment vertical="top" wrapText="1"/>
    </x:xf>
    <x:xf numFmtId="206" fontId="39" fillId="3" borderId="152" xfId="1" applyNumberFormat="1" applyFont="1" applyFill="1" applyBorder="1" applyAlignment="1">
      <x:alignment vertical="top" wrapText="1"/>
    </x:xf>
    <x:xf numFmtId="207" fontId="24" fillId="3" borderId="152" xfId="1" applyNumberFormat="1" applyFont="1" applyFill="1" applyBorder="1" applyAlignment="1">
      <x:alignment vertical="top" wrapText="1"/>
    </x:xf>
    <x:xf numFmtId="207" fontId="24" fillId="3" borderId="153" xfId="1" applyNumberFormat="1" applyFont="1" applyFill="1" applyBorder="1" applyAlignment="1">
      <x:alignment vertical="top" wrapText="1"/>
    </x:xf>
    <x:xf numFmtId="206" fontId="39" fillId="3" borderId="151" xfId="1" applyNumberFormat="1" applyFont="1" applyFill="1" applyBorder="1" applyAlignment="1">
      <x:alignment vertical="top" wrapText="1"/>
    </x:xf>
    <x:xf numFmtId="206" fontId="29" fillId="3" borderId="140" xfId="1" applyNumberFormat="1" applyFont="1" applyFill="1" applyBorder="1"/>
    <x:xf numFmtId="206" fontId="30" fillId="3" borderId="140" xfId="1" applyNumberFormat="1" applyFont="1" applyFill="1" applyBorder="1"/>
    <x:xf numFmtId="205" fontId="29" fillId="3" borderId="140" xfId="1" applyNumberFormat="1" applyFont="1" applyFill="1" applyBorder="1"/>
    <x:xf numFmtId="208" fontId="30" fillId="3" borderId="140" xfId="1" applyNumberFormat="1" applyFont="1" applyFill="1" applyBorder="1"/>
    <x:xf numFmtId="208" fontId="29" fillId="3" borderId="140" xfId="1" applyNumberFormat="1" applyFont="1" applyFill="1" applyBorder="1"/>
    <x:xf numFmtId="206" fontId="32" fillId="3" borderId="140" xfId="1" applyNumberFormat="1" applyFont="1" applyFill="1" applyBorder="1"/>
    <x:xf numFmtId="206" fontId="31" fillId="3" borderId="140" xfId="1" applyNumberFormat="1" applyFont="1" applyFill="1" applyBorder="1"/>
    <x:xf numFmtId="205" fontId="32" fillId="3" borderId="140" xfId="1" applyNumberFormat="1" applyFont="1" applyFill="1" applyBorder="1"/>
    <x:xf numFmtId="208" fontId="31" fillId="3" borderId="140" xfId="1" applyNumberFormat="1" applyFont="1" applyFill="1" applyBorder="1"/>
    <x:xf numFmtId="208" fontId="32" fillId="3" borderId="140" xfId="1" applyNumberFormat="1" applyFont="1" applyFill="1" applyBorder="1"/>
    <x:xf numFmtId="206" fontId="34" fillId="3" borderId="140" xfId="1" applyNumberFormat="1" applyFont="1" applyFill="1" applyBorder="1"/>
    <x:xf numFmtId="206" fontId="33" fillId="3" borderId="140" xfId="1" applyNumberFormat="1" applyFont="1" applyFill="1" applyBorder="1"/>
    <x:xf numFmtId="205" fontId="34" fillId="3" borderId="140" xfId="1" applyNumberFormat="1" applyFont="1" applyFill="1" applyBorder="1"/>
    <x:xf numFmtId="208" fontId="33" fillId="3" borderId="140" xfId="1" applyNumberFormat="1" applyFont="1" applyFill="1" applyBorder="1"/>
    <x:xf numFmtId="208" fontId="34" fillId="3" borderId="140" xfId="1" applyNumberFormat="1" applyFont="1" applyFill="1" applyBorder="1"/>
    <x:xf numFmtId="206" fontId="34" fillId="3" borderId="140" xfId="1" applyNumberFormat="1" applyFont="1" applyFill="1" applyBorder="1" applyAlignment="1">
      <x:alignment wrapText="1"/>
    </x:xf>
    <x:xf numFmtId="206" fontId="33" fillId="3" borderId="140" xfId="1" applyNumberFormat="1" applyFont="1" applyFill="1" applyBorder="1" applyAlignment="1">
      <x:alignment wrapText="1"/>
    </x:xf>
    <x:xf numFmtId="205" fontId="34" fillId="3" borderId="140" xfId="1" applyNumberFormat="1" applyFont="1" applyFill="1" applyBorder="1" applyAlignment="1">
      <x:alignment wrapText="1"/>
    </x:xf>
    <x:xf numFmtId="208" fontId="33" fillId="3" borderId="140" xfId="1" applyNumberFormat="1" applyFont="1" applyFill="1" applyBorder="1" applyAlignment="1">
      <x:alignment wrapText="1"/>
    </x:xf>
    <x:xf numFmtId="208" fontId="34" fillId="3" borderId="140" xfId="1" applyNumberFormat="1" applyFont="1" applyFill="1" applyBorder="1" applyAlignment="1">
      <x:alignment wrapText="1"/>
    </x:xf>
    <x:xf numFmtId="205" fontId="34" fillId="3" borderId="140" xfId="1" applyNumberFormat="1" applyFont="1" applyFill="1" applyBorder="1" applyAlignment="1">
      <x:alignment vertical="top" wrapText="1"/>
    </x:xf>
    <x:xf numFmtId="208" fontId="33" fillId="3" borderId="140" xfId="1" applyNumberFormat="1" applyFont="1" applyFill="1" applyBorder="1" applyAlignment="1">
      <x:alignment vertical="top" wrapText="1"/>
    </x:xf>
    <x:xf numFmtId="208" fontId="34" fillId="3" borderId="140" xfId="1" applyNumberFormat="1" applyFont="1" applyFill="1" applyBorder="1" applyAlignment="1">
      <x:alignment vertical="top" wrapText="1"/>
    </x:xf>
    <x:xf numFmtId="208" fontId="34" fillId="3" borderId="151" xfId="1" applyNumberFormat="1" applyFont="1" applyFill="1" applyBorder="1" applyAlignment="1">
      <x:alignment vertical="top" wrapText="1"/>
    </x:xf>
    <x:xf numFmtId="205" fontId="34" fillId="3" borderId="152" xfId="1" applyNumberFormat="1" applyFont="1" applyFill="1" applyBorder="1" applyAlignment="1">
      <x:alignment vertical="top" wrapText="1"/>
    </x:xf>
    <x:xf numFmtId="0" fontId="23" fillId="3" borderId="142" xfId="1" applyNumberFormat="1" applyFont="1" applyFill="1" applyBorder="1" applyAlignment="1">
      <x:alignment wrapText="1"/>
    </x:xf>
    <x:xf numFmtId="0" fontId="23" fillId="3" borderId="153" xfId="1" applyNumberFormat="1" applyFont="1" applyFill="1" applyBorder="1" applyAlignment="1">
      <x:alignment wrapText="1"/>
    </x:xf>
    <x:xf numFmtId="0" fontId="23" fillId="3" borderId="143" xfId="1" applyNumberFormat="1" applyFont="1" applyFill="1" applyBorder="1" applyAlignment="1">
      <x:alignment wrapText="1"/>
    </x:xf>
    <x:xf numFmtId="206" fontId="34" fillId="3" borderId="147" xfId="1" applyNumberFormat="1" applyFont="1" applyFill="1" applyBorder="1" applyAlignment="1">
      <x:alignment vertical="top" wrapText="1"/>
    </x:xf>
    <x:xf numFmtId="0" fontId="23" fillId="3" borderId="158" xfId="1" applyNumberFormat="1" applyFont="1" applyFill="1" applyBorder="1" applyAlignment="1">
      <x:alignment vertical="top" wrapText="1"/>
    </x:xf>
    <x:xf numFmtId="0" fontId="23" fillId="3" borderId="159" xfId="1" applyNumberFormat="1" applyFont="1" applyFill="1" applyBorder="1" applyAlignment="1">
      <x:alignment vertical="top" wrapText="1"/>
    </x:xf>
    <x:xf numFmtId="0" fontId="25" fillId="3" borderId="160" xfId="1" applyNumberFormat="1" applyFont="1" applyFill="1" applyBorder="1" applyAlignment="1">
      <x:alignment vertical="top" wrapText="0"/>
    </x:xf>
    <x:xf numFmtId="0" fontId="23" fillId="3" borderId="161" xfId="1" applyNumberFormat="1" applyFont="1" applyFill="1" applyBorder="1" applyAlignment="1">
      <x:alignment vertical="top" wrapText="0"/>
    </x:xf>
    <x:xf numFmtId="0" fontId="24" fillId="5" borderId="162" xfId="1" applyNumberFormat="1" applyFont="1" applyFill="1" applyBorder="1" applyAlignment="1">
      <x:alignment horizontal="center" vertical="top" wrapText="1"/>
    </x:xf>
    <x:xf numFmtId="0" fontId="24" fillId="5" borderId="163" xfId="1" applyNumberFormat="1" applyFont="1" applyFill="1" applyBorder="1" applyAlignment="1">
      <x:alignment horizontal="center" vertical="top" wrapText="1"/>
    </x:xf>
    <x:xf numFmtId="0" fontId="24" fillId="3" borderId="164" xfId="1" applyNumberFormat="1" applyFont="1" applyFill="1" applyBorder="1" applyAlignment="1">
      <x:alignment vertical="top" wrapText="1"/>
    </x:xf>
    <x:xf numFmtId="0" fontId="23" fillId="3" borderId="165" xfId="1" applyNumberFormat="1" applyFont="1" applyFill="1" applyBorder="1" applyAlignment="1">
      <x:alignment vertical="top" wrapText="1"/>
    </x:xf>
    <x:xf numFmtId="0" fontId="24" fillId="3" borderId="166" xfId="1" applyNumberFormat="1" applyFont="1" applyFill="1" applyBorder="1" applyAlignment="1">
      <x:alignment vertical="top" wrapText="1"/>
    </x:xf>
    <x:xf numFmtId="0" fontId="23" fillId="3" borderId="167" xfId="1" applyNumberFormat="1" applyFont="1" applyFill="1" applyBorder="1" applyAlignment="1">
      <x:alignment vertical="top" wrapText="1"/>
    </x:xf>
    <x:xf numFmtId="0" fontId="26" fillId="3" borderId="168" xfId="1" applyNumberFormat="1" applyFont="1" applyFill="1" applyBorder="1" applyAlignment="1">
      <x:alignment vertical="top" wrapText="1"/>
    </x:xf>
    <x:xf numFmtId="205" fontId="27" fillId="3" borderId="169" xfId="1" applyNumberFormat="1" applyFont="1" applyFill="1" applyBorder="1" applyAlignment="1">
      <x:alignment vertical="top" wrapText="1"/>
    </x:xf>
    <x:xf numFmtId="0" fontId="23" fillId="3" borderId="170" xfId="1" applyNumberFormat="1" applyFont="1" applyFill="1" applyBorder="1" applyAlignment="1">
      <x:alignment vertical="top" wrapText="1"/>
    </x:xf>
    <x:xf numFmtId="0" fontId="23" fillId="3" borderId="171" xfId="1" applyNumberFormat="1" applyFont="1" applyFill="1" applyBorder="1" applyAlignment="1">
      <x:alignment vertical="top" wrapText="1"/>
    </x:xf>
    <x:xf numFmtId="0" fontId="24" fillId="3" borderId="172" xfId="1" applyNumberFormat="1" applyFont="1" applyFill="1" applyBorder="1" applyAlignment="1">
      <x:alignment vertical="top" wrapText="1"/>
    </x:xf>
    <x:xf numFmtId="0" fontId="23" fillId="3" borderId="173" xfId="1" applyNumberFormat="1" applyFont="1" applyFill="1" applyBorder="1" applyAlignment="1">
      <x:alignment vertical="top" wrapText="1"/>
    </x:xf>
    <x:xf numFmtId="0" fontId="23" fillId="3" borderId="174" xfId="1" applyNumberFormat="1" applyFont="1" applyFill="1" applyBorder="1" applyAlignment="1">
      <x:alignment vertical="top" wrapText="1"/>
    </x:xf>
    <x:xf numFmtId="0" fontId="23" fillId="3" borderId="175" xfId="1" applyNumberFormat="1" applyFont="1" applyFill="1" applyBorder="1" applyAlignment="1">
      <x:alignment vertical="top" wrapText="1"/>
    </x:xf>
    <x:xf numFmtId="0" fontId="23" fillId="3" borderId="176" xfId="1" applyNumberFormat="1" applyFont="1" applyFill="1" applyBorder="1" applyAlignment="1">
      <x:alignment vertical="top" wrapText="1"/>
    </x:xf>
    <x:xf numFmtId="0" fontId="23" fillId="3" borderId="177" xfId="1" applyNumberFormat="1" applyFont="1" applyFill="1" applyBorder="1" applyAlignment="1">
      <x:alignment vertical="top" wrapText="1"/>
    </x:xf>
    <x:xf numFmtId="0" fontId="24" fillId="5" borderId="178" xfId="1" applyNumberFormat="1" applyFont="1" applyFill="1" applyBorder="1" applyAlignment="1">
      <x:alignment horizontal="center" vertical="top" wrapText="1"/>
    </x:xf>
    <x:xf numFmtId="206" fontId="34" fillId="3" borderId="179" xfId="1" applyNumberFormat="1" applyFont="1" applyFill="1" applyBorder="1" applyAlignment="1">
      <x:alignment vertical="top" wrapText="1"/>
    </x:xf>
    <x:xf numFmtId="207" fontId="23" fillId="3" borderId="180" xfId="1" applyNumberFormat="1" applyFont="1" applyFill="1" applyBorder="1" applyAlignment="1">
      <x:alignment vertical="top" wrapText="1"/>
    </x:xf>
    <x:xf numFmtId="0" fontId="23" fillId="3" borderId="181" xfId="1" applyNumberFormat="1" applyFont="1" applyFill="1" applyBorder="1" applyAlignment="1">
      <x:alignment vertical="top" wrapText="1"/>
    </x:xf>
    <x:xf numFmtId="0" fontId="24" fillId="3" borderId="182" xfId="1" applyNumberFormat="1" applyFont="1" applyFill="1" applyBorder="1" applyAlignment="1">
      <x:alignment vertical="top" wrapText="1"/>
    </x:xf>
    <x:xf numFmtId="206" fontId="39" fillId="3" borderId="183" xfId="1" applyNumberFormat="1" applyFont="1" applyFill="1" applyBorder="1" applyAlignment="1">
      <x:alignment vertical="top" wrapText="1"/>
    </x:xf>
    <x:xf numFmtId="207" fontId="24" fillId="3" borderId="184" xfId="1" applyNumberFormat="1" applyFont="1" applyFill="1" applyBorder="1" applyAlignment="1">
      <x:alignment vertical="top" wrapText="1"/>
    </x:xf>
    <x:xf numFmtId="0" fontId="24" fillId="3" borderId="185" xfId="1" applyNumberFormat="1" applyFont="1" applyFill="1" applyBorder="1" applyAlignment="1">
      <x:alignment vertical="top" wrapText="1"/>
    </x:xf>
    <x:xf numFmtId="0" fontId="24" fillId="3" borderId="186" xfId="1" applyNumberFormat="1" applyFont="1" applyFill="1" applyBorder="1" applyAlignment="1">
      <x:alignment vertical="top" wrapText="1"/>
    </x:xf>
    <x:xf numFmtId="206" fontId="23" fillId="3" borderId="187" xfId="1" applyNumberFormat="1" applyFont="1" applyFill="1" applyBorder="1" applyAlignment="1">
      <x:alignment vertical="top" wrapText="1"/>
    </x:xf>
    <x:xf numFmtId="207" fontId="23" fillId="3" borderId="188" xfId="1" applyNumberFormat="1" applyFont="1" applyFill="1" applyBorder="1" applyAlignment="1">
      <x:alignment vertical="top" wrapText="1"/>
    </x:xf>
    <x:xf numFmtId="206" fontId="24" fillId="5" borderId="189" xfId="1" applyNumberFormat="1" applyFont="1" applyFill="1" applyBorder="1" applyAlignment="1">
      <x:alignment horizontal="center" vertical="top" wrapText="1"/>
    </x:xf>
    <x:xf numFmtId="207" fontId="24" fillId="5" borderId="190" xfId="1" applyNumberFormat="1" applyFont="1" applyFill="1" applyBorder="1" applyAlignment="1">
      <x:alignment horizontal="center" vertical="top" wrapText="1"/>
    </x:xf>
    <x:xf numFmtId="206" fontId="23" fillId="3" borderId="191" xfId="1" applyNumberFormat="1" applyFont="1" applyFill="1" applyBorder="1" applyAlignment="1">
      <x:alignment vertical="top" wrapText="1"/>
    </x:xf>
    <x:xf numFmtId="0" fontId="24" fillId="3" borderId="192" xfId="1" applyNumberFormat="1" applyFont="1" applyFill="1" applyBorder="1" applyAlignment="1">
      <x:alignment vertical="top" wrapText="1"/>
    </x:xf>
    <x:xf numFmtId="206" fontId="39" fillId="3" borderId="193" xfId="1" applyNumberFormat="1" applyFont="1" applyFill="1" applyBorder="1" applyAlignment="1">
      <x:alignment vertical="top" wrapText="1"/>
    </x:xf>
    <x:xf numFmtId="207" fontId="24" fillId="3" borderId="194" xfId="1" applyNumberFormat="1" applyFont="1" applyFill="1" applyBorder="1" applyAlignment="1">
      <x:alignment vertical="top" wrapText="1"/>
    </x:xf>
    <x:xf numFmtId="0" fontId="24" fillId="3" borderId="195" xfId="1" applyNumberFormat="1" applyFont="1" applyFill="1" applyBorder="1" applyAlignment="1">
      <x:alignment vertical="top" wrapText="1"/>
    </x:xf>
    <x:xf numFmtId="0" fontId="24" fillId="3" borderId="196" xfId="1" applyNumberFormat="1" applyFont="1" applyFill="1" applyBorder="1" applyAlignment="1">
      <x:alignment vertical="top" wrapText="1"/>
    </x:xf>
    <x:xf numFmtId="206" fontId="23" fillId="3" borderId="197" xfId="1" applyNumberFormat="1" applyFont="1" applyFill="1" applyBorder="1" applyAlignment="1">
      <x:alignment vertical="top" wrapText="1"/>
    </x:xf>
    <x:xf numFmtId="207" fontId="23" fillId="3" borderId="198" xfId="1" applyNumberFormat="1" applyFont="1" applyFill="1" applyBorder="1" applyAlignment="1">
      <x:alignment vertical="top" wrapText="1"/>
    </x:xf>
    <x:xf numFmtId="0" fontId="23" fillId="3" borderId="199" xfId="1" applyNumberFormat="1" applyFont="1" applyFill="1" applyBorder="1" applyAlignment="1">
      <x:alignment vertical="top" wrapText="1"/>
    </x:xf>
    <x:xf numFmtId="0" fontId="23" fillId="3" borderId="200" xfId="1" applyNumberFormat="1" applyFont="1" applyFill="1" applyBorder="1" applyAlignment="1">
      <x:alignment vertical="top" wrapText="1"/>
    </x:xf>
    <x:xf numFmtId="206" fontId="23" fillId="3" borderId="201" xfId="1" applyNumberFormat="1" applyFont="1" applyFill="1" applyBorder="1" applyAlignment="1">
      <x:alignment vertical="top" wrapText="1"/>
    </x:xf>
    <x:xf numFmtId="207" fontId="23" fillId="3" borderId="202" xfId="1" applyNumberFormat="1" applyFont="1" applyFill="1" applyBorder="1" applyAlignment="1">
      <x:alignment vertical="top" wrapText="1"/>
    </x:xf>
    <x:xf numFmtId="0" fontId="23" fillId="3" borderId="203" xfId="1" applyNumberFormat="1" applyFont="1" applyFill="1" applyBorder="1" applyAlignment="1">
      <x:alignment vertical="top" wrapText="1"/>
    </x:xf>
    <x:xf numFmtId="0" fontId="23" fillId="3" borderId="204" xfId="1" applyNumberFormat="1" applyFont="1" applyFill="1" applyBorder="1" applyAlignment="1">
      <x:alignment vertical="top" wrapText="1"/>
    </x:xf>
    <x:xf numFmtId="0" fontId="25" fillId="3" borderId="205" xfId="1" applyNumberFormat="1" applyFont="1" applyFill="1" applyBorder="1" applyAlignment="1">
      <x:alignment vertical="top" wrapText="1"/>
    </x:xf>
    <x:xf numFmtId="0" fontId="37" fillId="3" borderId="206" xfId="1" applyNumberFormat="1" applyFont="1" applyFill="1" applyBorder="1" applyAlignment="1">
      <x:alignment vertical="top" wrapText="1"/>
    </x:xf>
    <x:xf numFmtId="206" fontId="41" fillId="3" borderId="207" xfId="1" applyNumberFormat="1" applyFont="1" applyFill="1" applyBorder="1" applyAlignment="1">
      <x:alignment vertical="top" wrapText="1"/>
    </x:xf>
    <x:xf numFmtId="0" fontId="37" fillId="3" borderId="208" xfId="1" applyNumberFormat="1" applyFont="1" applyFill="1" applyBorder="1" applyAlignment="1">
      <x:alignment vertical="top" wrapText="1"/>
    </x:xf>
    <x:xf numFmtId="205" fontId="34" fillId="3" borderId="209" xfId="1" applyNumberFormat="1" applyFont="1" applyFill="1" applyBorder="1" applyAlignment="1">
      <x:alignment vertical="top" wrapText="1"/>
    </x:xf>
    <x:xf numFmtId="208" fontId="33" fillId="3" borderId="210" xfId="1" applyNumberFormat="1" applyFont="1" applyFill="1" applyBorder="1" applyAlignment="1">
      <x:alignment vertical="top" wrapText="1"/>
    </x:xf>
    <x:xf numFmtId="205" fontId="33" fillId="3" borderId="211" xfId="1" applyNumberFormat="1" applyFont="1" applyFill="1" applyBorder="1" applyAlignment="1">
      <x:alignment vertical="top" wrapText="1"/>
    </x:xf>
    <x:xf numFmtId="0" fontId="37" fillId="3" borderId="212" xfId="1" applyNumberFormat="1" applyFont="1" applyFill="1" applyBorder="1" applyAlignment="1">
      <x:alignment vertical="top" wrapText="1"/>
    </x:xf>
    <x:xf numFmtId="0" fontId="24" fillId="5" borderId="213" xfId="1" applyNumberFormat="1" applyFont="1" applyFill="1" applyBorder="1" applyAlignment="1">
      <x:alignment horizontal="center" vertical="top" wrapText="1"/>
    </x:xf>
    <x:xf numFmtId="0" fontId="34" fillId="3" borderId="214" xfId="1" applyNumberFormat="1" applyFont="1" applyFill="1" applyBorder="1" applyAlignment="1">
      <x:alignment vertical="top" wrapText="1"/>
    </x:xf>
    <x:xf numFmtId="0" fontId="34" fillId="3" borderId="215" xfId="1" applyNumberFormat="1" applyFont="1" applyFill="1" applyBorder="1" applyAlignment="1">
      <x:alignment vertical="top" wrapText="1"/>
    </x:xf>
    <x:xf numFmtId="0" fontId="34" fillId="3" borderId="216" xfId="1" applyNumberFormat="1" applyFont="1" applyFill="1" applyBorder="1" applyAlignment="1">
      <x:alignment vertical="top" wrapText="1"/>
    </x:xf>
    <x:xf numFmtId="0" fontId="34" fillId="3" borderId="217" xfId="1" applyNumberFormat="1" applyFont="1" applyFill="1" applyBorder="1" applyAlignment="1">
      <x:alignment vertical="top" wrapText="1"/>
    </x:xf>
    <x:xf numFmtId="0" fontId="34" fillId="3" borderId="218" xfId="1" applyNumberFormat="1" applyFont="1" applyFill="1" applyBorder="1" applyAlignment="1">
      <x:alignment vertical="top" wrapText="1"/>
    </x:xf>
    <x:xf numFmtId="0" fontId="34" fillId="3" borderId="219" xfId="1" applyNumberFormat="1" applyFont="1" applyFill="1" applyBorder="1" applyAlignment="1">
      <x:alignment vertical="top" wrapText="1"/>
    </x:xf>
    <x:xf numFmtId="0" fontId="40" fillId="3" borderId="220" xfId="1" applyNumberFormat="1" applyFont="1" applyFill="1" applyBorder="1" applyAlignment="1">
      <x:alignment vertical="top" wrapText="1"/>
    </x:xf>
    <x:xf numFmtId="206" fontId="34" fillId="3" borderId="221" xfId="1" applyNumberFormat="1" applyFont="1" applyFill="1" applyBorder="1" applyAlignment="1">
      <x:alignment vertical="top" wrapText="1"/>
    </x:xf>
    <x:xf numFmtId="206" fontId="24" fillId="3" borderId="222" xfId="1" applyNumberFormat="1" applyFont="1" applyFill="1" applyBorder="1" applyAlignment="1">
      <x:alignment vertical="top" wrapText="1"/>
    </x:xf>
    <x:xf numFmtId="206" fontId="24" fillId="3" borderId="223" xfId="1" applyNumberFormat="1" applyFont="1" applyFill="1" applyBorder="1" applyAlignment="1">
      <x:alignment vertical="top" wrapText="1"/>
    </x:xf>
    <x:xf numFmtId="206" fontId="23" fillId="3" borderId="224" xfId="1" applyNumberFormat="1" applyFont="1" applyFill="1" applyBorder="1" applyAlignment="1">
      <x:alignment vertical="top" wrapText="1"/>
    </x:xf>
    <x:xf numFmtId="206" fontId="23" fillId="3" borderId="225" xfId="1" applyNumberFormat="1" applyFont="1" applyFill="1" applyBorder="1" applyAlignment="1">
      <x:alignment vertical="top" wrapText="1"/>
    </x:xf>
    <x:xf numFmtId="206" fontId="24" fillId="3" borderId="226" xfId="1" applyNumberFormat="1" applyFont="1" applyFill="1" applyBorder="1" applyAlignment="1">
      <x:alignment vertical="top" wrapText="1"/>
    </x:xf>
    <x:xf numFmtId="206" fontId="24" fillId="3" borderId="227" xfId="1" applyNumberFormat="1" applyFont="1" applyFill="1" applyBorder="1" applyAlignment="1">
      <x:alignment vertical="top" wrapText="1"/>
    </x:xf>
    <x:xf numFmtId="206" fontId="23" fillId="3" borderId="228" xfId="1" applyNumberFormat="1" applyFont="1" applyFill="1" applyBorder="1" applyAlignment="1">
      <x:alignment vertical="top" wrapText="1"/>
    </x:xf>
    <x:xf numFmtId="206" fontId="34" fillId="3" borderId="229" xfId="1" applyNumberFormat="1" applyFont="1" applyFill="1" applyBorder="1" applyAlignment="1">
      <x:alignment vertical="top" wrapText="1"/>
    </x:xf>
    <x:xf numFmtId="206" fontId="34" fillId="3" borderId="230" xfId="1" applyNumberFormat="1" applyFont="1" applyFill="1" applyBorder="1" applyAlignment="1">
      <x:alignment vertical="top" wrapText="1"/>
    </x:xf>
    <x:xf numFmtId="206" fontId="24" fillId="3" borderId="231" xfId="1" applyNumberFormat="1" applyFont="1" applyFill="1" applyBorder="1" applyAlignment="1">
      <x:alignment vertical="top" wrapText="1"/>
    </x:xf>
    <x:xf numFmtId="206" fontId="24" fillId="3" borderId="232" xfId="1" applyNumberFormat="1" applyFont="1" applyFill="1" applyBorder="1" applyAlignment="1">
      <x:alignment vertical="top" wrapText="1"/>
    </x:xf>
    <x:xf numFmtId="205" fontId="24" fillId="3" borderId="233" xfId="1" applyNumberFormat="1" applyFont="1" applyFill="1" applyBorder="1" applyAlignment="1">
      <x:alignment vertical="top" wrapText="1"/>
    </x:xf>
    <x:xf numFmtId="206" fontId="33" fillId="3" borderId="234" xfId="1" applyNumberFormat="1" applyFont="1" applyFill="1" applyBorder="1" applyAlignment="1">
      <x:alignment vertical="top" wrapText="1"/>
    </x:xf>
    <x:xf numFmtId="208" fontId="34" fillId="3" borderId="235" xfId="1" applyNumberFormat="1" applyFont="1" applyFill="1" applyBorder="1" applyAlignment="1">
      <x:alignment vertical="top" wrapText="1"/>
    </x:xf>
    <x:xf numFmtId="205" fontId="34" fillId="3" borderId="236" xfId="1" applyNumberFormat="1" applyFont="1" applyFill="1" applyBorder="1" applyAlignment="1">
      <x:alignment vertical="top" wrapText="1"/>
    </x:xf>
    <x:xf numFmtId="0" fontId="23" fillId="3" borderId="237" xfId="1" applyNumberFormat="1" applyFont="1" applyFill="1" applyBorder="1"/>
    <x:xf numFmtId="206" fontId="34" fillId="3" borderId="238" xfId="1" applyNumberFormat="1" applyFont="1" applyFill="1" applyBorder="1" applyAlignment="1">
      <x:alignment vertical="top" wrapText="1"/>
    </x:xf>
    <x:xf numFmtId="206" fontId="34" fillId="3" borderId="239" xfId="1" applyNumberFormat="1" applyFont="1" applyFill="1" applyBorder="1" applyAlignment="1">
      <x:alignment vertical="top" wrapText="1"/>
    </x:xf>
    <x:xf numFmtId="206" fontId="34" fillId="3" borderId="240" xfId="1" applyNumberFormat="1" applyFont="1" applyFill="1" applyBorder="1" applyAlignment="1">
      <x:alignment vertical="top" wrapText="1"/>
    </x:xf>
    <x:xf numFmtId="0" fontId="23" fillId="3" borderId="241" xfId="1" applyNumberFormat="1" applyFont="1" applyFill="1" applyBorder="1" applyAlignment="1">
      <x:alignment vertical="top" wrapText="1"/>
    </x:xf>
    <x:xf numFmtId="0" fontId="24" fillId="3" borderId="242" xfId="1" applyNumberFormat="1" applyFont="1" applyFill="1" applyBorder="1" applyAlignment="1">
      <x:alignment vertical="top" wrapText="1"/>
    </x:xf>
    <x:xf numFmtId="0" fontId="24" fillId="3" borderId="243" xfId="1" applyNumberFormat="1" applyFont="1" applyFill="1" applyBorder="1" applyAlignment="1">
      <x:alignment vertical="top" wrapText="1"/>
    </x:xf>
    <x:xf numFmtId="0" fontId="23" fillId="3" borderId="244" xfId="1" applyNumberFormat="1" applyFont="1" applyFill="1" applyBorder="1" applyAlignment="1">
      <x:alignment vertical="top" wrapText="1"/>
    </x:xf>
    <x:xf numFmtId="206" fontId="23" fillId="3" borderId="245" xfId="1" applyNumberFormat="1" applyFont="1" applyFill="1" applyBorder="1" applyAlignment="1">
      <x:alignment vertical="top" wrapText="1"/>
    </x:xf>
    <x:xf numFmtId="0" fontId="23" fillId="3" borderId="246" xfId="1" applyNumberFormat="1" applyFont="1" applyFill="1" applyBorder="1" applyAlignment="1">
      <x:alignment vertical="top" wrapText="1"/>
    </x:xf>
    <x:xf numFmtId="206" fontId="23" fillId="3" borderId="247" xfId="1" applyNumberFormat="1" applyFont="1" applyFill="1" applyBorder="1" applyAlignment="1">
      <x:alignment vertical="top" wrapText="1"/>
    </x:xf>
    <x:xf numFmtId="0" fontId="23" fillId="3" borderId="248" xfId="1" applyNumberFormat="1" applyFont="1" applyFill="1" applyBorder="1" applyAlignment="1">
      <x:alignment vertical="top" wrapText="1"/>
    </x:xf>
    <x:xf numFmtId="0" fontId="23" fillId="3" borderId="249" xfId="1" applyNumberFormat="1" applyFont="1" applyFill="1" applyBorder="1" applyAlignment="1">
      <x:alignment vertical="top" wrapText="1"/>
    </x:xf>
    <x:xf numFmtId="0" fontId="23" fillId="3" borderId="250" xfId="1" applyNumberFormat="1" applyFont="1" applyFill="1" applyBorder="1" applyAlignment="1">
      <x:alignment vertical="top" wrapText="1"/>
    </x:xf>
    <x:xf numFmtId="206" fontId="34" fillId="3" borderId="251" xfId="1" applyNumberFormat="1" applyFont="1" applyFill="1" applyBorder="1" applyAlignment="1">
      <x:alignment vertical="top" wrapText="1"/>
    </x:xf>
    <x:xf numFmtId="0" fontId="23" fillId="3" borderId="252" xfId="1" applyNumberFormat="1" applyFont="1" applyFill="1" applyBorder="1" applyAlignment="1">
      <x:alignment vertical="top" wrapText="1"/>
    </x:xf>
    <x:xf numFmtId="0" fontId="23" fillId="3" borderId="253" xfId="1" applyNumberFormat="1" applyFont="1" applyFill="1" applyBorder="1" applyAlignment="1">
      <x:alignment vertical="top" wrapText="1"/>
    </x:xf>
    <x:xf numFmtId="0" fontId="23" fillId="3" borderId="254" xfId="1" applyNumberFormat="1" applyFont="1" applyFill="1" applyBorder="1" applyAlignment="1">
      <x:alignment vertical="top" wrapText="1"/>
    </x:xf>
    <x:xf numFmtId="207" fontId="34" fillId="3" borderId="255" xfId="1" applyNumberFormat="1" applyFont="1" applyFill="1" applyBorder="1" applyAlignment="1">
      <x:alignment vertical="top" wrapText="1"/>
    </x:xf>
    <x:xf numFmtId="209" fontId="34" fillId="3" borderId="256" xfId="1" applyNumberFormat="1" applyFont="1" applyFill="1" applyBorder="1" applyAlignment="1">
      <x:alignment vertical="top" wrapText="1"/>
    </x:xf>
    <x:xf numFmtId="206" fontId="36" fillId="3" borderId="257" xfId="1" applyNumberFormat="1" applyFont="1" applyFill="1" applyBorder="1" applyAlignment="1">
      <x:alignment vertical="top" wrapText="1"/>
    </x:xf>
    <x:xf numFmtId="207" fontId="23" fillId="3" borderId="258" xfId="1" applyNumberFormat="1" applyFont="1" applyFill="1" applyBorder="1" applyAlignment="1">
      <x:alignment vertical="top" wrapText="1"/>
    </x:xf>
    <x:xf numFmtId="0" fontId="23" fillId="3" borderId="259" xfId="1" applyNumberFormat="1" applyFont="1" applyFill="1" applyBorder="1" applyAlignment="1">
      <x:alignment vertical="top" wrapText="1"/>
    </x:xf>
    <x:xf numFmtId="206" fontId="36" fillId="3" borderId="260" xfId="1" applyNumberFormat="1" applyFont="1" applyFill="1" applyBorder="1" applyAlignment="1">
      <x:alignment vertical="top" wrapText="1"/>
    </x:xf>
    <x:xf numFmtId="0" fontId="23" fillId="3" borderId="261" xfId="1" applyNumberFormat="1" applyFont="1" applyFill="1" applyBorder="1" applyAlignment="1">
      <x:alignment vertical="top" wrapText="1"/>
    </x:xf>
    <x:xf numFmtId="0" fontId="23" fillId="3" borderId="262" xfId="1" applyNumberFormat="1" applyFont="1" applyFill="1" applyBorder="1" applyAlignment="1">
      <x:alignment vertical="top" wrapText="1"/>
    </x:xf>
    <x:xf numFmtId="0" fontId="24" fillId="5" borderId="263" xfId="1" applyNumberFormat="1" applyFont="1" applyFill="1" applyBorder="1" applyAlignment="1">
      <x:alignment horizontal="center" vertical="top" wrapText="1"/>
    </x:xf>
    <x:xf numFmtId="209" fontId="36" fillId="3" borderId="264" xfId="1" applyNumberFormat="1" applyFont="1" applyFill="1" applyBorder="1" applyAlignment="1">
      <x:alignment vertical="top" wrapText="1"/>
    </x:xf>
    <x:xf numFmtId="209" fontId="36" fillId="3" borderId="265" xfId="1" applyNumberFormat="1" applyFont="1" applyFill="1" applyBorder="1" applyAlignment="1">
      <x:alignment vertical="top" wrapText="1"/>
    </x:xf>
    <x:xf numFmtId="209" fontId="36" fillId="3" borderId="266" xfId="1" applyNumberFormat="1" applyFont="1" applyFill="1" applyBorder="1" applyAlignment="1">
      <x:alignment vertical="top" wrapText="1"/>
    </x:xf>
    <x:xf numFmtId="209" fontId="36" fillId="3" borderId="267" xfId="1" applyNumberFormat="1" applyFont="1" applyFill="1" applyBorder="1" applyAlignment="1">
      <x:alignment vertical="top" wrapText="1"/>
    </x:xf>
    <x:xf numFmtId="207" fontId="23" fillId="3" borderId="268" xfId="1" applyNumberFormat="1" applyFont="1" applyFill="1" applyBorder="1" applyAlignment="1">
      <x:alignment vertical="top" wrapText="1"/>
    </x:xf>
    <x:xf numFmtId="209" fontId="36" fillId="3" borderId="269" xfId="1" applyNumberFormat="1" applyFont="1" applyFill="1" applyBorder="1" applyAlignment="1">
      <x:alignment vertical="top" wrapText="1"/>
    </x:xf>
    <x:xf numFmtId="209" fontId="36" fillId="3" borderId="270" xfId="1" applyNumberFormat="1" applyFont="1" applyFill="1" applyBorder="1" applyAlignment="1">
      <x:alignment vertical="top" wrapText="1"/>
    </x:xf>
    <x:xf numFmtId="0" fontId="24" fillId="5" borderId="271" xfId="1" applyNumberFormat="1" applyFont="1" applyFill="1" applyBorder="1" applyAlignment="1">
      <x:alignment horizontal="center" vertical="top" wrapText="1"/>
    </x:xf>
    <x:xf numFmtId="0" fontId="23" fillId="3" borderId="272" xfId="1" applyNumberFormat="1" applyFont="1" applyFill="1" applyBorder="1" applyAlignment="1">
      <x:alignment vertical="top" wrapText="1"/>
    </x:xf>
    <x:xf numFmtId="0" fontId="23" fillId="3" borderId="273" xfId="1" applyNumberFormat="1" applyFont="1" applyFill="1" applyBorder="1" applyAlignment="1">
      <x:alignment vertical="top" wrapText="1"/>
    </x:xf>
    <x:xf numFmtId="206" fontId="36" fillId="3" borderId="274" xfId="1" applyNumberFormat="1" applyFont="1" applyFill="1" applyBorder="1" applyAlignment="1">
      <x:alignment vertical="top" wrapText="1"/>
    </x:xf>
    <x:xf numFmtId="206" fontId="36" fillId="3" borderId="275" xfId="1" applyNumberFormat="1" applyFont="1" applyFill="1" applyBorder="1" applyAlignment="1">
      <x:alignment vertical="top" wrapText="1"/>
    </x:xf>
    <x:xf numFmtId="0" fontId="23" fillId="3" borderId="276" xfId="1" applyNumberFormat="1" applyFont="1" applyFill="1" applyBorder="1" applyAlignment="1">
      <x:alignment vertical="top" wrapText="1"/>
    </x:xf>
    <x:xf numFmtId="0" fontId="23" fillId="3" borderId="277" xfId="1" applyNumberFormat="1" applyFont="1" applyFill="1" applyBorder="1" applyAlignment="1">
      <x:alignment wrapText="1"/>
    </x:xf>
    <x:xf numFmtId="0" fontId="23" fillId="3" borderId="278" xfId="1" applyNumberFormat="1" applyFont="1" applyFill="1" applyBorder="1" applyAlignment="1">
      <x:alignment wrapText="1"/>
    </x:xf>
    <x:xf numFmtId="0" fontId="23" fillId="3" borderId="279" xfId="1" applyNumberFormat="1" applyFont="1" applyFill="1" applyBorder="1" applyAlignment="1">
      <x:alignment wrapText="1"/>
    </x:xf>
    <x:xf numFmtId="210" fontId="23" fillId="3" borderId="140" xfId="1" applyNumberFormat="1" applyFont="1" applyFill="1" applyBorder="1" applyAlignment="1">
      <x:alignment vertical="top" wrapText="1"/>
    </x:xf>
    <x:xf numFmtId="0" fontId="23" fillId="6" borderId="140" xfId="1" applyNumberFormat="1" applyFont="1" applyFill="1" applyBorder="1" applyAlignment="1">
      <x:alignment vertical="top" wrapText="1"/>
    </x:xf>
    <x:xf numFmtId="0" fontId="24" fillId="6" borderId="140" xfId="1" applyNumberFormat="1" applyFont="1" applyFill="1" applyBorder="1" applyAlignment="1">
      <x:alignment vertical="top" wrapText="1"/>
    </x:xf>
    <x:xf numFmtId="0" fontId="24" fillId="6" borderId="140" xfId="1" applyNumberFormat="1" applyFont="1" applyFill="1" applyBorder="1" applyAlignment="1">
      <x:alignment horizontal="center" vertical="top" wrapText="1"/>
    </x:xf>
    <x:xf numFmtId="0" fontId="24" fillId="6" borderId="141" xfId="1" applyNumberFormat="1" applyFont="1" applyFill="1" applyBorder="1" applyAlignment="1">
      <x:alignment horizontal="center" vertical="top" wrapText="1"/>
    </x:xf>
    <x:xf numFmtId="211" fontId="34" fillId="3" borderId="140" xfId="1" applyNumberFormat="1" applyFont="1" applyFill="1" applyBorder="1" applyAlignment="1">
      <x:alignment vertical="top" wrapText="1"/>
    </x:xf>
    <x:xf numFmtId="211" fontId="33" fillId="3" borderId="140" xfId="1" applyNumberFormat="1" applyFont="1" applyFill="1" applyBorder="1" applyAlignment="1">
      <x:alignment vertical="top" wrapText="1"/>
    </x:xf>
    <x:xf numFmtId="0" fontId="24" fillId="6" borderId="142" xfId="1" applyNumberFormat="1" applyFont="1" applyFill="1" applyBorder="1" applyAlignment="1">
      <x:alignment horizontal="center" vertical="top" wrapText="1"/>
    </x:xf>
    <x:xf numFmtId="0" fontId="24" fillId="6" borderId="153" xfId="1" applyNumberFormat="1" applyFont="1" applyFill="1" applyBorder="1" applyAlignment="1">
      <x:alignment horizontal="center" vertical="top" wrapText="1"/>
    </x:xf>
    <x:xf numFmtId="0" fontId="24" fillId="6" borderId="143" xfId="1" applyNumberFormat="1" applyFont="1" applyFill="1" applyBorder="1" applyAlignment="1">
      <x:alignment horizontal="center" vertical="top" wrapText="1"/>
    </x:xf>
    <x:xf numFmtId="211" fontId="34" fillId="3" borderId="151" xfId="1" applyNumberFormat="1" applyFont="1" applyFill="1" applyBorder="1" applyAlignment="1">
      <x:alignment vertical="top" wrapText="1"/>
    </x:xf>
    <x:xf numFmtId="211" fontId="34" fillId="3" borderId="145" xfId="1" applyNumberFormat="1" applyFont="1" applyFill="1" applyBorder="1" applyAlignment="1">
      <x:alignment vertical="top" wrapText="1"/>
    </x:xf>
    <x:xf numFmtId="211" fontId="33" fillId="3" borderId="152" xfId="1" applyNumberFormat="1" applyFont="1" applyFill="1" applyBorder="1" applyAlignment="1">
      <x:alignment vertical="top" wrapText="1"/>
    </x:xf>
    <x:xf numFmtId="211" fontId="33" fillId="3" borderId="147" xfId="1" applyNumberFormat="1" applyFont="1" applyFill="1" applyBorder="1" applyAlignment="1">
      <x:alignment vertical="top" wrapText="1"/>
    </x:xf>
    <x:xf numFmtId="211" fontId="33" fillId="3" borderId="153" xfId="1" applyNumberFormat="1" applyFont="1" applyFill="1" applyBorder="1" applyAlignment="1">
      <x:alignment vertical="top" wrapText="1"/>
    </x:xf>
    <x:xf numFmtId="211" fontId="33" fillId="3" borderId="143" xfId="1" applyNumberFormat="1" applyFont="1" applyFill="1" applyBorder="1" applyAlignment="1">
      <x:alignment vertical="top" wrapText="1"/>
    </x:xf>
    <x:xf numFmtId="211" fontId="23" fillId="3" borderId="140" xfId="1" applyNumberFormat="1" applyFont="1" applyFill="1" applyBorder="1" applyAlignment="1">
      <x:alignment vertical="top" wrapText="1"/>
    </x:xf>
    <x:xf numFmtId="211" fontId="36" fillId="3" borderId="140" xfId="1" applyNumberFormat="1" applyFont="1" applyFill="1" applyBorder="1" applyAlignment="1">
      <x:alignment vertical="top" wrapText="1"/>
    </x:xf>
    <x:xf numFmtId="211" fontId="36" fillId="3" borderId="151" xfId="1" applyNumberFormat="1" applyFont="1" applyFill="1" applyBorder="1" applyAlignment="1">
      <x:alignment vertical="top" wrapText="1"/>
    </x:xf>
    <x:xf numFmtId="210" fontId="23" fillId="3" borderId="151" xfId="1" applyNumberFormat="1" applyFont="1" applyFill="1" applyBorder="1" applyAlignment="1">
      <x:alignment vertical="top" wrapText="1"/>
    </x:xf>
    <x:xf numFmtId="211" fontId="36" fillId="3" borderId="152" xfId="1" applyNumberFormat="1" applyFont="1" applyFill="1" applyBorder="1" applyAlignment="1">
      <x:alignment vertical="top" wrapText="1"/>
    </x:xf>
    <x:xf numFmtId="210" fontId="23" fillId="3" borderId="152" xfId="1" applyNumberFormat="1" applyFont="1" applyFill="1" applyBorder="1" applyAlignment="1">
      <x:alignment vertical="top" wrapText="1"/>
    </x:xf>
    <x:xf numFmtId="0" fontId="23" fillId="6" borderId="148" xfId="1" applyNumberFormat="1" applyFont="1" applyFill="1" applyBorder="1" applyAlignment="1">
      <x:alignment vertical="top" wrapText="1"/>
    </x:xf>
    <x:xf numFmtId="0" fontId="23" fillId="6" borderId="149" xfId="1" applyNumberFormat="1" applyFont="1" applyFill="1" applyBorder="1" applyAlignment="1">
      <x:alignment vertical="top" wrapText="1"/>
    </x:xf>
    <x:xf numFmtId="0" fontId="23" fillId="6" borderId="150" xfId="1" applyNumberFormat="1" applyFont="1" applyFill="1" applyBorder="1" applyAlignment="1">
      <x:alignment vertical="top" wrapText="1"/>
    </x:xf>
    <x:xf numFmtId="0" fontId="24" fillId="6" borderId="148" xfId="1" applyNumberFormat="1" applyFont="1" applyFill="1" applyBorder="1" applyAlignment="1">
      <x:alignment vertical="top" wrapText="1"/>
    </x:xf>
    <x:xf numFmtId="0" fontId="24" fillId="6" borderId="149" xfId="1" applyNumberFormat="1" applyFont="1" applyFill="1" applyBorder="1" applyAlignment="1">
      <x:alignment vertical="top" wrapText="1"/>
    </x:xf>
    <x:xf numFmtId="0" fontId="24" fillId="6" borderId="150" xfId="1" applyNumberFormat="1" applyFont="1" applyFill="1" applyBorder="1" applyAlignment="1">
      <x:alignment vertical="top" wrapText="1"/>
    </x:xf>
    <x:xf numFmtId="0" fontId="24" fillId="6" borderId="148" xfId="1" applyNumberFormat="1" applyFont="1" applyFill="1" applyBorder="1" applyAlignment="1">
      <x:alignment horizontal="center" vertical="top" wrapText="1"/>
    </x:xf>
    <x:xf numFmtId="0" fontId="24" fillId="6" borderId="149" xfId="1" applyNumberFormat="1" applyFont="1" applyFill="1" applyBorder="1" applyAlignment="1">
      <x:alignment horizontal="center" vertical="top" wrapText="1"/>
    </x:xf>
    <x:xf numFmtId="0" fontId="24" fillId="6" borderId="150" xfId="1" applyNumberFormat="1" applyFont="1" applyFill="1" applyBorder="1" applyAlignment="1">
      <x:alignment horizontal="center" vertical="top" wrapText="1"/>
    </x:xf>
    <x:xf numFmtId="0" fontId="21" fillId="3" borderId="140" xfId="1" applyNumberFormat="1" applyFont="1" applyFill="1" applyBorder="1" applyAlignment="1">
      <x:alignment wrapText="1"/>
    </x:xf>
    <x:xf numFmtId="0" fontId="21" fillId="3" borderId="146" xfId="1" applyNumberFormat="1" applyFont="1" applyFill="1" applyBorder="1" applyAlignment="1">
      <x:alignment wrapText="1"/>
    </x:xf>
    <x:xf numFmtId="0" fontId="21" fillId="3" borderId="147" xfId="1" applyNumberFormat="1" applyFont="1" applyFill="1" applyBorder="1" applyAlignment="1">
      <x:alignment wrapText="1"/>
    </x:xf>
    <x:xf numFmtId="0" fontId="21" fillId="3" borderId="146" xfId="1" applyNumberFormat="1" applyFont="1" applyFill="1" applyBorder="1"/>
    <x:xf numFmtId="0" fontId="21" fillId="3" borderId="147" xfId="1" applyNumberFormat="1" applyFont="1" applyFill="1" applyBorder="1"/>
    <x:xf numFmtId="0" fontId="42" fillId="7" borderId="280" xfId="2"/>
    <x:xf numFmtId="0" fontId="43" fillId="7" borderId="280" xfId="2" applyNumberFormat="1" applyFont="1" applyFill="1" applyBorder="1"/>
    <x:xf numFmtId="0" fontId="44" fillId="7" borderId="280" xfId="2" applyNumberFormat="1" applyFont="1" applyFill="1" applyBorder="1"/>
    <x:xf numFmtId="0" fontId="44" fillId="7" borderId="280" xfId="2" applyNumberFormat="1" applyFont="1" applyFill="1" applyBorder="1" applyAlignment="1">
      <x:alignment vertical="top"/>
    </x:xf>
    <x:xf numFmtId="0" fontId="44" fillId="7" borderId="280" xfId="2" applyNumberFormat="1" applyFont="1" applyFill="1" applyBorder="1" applyAlignment="1">
      <x:alignment vertical="top" wrapText="1"/>
    </x:xf>
    <x:xf numFmtId="0" fontId="45" fillId="7" borderId="280" xfId="2" applyNumberFormat="1" applyFont="1" applyFill="1" applyBorder="1" applyAlignment="1">
      <x:alignment vertical="top" wrapText="1"/>
    </x:xf>
    <x:xf numFmtId="0" fontId="46" fillId="7" borderId="280" xfId="2" applyNumberFormat="1" applyFont="1" applyFill="1" applyBorder="1" applyAlignment="1">
      <x:alignment vertical="top" wrapText="1"/>
    </x:xf>
    <x:xf numFmtId="0" fontId="46" fillId="7" borderId="280" xfId="2" applyNumberFormat="1" applyFont="1" applyFill="1" applyBorder="1" applyAlignment="1">
      <x:alignment vertical="top" wrapText="0"/>
    </x:xf>
    <x:xf numFmtId="0" fontId="44" fillId="7" borderId="280" xfId="2" applyNumberFormat="1" applyFont="1" applyFill="1" applyBorder="1" applyAlignment="1">
      <x:alignment vertical="top" wrapText="0"/>
    </x:xf>
    <x:xf numFmtId="0" fontId="44" fillId="9" borderId="280" xfId="2" applyNumberFormat="1" applyFont="1" applyFill="1" applyBorder="1" applyAlignment="1">
      <x:alignment vertical="top" wrapText="1"/>
    </x:xf>
    <x:xf numFmtId="0" fontId="45" fillId="9" borderId="280" xfId="2" applyNumberFormat="1" applyFont="1" applyFill="1" applyBorder="1" applyAlignment="1">
      <x:alignment vertical="top" wrapText="1"/>
    </x:xf>
    <x:xf numFmtId="0" fontId="45" fillId="9" borderId="280" xfId="2" applyNumberFormat="1" applyFont="1" applyFill="1" applyBorder="1" applyAlignment="1">
      <x:alignment horizontal="center" vertical="top" wrapText="1"/>
    </x:xf>
    <x:xf numFmtId="0" fontId="45" fillId="9" borderId="281" xfId="2" applyNumberFormat="1" applyFont="1" applyFill="1" applyBorder="1" applyAlignment="1">
      <x:alignment horizontal="center" vertical="top" wrapText="1"/>
    </x:xf>
    <x:xf numFmtId="0" fontId="45" fillId="9" borderId="282" xfId="2" applyNumberFormat="1" applyFont="1" applyFill="1" applyBorder="1" applyAlignment="1">
      <x:alignment horizontal="center" vertical="top" wrapText="1"/>
    </x:xf>
    <x:xf numFmtId="0" fontId="45" fillId="9" borderId="283" xfId="2" applyNumberFormat="1" applyFont="1" applyFill="1" applyBorder="1" applyAlignment="1">
      <x:alignment horizontal="center" vertical="top" wrapText="1"/>
    </x:xf>
    <x:xf numFmtId="0" fontId="45" fillId="7" borderId="284" xfId="2" applyNumberFormat="1" applyFont="1" applyFill="1" applyBorder="1" applyAlignment="1">
      <x:alignment vertical="top" wrapText="1"/>
    </x:xf>
    <x:xf numFmtId="0" fontId="44" fillId="7" borderId="285" xfId="2" applyNumberFormat="1" applyFont="1" applyFill="1" applyBorder="1" applyAlignment="1">
      <x:alignment vertical="top" wrapText="1"/>
    </x:xf>
    <x:xf numFmtId="0" fontId="45" fillId="7" borderId="286" xfId="2" applyNumberFormat="1" applyFont="1" applyFill="1" applyBorder="1" applyAlignment="1">
      <x:alignment vertical="top" wrapText="1"/>
    </x:xf>
    <x:xf numFmtId="0" fontId="44" fillId="7" borderId="287" xfId="2" applyNumberFormat="1" applyFont="1" applyFill="1" applyBorder="1" applyAlignment="1">
      <x:alignment vertical="top" wrapText="1"/>
    </x:xf>
    <x:xf numFmtId="212" fontId="44" fillId="7" borderId="280" xfId="2" applyNumberFormat="1" applyFont="1" applyFill="1" applyBorder="1" applyAlignment="1">
      <x:alignment vertical="top" wrapText="1"/>
    </x:xf>
    <x:xf numFmtId="0" fontId="47" fillId="7" borderId="280" xfId="2" applyNumberFormat="1" applyFont="1" applyFill="1" applyBorder="1" applyAlignment="1">
      <x:alignment vertical="top" wrapText="1"/>
    </x:xf>
    <x:xf numFmtId="212" fontId="47" fillId="7" borderId="280" xfId="2" applyNumberFormat="1" applyFont="1" applyFill="1" applyBorder="1" applyAlignment="1">
      <x:alignment vertical="top" wrapText="1"/>
    </x:xf>
    <x:xf numFmtId="212" fontId="48" fillId="7" borderId="280" xfId="2" applyNumberFormat="1" applyFont="1" applyFill="1" applyBorder="1" applyAlignment="1">
      <x:alignment vertical="top" wrapText="1"/>
    </x:xf>
    <x:xf numFmtId="0" fontId="47" fillId="7" borderId="284" xfId="2" applyNumberFormat="1" applyFont="1" applyFill="1" applyBorder="1" applyAlignment="1">
      <x:alignment vertical="top" wrapText="1"/>
    </x:xf>
    <x:xf numFmtId="212" fontId="48" fillId="7" borderId="285" xfId="2" applyNumberFormat="1" applyFont="1" applyFill="1" applyBorder="1" applyAlignment="1">
      <x:alignment vertical="top" wrapText="1"/>
    </x:xf>
    <x:xf numFmtId="0" fontId="44" fillId="7" borderId="284" xfId="2" applyNumberFormat="1" applyFont="1" applyFill="1" applyBorder="1" applyAlignment="1">
      <x:alignment vertical="top" wrapText="1"/>
    </x:xf>
    <x:xf numFmtId="0" fontId="44" fillId="7" borderId="286" xfId="2" applyNumberFormat="1" applyFont="1" applyFill="1" applyBorder="1" applyAlignment="1">
      <x:alignment vertical="top" wrapText="1"/>
    </x:xf>
    <x:xf numFmtId="0" fontId="49" fillId="7" borderId="280" xfId="2" applyNumberFormat="1" applyFont="1" applyFill="1" applyBorder="1"/>
    <x:xf numFmtId="213" fontId="49" fillId="7" borderId="280" xfId="2" applyNumberFormat="1" applyFont="1" applyFill="1" applyBorder="1"/>
    <x:xf numFmtId="214" fontId="42" fillId="7" borderId="280" xfId="2" applyNumberFormat="1" applyFont="1" applyFill="1" applyBorder="1"/>
    <x:xf numFmtId="213" fontId="42" fillId="7" borderId="280" xfId="2" applyNumberFormat="1" applyFont="1" applyFill="1" applyBorder="1"/>
    <x:xf numFmtId="212" fontId="42" fillId="7" borderId="280" xfId="2" applyNumberFormat="1" applyFont="1" applyFill="1" applyBorder="1"/>
    <x:xf numFmtId="215" fontId="42" fillId="7" borderId="280" xfId="2" applyNumberFormat="1" applyFont="1" applyFill="1" applyBorder="1"/>
    <x:xf numFmtId="0" fontId="50" fillId="7" borderId="280" xfId="2" applyNumberFormat="1" applyFont="1" applyFill="1" applyBorder="1"/>
    <x:xf numFmtId="0" fontId="51" fillId="7" borderId="280" xfId="2" applyNumberFormat="1" applyFont="1" applyFill="1" applyBorder="1"/>
    <x:xf numFmtId="216" fontId="50" fillId="7" borderId="280" xfId="2" applyNumberFormat="1" applyFont="1" applyFill="1" applyBorder="1"/>
    <x:xf numFmtId="212" fontId="51" fillId="7" borderId="280" xfId="2" applyNumberFormat="1" applyFont="1" applyFill="1" applyBorder="1"/>
    <x:xf numFmtId="213" fontId="43" fillId="7" borderId="280" xfId="2" applyNumberFormat="1" applyFont="1" applyFill="1" applyBorder="1"/>
    <x:xf numFmtId="214" fontId="43" fillId="7" borderId="280" xfId="2" applyNumberFormat="1" applyFont="1" applyFill="1" applyBorder="1"/>
    <x:xf numFmtId="212" fontId="43" fillId="7" borderId="280" xfId="2" applyNumberFormat="1" applyFont="1" applyFill="1" applyBorder="1"/>
    <x:xf numFmtId="215" fontId="43" fillId="7" borderId="280" xfId="2" applyNumberFormat="1" applyFont="1" applyFill="1" applyBorder="1"/>
    <x:xf numFmtId="212" fontId="52" fillId="7" borderId="280" xfId="2" applyNumberFormat="1" applyFont="1" applyFill="1" applyBorder="1"/>
    <x:xf numFmtId="0" fontId="53" fillId="7" borderId="280" xfId="2" applyNumberFormat="1" applyFont="1" applyFill="1" applyBorder="1"/>
    <x:xf numFmtId="213" fontId="44" fillId="7" borderId="280" xfId="2" applyNumberFormat="1" applyFont="1" applyFill="1" applyBorder="1"/>
    <x:xf numFmtId="214" fontId="44" fillId="7" borderId="280" xfId="2" applyNumberFormat="1" applyFont="1" applyFill="1" applyBorder="1"/>
    <x:xf numFmtId="212" fontId="44" fillId="7" borderId="280" xfId="2" applyNumberFormat="1" applyFont="1" applyFill="1" applyBorder="1"/>
    <x:xf numFmtId="215" fontId="44" fillId="7" borderId="280" xfId="2" applyNumberFormat="1" applyFont="1" applyFill="1" applyBorder="1"/>
    <x:xf numFmtId="212" fontId="54" fillId="7" borderId="280" xfId="2" applyNumberFormat="1" applyFont="1" applyFill="1" applyBorder="1"/>
    <x:xf numFmtId="0" fontId="55" fillId="7" borderId="280" xfId="2" applyNumberFormat="1" applyFont="1" applyFill="1" applyBorder="1"/>
    <x:xf numFmtId="213" fontId="44" fillId="7" borderId="280" xfId="2" applyNumberFormat="1" applyFont="1" applyFill="1" applyBorder="1" applyAlignment="1">
      <x:alignment vertical="top"/>
    </x:xf>
    <x:xf numFmtId="214" fontId="44" fillId="7" borderId="280" xfId="2" applyNumberFormat="1" applyFont="1" applyFill="1" applyBorder="1" applyAlignment="1">
      <x:alignment vertical="top"/>
    </x:xf>
    <x:xf numFmtId="212" fontId="44" fillId="7" borderId="280" xfId="2" applyNumberFormat="1" applyFont="1" applyFill="1" applyBorder="1" applyAlignment="1">
      <x:alignment vertical="top"/>
    </x:xf>
    <x:xf numFmtId="215" fontId="44" fillId="7" borderId="280" xfId="2" applyNumberFormat="1" applyFont="1" applyFill="1" applyBorder="1" applyAlignment="1">
      <x:alignment vertical="top"/>
    </x:xf>
    <x:xf numFmtId="212" fontId="54" fillId="7" borderId="280" xfId="2" applyNumberFormat="1" applyFont="1" applyFill="1" applyBorder="1" applyAlignment="1">
      <x:alignment vertical="top"/>
    </x:xf>
    <x:xf numFmtId="0" fontId="55" fillId="7" borderId="280" xfId="2" applyNumberFormat="1" applyFont="1" applyFill="1" applyBorder="1" applyAlignment="1">
      <x:alignment vertical="top"/>
    </x:xf>
    <x:xf numFmtId="213" fontId="44" fillId="7" borderId="280" xfId="2" applyNumberFormat="1" applyFont="1" applyFill="1" applyBorder="1" applyAlignment="1">
      <x:alignment vertical="top" wrapText="1"/>
    </x:xf>
    <x:xf numFmtId="214" fontId="44" fillId="7" borderId="280" xfId="2" applyNumberFormat="1" applyFont="1" applyFill="1" applyBorder="1" applyAlignment="1">
      <x:alignment vertical="top" wrapText="1"/>
    </x:xf>
    <x:xf numFmtId="215" fontId="44" fillId="7" borderId="280" xfId="2" applyNumberFormat="1" applyFont="1" applyFill="1" applyBorder="1" applyAlignment="1">
      <x:alignment vertical="top" wrapText="1"/>
    </x:xf>
    <x:xf numFmtId="212" fontId="54" fillId="7" borderId="280" xfId="2" applyNumberFormat="1" applyFont="1" applyFill="1" applyBorder="1" applyAlignment="1">
      <x:alignment vertical="top" wrapText="1"/>
    </x:xf>
    <x:xf numFmtId="0" fontId="55" fillId="7" borderId="280" xfId="2" applyNumberFormat="1" applyFont="1" applyFill="1" applyBorder="1" applyAlignment="1">
      <x:alignment vertical="top" wrapText="1"/>
    </x:xf>
    <x:xf numFmtId="0" fontId="52" fillId="7" borderId="280" xfId="2" applyNumberFormat="1" applyFont="1" applyFill="1" applyBorder="1"/>
    <x:xf numFmtId="216" fontId="53" fillId="7" borderId="280" xfId="2" applyNumberFormat="1" applyFont="1" applyFill="1" applyBorder="1"/>
    <x:xf numFmtId="0" fontId="54" fillId="7" borderId="280" xfId="2" applyNumberFormat="1" applyFont="1" applyFill="1" applyBorder="1"/>
    <x:xf numFmtId="216" fontId="55" fillId="7" borderId="280" xfId="2" applyNumberFormat="1" applyFont="1" applyFill="1" applyBorder="1"/>
    <x:xf numFmtId="0" fontId="54" fillId="7" borderId="280" xfId="2" applyNumberFormat="1" applyFont="1" applyFill="1" applyBorder="1" applyAlignment="1">
      <x:alignment vertical="top"/>
    </x:xf>
    <x:xf numFmtId="216" fontId="55" fillId="7" borderId="280" xfId="2" applyNumberFormat="1" applyFont="1" applyFill="1" applyBorder="1" applyAlignment="1">
      <x:alignment vertical="top"/>
    </x:xf>
    <x:xf numFmtId="0" fontId="54" fillId="7" borderId="280" xfId="2" applyNumberFormat="1" applyFont="1" applyFill="1" applyBorder="1" applyAlignment="1">
      <x:alignment vertical="top" wrapText="1"/>
    </x:xf>
    <x:xf numFmtId="216" fontId="55" fillId="7" borderId="280" xfId="2" applyNumberFormat="1" applyFont="1" applyFill="1" applyBorder="1" applyAlignment="1">
      <x:alignment vertical="top" wrapText="1"/>
    </x:xf>
    <x:xf numFmtId="213" fontId="56" fillId="7" borderId="280" xfId="2" applyNumberFormat="1" applyFont="1" applyFill="1" applyBorder="1"/>
    <x:xf numFmtId="213" fontId="57" fillId="7" borderId="280" xfId="2" applyNumberFormat="1" applyFont="1" applyFill="1" applyBorder="1"/>
    <x:xf numFmtId="213" fontId="57" fillId="7" borderId="280" xfId="2" applyNumberFormat="1" applyFont="1" applyFill="1" applyBorder="1" applyAlignment="1">
      <x:alignment vertical="top"/>
    </x:xf>
    <x:xf numFmtId="213" fontId="57" fillId="7" borderId="280" xfId="2" applyNumberFormat="1" applyFont="1" applyFill="1" applyBorder="1" applyAlignment="1">
      <x:alignment vertical="top" wrapText="1"/>
    </x:xf>
    <x:xf numFmtId="0" fontId="44" fillId="7" borderId="288" xfId="2" applyNumberFormat="1" applyFont="1" applyFill="1" applyBorder="1" applyAlignment="1">
      <x:alignment vertical="top" wrapText="1"/>
    </x:xf>
    <x:xf numFmtId="0" fontId="44" fillId="7" borderId="289" xfId="2" applyNumberFormat="1" applyFont="1" applyFill="1" applyBorder="1" applyAlignment="1">
      <x:alignment vertical="top" wrapText="1"/>
    </x:xf>
    <x:xf numFmtId="0" fontId="44" fillId="7" borderId="290" xfId="2" applyNumberFormat="1" applyFont="1" applyFill="1" applyBorder="1" applyAlignment="1">
      <x:alignment vertical="top" wrapText="1"/>
    </x:xf>
    <x:xf numFmtId="213" fontId="44" fillId="7" borderId="291" xfId="2" applyNumberFormat="1" applyFont="1" applyFill="1" applyBorder="1" applyAlignment="1">
      <x:alignment vertical="top" wrapText="1"/>
    </x:xf>
    <x:xf numFmtId="214" fontId="44" fillId="7" borderId="291" xfId="2" applyNumberFormat="1" applyFont="1" applyFill="1" applyBorder="1" applyAlignment="1">
      <x:alignment vertical="top" wrapText="1"/>
    </x:xf>
    <x:xf numFmtId="212" fontId="44" fillId="7" borderId="291" xfId="2" applyNumberFormat="1" applyFont="1" applyFill="1" applyBorder="1" applyAlignment="1">
      <x:alignment vertical="top" wrapText="1"/>
    </x:xf>
    <x:xf numFmtId="215" fontId="44" fillId="7" borderId="291" xfId="2" applyNumberFormat="1" applyFont="1" applyFill="1" applyBorder="1" applyAlignment="1">
      <x:alignment vertical="top" wrapText="1"/>
    </x:xf>
    <x:xf numFmtId="212" fontId="54" fillId="7" borderId="292" xfId="2" applyNumberFormat="1" applyFont="1" applyFill="1" applyBorder="1" applyAlignment="1">
      <x:alignment vertical="top" wrapText="1"/>
    </x:xf>
    <x:xf numFmtId="214" fontId="44" fillId="7" borderId="292" xfId="2" applyNumberFormat="1" applyFont="1" applyFill="1" applyBorder="1" applyAlignment="1">
      <x:alignment vertical="top" wrapText="1"/>
    </x:xf>
    <x:xf numFmtId="0" fontId="55" fillId="7" borderId="284" xfId="2" applyNumberFormat="1" applyFont="1" applyFill="1" applyBorder="1" applyAlignment="1">
      <x:alignment vertical="top" wrapText="1"/>
    </x:xf>
    <x:xf numFmtId="0" fontId="55" fillId="7" borderId="291" xfId="2" applyNumberFormat="1" applyFont="1" applyFill="1" applyBorder="1" applyAlignment="1">
      <x:alignment vertical="top" wrapText="1"/>
    </x:xf>
    <x:xf numFmtId="0" fontId="55" fillId="7" borderId="285" xfId="2" applyNumberFormat="1" applyFont="1" applyFill="1" applyBorder="1" applyAlignment="1">
      <x:alignment vertical="top" wrapText="1"/>
    </x:xf>
    <x:xf numFmtId="0" fontId="55" fillId="7" borderId="286" xfId="2" applyNumberFormat="1" applyFont="1" applyFill="1" applyBorder="1" applyAlignment="1">
      <x:alignment vertical="top" wrapText="1"/>
    </x:xf>
    <x:xf numFmtId="0" fontId="55" fillId="7" borderId="292" xfId="2" applyNumberFormat="1" applyFont="1" applyFill="1" applyBorder="1" applyAlignment="1">
      <x:alignment vertical="top" wrapText="1"/>
    </x:xf>
    <x:xf numFmtId="0" fontId="55" fillId="7" borderId="287" xfId="2" applyNumberFormat="1" applyFont="1" applyFill="1" applyBorder="1" applyAlignment="1">
      <x:alignment vertical="top" wrapText="1"/>
    </x:xf>
    <x:xf numFmtId="0" fontId="44" fillId="9" borderId="288" xfId="2" applyNumberFormat="1" applyFont="1" applyFill="1" applyBorder="1" applyAlignment="1">
      <x:alignment vertical="top" wrapText="1"/>
    </x:xf>
    <x:xf numFmtId="0" fontId="44" fillId="9" borderId="289" xfId="2" applyNumberFormat="1" applyFont="1" applyFill="1" applyBorder="1" applyAlignment="1">
      <x:alignment vertical="top" wrapText="1"/>
    </x:xf>
    <x:xf numFmtId="0" fontId="44" fillId="9" borderId="290" xfId="2" applyNumberFormat="1" applyFont="1" applyFill="1" applyBorder="1" applyAlignment="1">
      <x:alignment vertical="top" wrapText="1"/>
    </x:xf>
    <x:xf numFmtId="0" fontId="45" fillId="9" borderId="288" xfId="2" applyNumberFormat="1" applyFont="1" applyFill="1" applyBorder="1" applyAlignment="1">
      <x:alignment vertical="top" wrapText="1"/>
    </x:xf>
    <x:xf numFmtId="0" fontId="45" fillId="9" borderId="289" xfId="2" applyNumberFormat="1" applyFont="1" applyFill="1" applyBorder="1" applyAlignment="1">
      <x:alignment vertical="top" wrapText="1"/>
    </x:xf>
    <x:xf numFmtId="0" fontId="45" fillId="9" borderId="290" xfId="2" applyNumberFormat="1" applyFont="1" applyFill="1" applyBorder="1" applyAlignment="1">
      <x:alignment vertical="top" wrapText="1"/>
    </x:xf>
    <x:xf numFmtId="0" fontId="45" fillId="9" borderId="288" xfId="2" applyNumberFormat="1" applyFont="1" applyFill="1" applyBorder="1" applyAlignment="1">
      <x:alignment horizontal="center" vertical="top" wrapText="1"/>
    </x:xf>
    <x:xf numFmtId="0" fontId="45" fillId="9" borderId="289" xfId="2" applyNumberFormat="1" applyFont="1" applyFill="1" applyBorder="1" applyAlignment="1">
      <x:alignment horizontal="center" vertical="top" wrapText="1"/>
    </x:xf>
    <x:xf numFmtId="0" fontId="45" fillId="9" borderId="290" xfId="2" applyNumberFormat="1" applyFont="1" applyFill="1" applyBorder="1" applyAlignment="1">
      <x:alignment horizontal="center" vertical="top" wrapText="1"/>
    </x:xf>
    <x:xf numFmtId="0" fontId="45" fillId="9" borderId="293" xfId="2" applyNumberFormat="1" applyFont="1" applyFill="1" applyBorder="1" applyAlignment="1">
      <x:alignment horizontal="center" vertical="top" wrapText="1"/>
    </x:xf>
    <x:xf numFmtId="213" fontId="45" fillId="7" borderId="291" xfId="2" applyNumberFormat="1" applyFont="1" applyFill="1" applyBorder="1" applyAlignment="1">
      <x:alignment vertical="top" wrapText="1"/>
    </x:xf>
    <x:xf numFmtId="214" fontId="45" fillId="7" borderId="291" xfId="2" applyNumberFormat="1" applyFont="1" applyFill="1" applyBorder="1" applyAlignment="1">
      <x:alignment vertical="top" wrapText="1"/>
    </x:xf>
    <x:xf numFmtId="0" fontId="45" fillId="7" borderId="285" xfId="2" applyNumberFormat="1" applyFont="1" applyFill="1" applyBorder="1" applyAlignment="1">
      <x:alignment vertical="top" wrapText="1"/>
    </x:xf>
    <x:xf numFmtId="0" fontId="45" fillId="7" borderId="288" xfId="2" applyNumberFormat="1" applyFont="1" applyFill="1" applyBorder="1" applyAlignment="1">
      <x:alignment vertical="top" wrapText="1"/>
    </x:xf>
    <x:xf numFmtId="213" fontId="45" fillId="7" borderId="289" xfId="2" applyNumberFormat="1" applyFont="1" applyFill="1" applyBorder="1" applyAlignment="1">
      <x:alignment vertical="top" wrapText="1"/>
    </x:xf>
    <x:xf numFmtId="214" fontId="45" fillId="7" borderId="289" xfId="2" applyNumberFormat="1" applyFont="1" applyFill="1" applyBorder="1" applyAlignment="1">
      <x:alignment vertical="top" wrapText="1"/>
    </x:xf>
    <x:xf numFmtId="0" fontId="45" fillId="7" borderId="290" xfId="2" applyNumberFormat="1" applyFont="1" applyFill="1" applyBorder="1" applyAlignment="1">
      <x:alignment vertical="top" wrapText="1"/>
    </x:xf>
    <x:xf numFmtId="0" fontId="58" fillId="7" borderId="285" xfId="2" applyNumberFormat="1" applyFont="1" applyFill="1" applyBorder="1" applyAlignment="1">
      <x:alignment vertical="top" wrapText="1"/>
    </x:xf>
    <x:xf numFmtId="0" fontId="58" fillId="7" borderId="290" xfId="2" applyNumberFormat="1" applyFont="1" applyFill="1" applyBorder="1" applyAlignment="1">
      <x:alignment vertical="top" wrapText="1"/>
    </x:xf>
    <x:xf numFmtId="213" fontId="57" fillId="7" borderId="291" xfId="2" applyNumberFormat="1" applyFont="1" applyFill="1" applyBorder="1" applyAlignment="1">
      <x:alignment vertical="top" wrapText="1"/>
    </x:xf>
    <x:xf numFmtId="0" fontId="44" fillId="7" borderId="291" xfId="2" applyNumberFormat="1" applyFont="1" applyFill="1" applyBorder="1" applyAlignment="1">
      <x:alignment vertical="top" wrapText="1"/>
    </x:xf>
    <x:xf numFmtId="213" fontId="57" fillId="7" borderId="292" xfId="2" applyNumberFormat="1" applyFont="1" applyFill="1" applyBorder="1" applyAlignment="1">
      <x:alignment vertical="top" wrapText="1"/>
    </x:xf>
    <x:xf numFmtId="0" fontId="44" fillId="7" borderId="292" xfId="2" applyNumberFormat="1" applyFont="1" applyFill="1" applyBorder="1" applyAlignment="1">
      <x:alignment vertical="top" wrapText="1"/>
    </x:xf>
    <x:xf numFmtId="0" fontId="59" fillId="7" borderId="280" xfId="2" applyNumberFormat="1" applyFont="1" applyFill="1" applyBorder="1" applyAlignment="1">
      <x:alignment vertical="top" wrapText="1"/>
    </x:xf>
    <x:xf numFmtId="0" fontId="54" fillId="7" borderId="291" xfId="2" applyNumberFormat="1" applyFont="1" applyFill="1" applyBorder="1" applyAlignment="1">
      <x:alignment vertical="top" wrapText="1"/>
    </x:xf>
    <x:xf numFmtId="0" fontId="54" fillId="7" borderId="292" xfId="2" applyNumberFormat="1" applyFont="1" applyFill="1" applyBorder="1" applyAlignment="1">
      <x:alignment vertical="top" wrapText="1"/>
    </x:xf>
    <x:xf numFmtId="0" fontId="55" fillId="7" borderId="289" xfId="2" applyNumberFormat="1" applyFont="1" applyFill="1" applyBorder="1" applyAlignment="1">
      <x:alignment vertical="top" wrapText="1"/>
    </x:xf>
    <x:xf numFmtId="0" fontId="60" fillId="7" borderId="291" xfId="2" applyNumberFormat="1" applyFont="1" applyFill="1" applyBorder="1" applyAlignment="1">
      <x:alignment vertical="top" wrapText="1"/>
    </x:xf>
    <x:xf numFmtId="0" fontId="45" fillId="7" borderId="291" xfId="2" applyNumberFormat="1" applyFont="1" applyFill="1" applyBorder="1" applyAlignment="1">
      <x:alignment vertical="top" wrapText="1"/>
    </x:xf>
    <x:xf numFmtId="0" fontId="60" fillId="7" borderId="289" xfId="2" applyNumberFormat="1" applyFont="1" applyFill="1" applyBorder="1" applyAlignment="1">
      <x:alignment vertical="top" wrapText="1"/>
    </x:xf>
    <x:xf numFmtId="0" fontId="45" fillId="7" borderId="289" xfId="2" applyNumberFormat="1" applyFont="1" applyFill="1" applyBorder="1" applyAlignment="1">
      <x:alignment vertical="top" wrapText="1"/>
    </x:xf>
    <x:xf numFmtId="0" fontId="60" fillId="7" borderId="292" xfId="2" applyNumberFormat="1" applyFont="1" applyFill="1" applyBorder="1" applyAlignment="1">
      <x:alignment vertical="top" wrapText="1"/>
    </x:xf>
    <x:xf numFmtId="0" fontId="45" fillId="7" borderId="292" xfId="2" applyNumberFormat="1" applyFont="1" applyFill="1" applyBorder="1" applyAlignment="1">
      <x:alignment vertical="top" wrapText="1"/>
    </x:xf>
    <x:xf numFmtId="0" fontId="45" fillId="7" borderId="287" xfId="2" applyNumberFormat="1" applyFont="1" applyFill="1" applyBorder="1" applyAlignment="1">
      <x:alignment vertical="top" wrapText="1"/>
    </x:xf>
    <x:xf numFmtId="0" fontId="45" fillId="7" borderId="282" xfId="2" applyNumberFormat="1" applyFont="1" applyFill="1" applyBorder="1" applyAlignment="1">
      <x:alignment vertical="top" wrapText="1"/>
    </x:xf>
    <x:xf numFmtId="0" fontId="60" fillId="7" borderId="293" xfId="2" applyNumberFormat="1" applyFont="1" applyFill="1" applyBorder="1" applyAlignment="1">
      <x:alignment vertical="top" wrapText="1"/>
    </x:xf>
    <x:xf numFmtId="0" fontId="45" fillId="7" borderId="293" xfId="2" applyNumberFormat="1" applyFont="1" applyFill="1" applyBorder="1" applyAlignment="1">
      <x:alignment vertical="top" wrapText="1"/>
    </x:xf>
    <x:xf numFmtId="0" fontId="45" fillId="7" borderId="283" xfId="2" applyNumberFormat="1" applyFont="1" applyFill="1" applyBorder="1" applyAlignment="1">
      <x:alignment vertical="top" wrapText="1"/>
    </x:xf>
    <x:xf numFmtId="213" fontId="55" fillId="7" borderId="291" xfId="2" applyNumberFormat="1" applyFont="1" applyFill="1" applyBorder="1" applyAlignment="1">
      <x:alignment vertical="top" wrapText="1"/>
    </x:xf>
    <x:xf numFmtId="213" fontId="60" fillId="7" borderId="289" xfId="2" applyNumberFormat="1" applyFont="1" applyFill="1" applyBorder="1" applyAlignment="1">
      <x:alignment vertical="top" wrapText="1"/>
    </x:xf>
    <x:xf numFmtId="213" fontId="60" fillId="7" borderId="293" xfId="2" applyNumberFormat="1" applyFont="1" applyFill="1" applyBorder="1" applyAlignment="1">
      <x:alignment vertical="top" wrapText="1"/>
    </x:xf>
    <x:xf numFmtId="213" fontId="45" fillId="9" borderId="293" xfId="2" applyNumberFormat="1" applyFont="1" applyFill="1" applyBorder="1" applyAlignment="1">
      <x:alignment horizontal="center" vertical="top" wrapText="1"/>
    </x:xf>
    <x:xf numFmtId="213" fontId="55" fillId="7" borderId="292" xfId="2" applyNumberFormat="1" applyFont="1" applyFill="1" applyBorder="1" applyAlignment="1">
      <x:alignment vertical="top" wrapText="1"/>
    </x:xf>
    <x:xf numFmtId="213" fontId="55" fillId="7" borderId="289" xfId="2" applyNumberFormat="1" applyFont="1" applyFill="1" applyBorder="1" applyAlignment="1">
      <x:alignment vertical="top" wrapText="1"/>
    </x:xf>
    <x:xf numFmtId="213" fontId="44" fillId="7" borderId="292" xfId="2" applyNumberFormat="1" applyFont="1" applyFill="1" applyBorder="1" applyAlignment="1">
      <x:alignment vertical="top" wrapText="1"/>
    </x:xf>
    <x:xf numFmtId="0" fontId="57" fillId="7" borderId="291" xfId="2" applyNumberFormat="1" applyFont="1" applyFill="1" applyBorder="1" applyAlignment="1">
      <x:alignment vertical="top" wrapText="1"/>
    </x:xf>
    <x:xf numFmtId="0" fontId="57" fillId="7" borderId="292" xfId="2" applyNumberFormat="1" applyFont="1" applyFill="1" applyBorder="1" applyAlignment="1">
      <x:alignment vertical="top" wrapText="1"/>
    </x:xf>
    <x:xf numFmtId="216" fontId="55" fillId="7" borderId="285" xfId="2" applyNumberFormat="1" applyFont="1" applyFill="1" applyBorder="1" applyAlignment="1">
      <x:alignment vertical="top" wrapText="1"/>
    </x:xf>
    <x:xf numFmtId="214" fontId="55" fillId="7" borderId="291" xfId="2" applyNumberFormat="1" applyFont="1" applyFill="1" applyBorder="1" applyAlignment="1">
      <x:alignment vertical="top" wrapText="1"/>
    </x:xf>
    <x:xf numFmtId="216" fontId="44" fillId="7" borderId="280" xfId="2" applyNumberFormat="1" applyFont="1" applyFill="1" applyBorder="1" applyAlignment="1">
      <x:alignment vertical="top" wrapText="1"/>
    </x:xf>
    <x:xf numFmtId="216" fontId="57" fillId="7" borderId="280" xfId="2" applyNumberFormat="1" applyFont="1" applyFill="1" applyBorder="1" applyAlignment="1">
      <x:alignment vertical="top" wrapText="1"/>
    </x:xf>
    <x:xf numFmtId="216" fontId="57" fillId="7" borderId="284" xfId="2" applyNumberFormat="1" applyFont="1" applyFill="1" applyBorder="1" applyAlignment="1">
      <x:alignment vertical="top" wrapText="1"/>
    </x:xf>
    <x:xf numFmtId="216" fontId="57" fillId="7" borderId="285" xfId="2" applyNumberFormat="1" applyFont="1" applyFill="1" applyBorder="1" applyAlignment="1">
      <x:alignment vertical="top" wrapText="1"/>
    </x:xf>
    <x:xf numFmtId="216" fontId="57" fillId="7" borderId="286" xfId="2" applyNumberFormat="1" applyFont="1" applyFill="1" applyBorder="1" applyAlignment="1">
      <x:alignment vertical="top" wrapText="1"/>
    </x:xf>
    <x:xf numFmtId="216" fontId="57" fillId="7" borderId="287" xfId="2" applyNumberFormat="1" applyFont="1" applyFill="1" applyBorder="1" applyAlignment="1">
      <x:alignment vertical="top" wrapText="1"/>
    </x:xf>
    <x:xf numFmtId="0" fontId="61" fillId="7" borderId="280" xfId="2" applyNumberFormat="1" applyFont="1" applyFill="1" applyBorder="1" applyAlignment="1">
      <x:alignment vertical="top" wrapText="1"/>
    </x:xf>
    <x:xf numFmtId="213" fontId="55" fillId="7" borderId="280" xfId="2" applyNumberFormat="1" applyFont="1" applyFill="1" applyBorder="1" applyAlignment="1">
      <x:alignment vertical="top" wrapText="1"/>
    </x:xf>
    <x:xf numFmtId="213" fontId="55" fillId="7" borderId="285" xfId="2" applyNumberFormat="1" applyFont="1" applyFill="1" applyBorder="1" applyAlignment="1">
      <x:alignment vertical="top" wrapText="1"/>
    </x:xf>
    <x:xf numFmtId="213" fontId="44" fillId="7" borderId="285" xfId="2" applyNumberFormat="1" applyFont="1" applyFill="1" applyBorder="1" applyAlignment="1">
      <x:alignment vertical="top" wrapText="1"/>
    </x:xf>
    <x:xf numFmtId="213" fontId="44" fillId="7" borderId="287" xfId="2" applyNumberFormat="1" applyFont="1" applyFill="1" applyBorder="1" applyAlignment="1">
      <x:alignment vertical="top" wrapText="1"/>
    </x:xf>
    <x:xf numFmtId="0" fontId="44" fillId="7" borderId="282" xfId="2" applyNumberFormat="1" applyFont="1" applyFill="1" applyBorder="1" applyAlignment="1">
      <x:alignment vertical="top" wrapText="1"/>
    </x:xf>
    <x:xf numFmtId="213" fontId="55" fillId="7" borderId="293" xfId="2" applyNumberFormat="1" applyFont="1" applyFill="1" applyBorder="1" applyAlignment="1">
      <x:alignment vertical="top" wrapText="1"/>
    </x:xf>
    <x:xf numFmtId="213" fontId="55" fillId="7" borderId="283" xfId="2" applyNumberFormat="1" applyFont="1" applyFill="1" applyBorder="1" applyAlignment="1">
      <x:alignment vertical="top" wrapText="1"/>
    </x:xf>
    <x:xf numFmtId="213" fontId="44" fillId="7" borderId="289" xfId="2" applyNumberFormat="1" applyFont="1" applyFill="1" applyBorder="1" applyAlignment="1">
      <x:alignment vertical="top" wrapText="1"/>
    </x:xf>
    <x:xf numFmtId="213" fontId="44" fillId="7" borderId="290" xfId="2" applyNumberFormat="1" applyFont="1" applyFill="1" applyBorder="1" applyAlignment="1">
      <x:alignment vertical="top" wrapText="1"/>
    </x:xf>
    <x:xf numFmtId="212" fontId="44" fillId="7" borderId="292" xfId="2" applyNumberFormat="1" applyFont="1" applyFill="1" applyBorder="1" applyAlignment="1">
      <x:alignment vertical="top" wrapText="1"/>
    </x:xf>
    <x:xf numFmtId="213" fontId="45" fillId="7" borderId="285" xfId="2" applyNumberFormat="1" applyFont="1" applyFill="1" applyBorder="1" applyAlignment="1">
      <x:alignment vertical="top" wrapText="1"/>
    </x:xf>
    <x:xf numFmtId="213" fontId="45" fillId="7" borderId="290" xfId="2" applyNumberFormat="1" applyFont="1" applyFill="1" applyBorder="1" applyAlignment="1">
      <x:alignment vertical="top" wrapText="1"/>
    </x:xf>
    <x:xf numFmtId="213" fontId="45" fillId="7" borderId="292" xfId="2" applyNumberFormat="1" applyFont="1" applyFill="1" applyBorder="1" applyAlignment="1">
      <x:alignment vertical="top" wrapText="1"/>
    </x:xf>
    <x:xf numFmtId="213" fontId="45" fillId="7" borderId="287" xfId="2" applyNumberFormat="1" applyFont="1" applyFill="1" applyBorder="1" applyAlignment="1">
      <x:alignment vertical="top" wrapText="1"/>
    </x:xf>
    <x:xf numFmtId="213" fontId="45" fillId="7" borderId="293" xfId="2" applyNumberFormat="1" applyFont="1" applyFill="1" applyBorder="1" applyAlignment="1">
      <x:alignment vertical="top" wrapText="1"/>
    </x:xf>
    <x:xf numFmtId="213" fontId="45" fillId="7" borderId="283" xfId="2" applyNumberFormat="1" applyFont="1" applyFill="1" applyBorder="1" applyAlignment="1">
      <x:alignment vertical="top" wrapText="1"/>
    </x:xf>
    <x:xf numFmtId="212" fontId="45" fillId="7" borderId="292" xfId="2" applyNumberFormat="1" applyFont="1" applyFill="1" applyBorder="1" applyAlignment="1">
      <x:alignment vertical="top" wrapText="1"/>
    </x:xf>
    <x:xf numFmtId="212" fontId="45" fillId="7" borderId="293" xfId="2" applyNumberFormat="1" applyFont="1" applyFill="1" applyBorder="1" applyAlignment="1">
      <x:alignment vertical="top" wrapText="1"/>
    </x:xf>
    <x:xf numFmtId="213" fontId="62" fillId="7" borderId="289" xfId="2" applyNumberFormat="1" applyFont="1" applyFill="1" applyBorder="1" applyAlignment="1">
      <x:alignment vertical="top" wrapText="1"/>
    </x:xf>
    <x:xf numFmtId="212" fontId="55" fillId="7" borderId="291" xfId="2" applyNumberFormat="1" applyFont="1" applyFill="1" applyBorder="1" applyAlignment="1">
      <x:alignment vertical="top" wrapText="1"/>
    </x:xf>
    <x:xf numFmtId="215" fontId="54" fillId="7" borderId="291" xfId="2" applyNumberFormat="1" applyFont="1" applyFill="1" applyBorder="1" applyAlignment="1">
      <x:alignment vertical="top" wrapText="1"/>
    </x:xf>
    <x:xf numFmtId="0" fontId="58" fillId="7" borderId="287" xfId="2" applyNumberFormat="1" applyFont="1" applyFill="1" applyBorder="1" applyAlignment="1">
      <x:alignment vertical="top" wrapText="1"/>
    </x:xf>
    <x:xf numFmtId="0" fontId="44" fillId="7" borderId="280" xfId="2" applyNumberFormat="1" applyFont="1" applyFill="1" applyBorder="1" applyAlignment="1">
      <x:alignment wrapText="1"/>
    </x:xf>
    <x:xf numFmtId="0" fontId="44" fillId="7" borderId="293" xfId="2" applyNumberFormat="1" applyFont="1" applyFill="1" applyBorder="1" applyAlignment="1">
      <x:alignment vertical="top" wrapText="1"/>
    </x:xf>
    <x:xf numFmtId="0" fontId="44" fillId="7" borderId="283" xfId="2" applyNumberFormat="1" applyFont="1" applyFill="1" applyBorder="1" applyAlignment="1">
      <x:alignment vertical="top" wrapText="1"/>
    </x:xf>
    <x:xf numFmtId="0" fontId="44" fillId="7" borderId="294" xfId="2" applyNumberFormat="1" applyFont="1" applyFill="1" applyBorder="1" applyAlignment="1">
      <x:alignment vertical="top" wrapText="1"/>
    </x:xf>
    <x:xf numFmtId="0" fontId="44" fillId="7" borderId="295" xfId="2" applyNumberFormat="1" applyFont="1" applyFill="1" applyBorder="1" applyAlignment="1">
      <x:alignment vertical="top" wrapText="1"/>
    </x:xf>
    <x:xf numFmtId="0" fontId="44" fillId="7" borderId="296" xfId="2" applyNumberFormat="1" applyFont="1" applyFill="1" applyBorder="1" applyAlignment="1">
      <x:alignment vertical="top" wrapText="1"/>
    </x:xf>
    <x:xf numFmtId="0" fontId="44" fillId="9" borderId="294" xfId="2" applyNumberFormat="1" applyFont="1" applyFill="1" applyBorder="1" applyAlignment="1">
      <x:alignment vertical="top" wrapText="1"/>
    </x:xf>
    <x:xf numFmtId="0" fontId="45" fillId="9" borderId="294" xfId="2" applyNumberFormat="1" applyFont="1" applyFill="1" applyBorder="1" applyAlignment="1">
      <x:alignment vertical="top" wrapText="1"/>
    </x:xf>
    <x:xf numFmtId="0" fontId="45" fillId="9" borderId="294" xfId="2" applyNumberFormat="1" applyFont="1" applyFill="1" applyBorder="1" applyAlignment="1">
      <x:alignment horizontal="center" vertical="top" wrapText="1"/>
    </x:xf>
    <x:xf numFmtId="0" fontId="45" fillId="9" borderId="297" xfId="2" applyNumberFormat="1" applyFont="1" applyFill="1" applyBorder="1" applyAlignment="1">
      <x:alignment horizontal="center" vertical="top" wrapText="1"/>
    </x:xf>
    <x:xf numFmtId="213" fontId="54" fillId="7" borderId="280" xfId="2" applyNumberFormat="1" applyFont="1" applyFill="1" applyBorder="1" applyAlignment="1">
      <x:alignment vertical="top" wrapText="1"/>
    </x:xf>
    <x:xf numFmtId="213" fontId="44" fillId="9" borderId="280" xfId="2" applyNumberFormat="1" applyFont="1" applyFill="1" applyBorder="1" applyAlignment="1">
      <x:alignment vertical="top" wrapText="1"/>
    </x:xf>
    <x:xf numFmtId="214" fontId="44" fillId="9" borderId="280" xfId="2" applyNumberFormat="1" applyFont="1" applyFill="1" applyBorder="1" applyAlignment="1">
      <x:alignment vertical="top" wrapText="1"/>
    </x:xf>
    <x:xf numFmtId="213" fontId="45" fillId="9" borderId="280" xfId="2" applyNumberFormat="1" applyFont="1" applyFill="1" applyBorder="1" applyAlignment="1">
      <x:alignment vertical="top" wrapText="1"/>
    </x:xf>
    <x:xf numFmtId="214" fontId="45" fillId="9" borderId="280" xfId="2" applyNumberFormat="1" applyFont="1" applyFill="1" applyBorder="1" applyAlignment="1">
      <x:alignment vertical="top" wrapText="1"/>
    </x:xf>
    <x:xf numFmtId="213" fontId="45" fillId="9" borderId="280" xfId="2" applyNumberFormat="1" applyFont="1" applyFill="1" applyBorder="1" applyAlignment="1">
      <x:alignment horizontal="center" vertical="top" wrapText="1"/>
    </x:xf>
    <x:xf numFmtId="214" fontId="45" fillId="9" borderId="280" xfId="2" applyNumberFormat="1" applyFont="1" applyFill="1" applyBorder="1" applyAlignment="1">
      <x:alignment horizontal="center" vertical="top" wrapText="1"/>
    </x:xf>
    <x:xf numFmtId="213" fontId="45" fillId="9" borderId="281" xfId="2" applyNumberFormat="1" applyFont="1" applyFill="1" applyBorder="1" applyAlignment="1">
      <x:alignment horizontal="center" vertical="top" wrapText="1"/>
    </x:xf>
    <x:xf numFmtId="214" fontId="45" fillId="9" borderId="281" xfId="2" applyNumberFormat="1" applyFont="1" applyFill="1" applyBorder="1" applyAlignment="1">
      <x:alignment horizontal="center" vertical="top" wrapText="1"/>
    </x:xf>
    <x:xf numFmtId="213" fontId="54" fillId="7" borderId="292" xfId="2" applyNumberFormat="1" applyFont="1" applyFill="1" applyBorder="1" applyAlignment="1">
      <x:alignment vertical="top" wrapText="1"/>
    </x:xf>
    <x:xf numFmtId="214" fontId="45" fillId="9" borderId="293" xfId="2" applyNumberFormat="1" applyFont="1" applyFill="1" applyBorder="1" applyAlignment="1">
      <x:alignment horizontal="center" vertical="top" wrapText="1"/>
    </x:xf>
    <x:xf numFmtId="213" fontId="54" fillId="7" borderId="291" xfId="2" applyNumberFormat="1" applyFont="1" applyFill="1" applyBorder="1" applyAlignment="1">
      <x:alignment vertical="top" wrapText="1"/>
    </x:xf>
    <x:xf numFmtId="213" fontId="44" fillId="7" borderId="293" xfId="2" applyNumberFormat="1" applyFont="1" applyFill="1" applyBorder="1" applyAlignment="1">
      <x:alignment vertical="top" wrapText="1"/>
    </x:xf>
    <x:xf numFmtId="214" fontId="44" fillId="7" borderId="293" xfId="2" applyNumberFormat="1" applyFont="1" applyFill="1" applyBorder="1" applyAlignment="1">
      <x:alignment vertical="top" wrapText="1"/>
    </x:xf>
    <x:xf numFmtId="213" fontId="60" fillId="7" borderId="292" xfId="2" applyNumberFormat="1" applyFont="1" applyFill="1" applyBorder="1" applyAlignment="1">
      <x:alignment vertical="top" wrapText="1"/>
    </x:xf>
    <x:xf numFmtId="214" fontId="45" fillId="7" borderId="292" xfId="2" applyNumberFormat="1" applyFont="1" applyFill="1" applyBorder="1" applyAlignment="1">
      <x:alignment vertical="top" wrapText="1"/>
    </x:xf>
    <x:xf numFmtId="214" fontId="45" fillId="7" borderId="293" xfId="2" applyNumberFormat="1" applyFont="1" applyFill="1" applyBorder="1" applyAlignment="1">
      <x:alignment vertical="top" wrapText="1"/>
    </x:xf>
    <x:xf numFmtId="213" fontId="60" fillId="7" borderId="291" xfId="2" applyNumberFormat="1" applyFont="1" applyFill="1" applyBorder="1" applyAlignment="1">
      <x:alignment vertical="top" wrapText="1"/>
    </x:xf>
    <x:xf numFmtId="213" fontId="50" fillId="7" borderId="280" xfId="2" applyNumberFormat="1" applyFont="1" applyFill="1" applyBorder="1"/>
    <x:xf numFmtId="213" fontId="51" fillId="7" borderId="280" xfId="2" applyNumberFormat="1" applyFont="1" applyFill="1" applyBorder="1"/>
    <x:xf numFmtId="212" fontId="50" fillId="7" borderId="280" xfId="2" applyNumberFormat="1" applyFont="1" applyFill="1" applyBorder="1"/>
    <x:xf numFmtId="215" fontId="51" fillId="7" borderId="280" xfId="2" applyNumberFormat="1" applyFont="1" applyFill="1" applyBorder="1"/>
    <x:xf numFmtId="215" fontId="50" fillId="7" borderId="280" xfId="2" applyNumberFormat="1" applyFont="1" applyFill="1" applyBorder="1"/>
    <x:xf numFmtId="213" fontId="53" fillId="7" borderId="280" xfId="2" applyNumberFormat="1" applyFont="1" applyFill="1" applyBorder="1"/>
    <x:xf numFmtId="213" fontId="52" fillId="7" borderId="280" xfId="2" applyNumberFormat="1" applyFont="1" applyFill="1" applyBorder="1"/>
    <x:xf numFmtId="212" fontId="53" fillId="7" borderId="280" xfId="2" applyNumberFormat="1" applyFont="1" applyFill="1" applyBorder="1"/>
    <x:xf numFmtId="215" fontId="52" fillId="7" borderId="280" xfId="2" applyNumberFormat="1" applyFont="1" applyFill="1" applyBorder="1"/>
    <x:xf numFmtId="215" fontId="53" fillId="7" borderId="280" xfId="2" applyNumberFormat="1" applyFont="1" applyFill="1" applyBorder="1"/>
    <x:xf numFmtId="213" fontId="55" fillId="7" borderId="280" xfId="2" applyNumberFormat="1" applyFont="1" applyFill="1" applyBorder="1"/>
    <x:xf numFmtId="213" fontId="54" fillId="7" borderId="280" xfId="2" applyNumberFormat="1" applyFont="1" applyFill="1" applyBorder="1"/>
    <x:xf numFmtId="212" fontId="55" fillId="7" borderId="280" xfId="2" applyNumberFormat="1" applyFont="1" applyFill="1" applyBorder="1"/>
    <x:xf numFmtId="215" fontId="54" fillId="7" borderId="280" xfId="2" applyNumberFormat="1" applyFont="1" applyFill="1" applyBorder="1"/>
    <x:xf numFmtId="215" fontId="55" fillId="7" borderId="280" xfId="2" applyNumberFormat="1" applyFont="1" applyFill="1" applyBorder="1"/>
    <x:xf numFmtId="213" fontId="55" fillId="7" borderId="280" xfId="2" applyNumberFormat="1" applyFont="1" applyFill="1" applyBorder="1" applyAlignment="1">
      <x:alignment wrapText="1"/>
    </x:xf>
    <x:xf numFmtId="213" fontId="54" fillId="7" borderId="280" xfId="2" applyNumberFormat="1" applyFont="1" applyFill="1" applyBorder="1" applyAlignment="1">
      <x:alignment wrapText="1"/>
    </x:xf>
    <x:xf numFmtId="212" fontId="55" fillId="7" borderId="280" xfId="2" applyNumberFormat="1" applyFont="1" applyFill="1" applyBorder="1" applyAlignment="1">
      <x:alignment wrapText="1"/>
    </x:xf>
    <x:xf numFmtId="215" fontId="54" fillId="7" borderId="280" xfId="2" applyNumberFormat="1" applyFont="1" applyFill="1" applyBorder="1" applyAlignment="1">
      <x:alignment wrapText="1"/>
    </x:xf>
    <x:xf numFmtId="215" fontId="55" fillId="7" borderId="280" xfId="2" applyNumberFormat="1" applyFont="1" applyFill="1" applyBorder="1" applyAlignment="1">
      <x:alignment wrapText="1"/>
    </x:xf>
    <x:xf numFmtId="212" fontId="55" fillId="7" borderId="280" xfId="2" applyNumberFormat="1" applyFont="1" applyFill="1" applyBorder="1" applyAlignment="1">
      <x:alignment vertical="top" wrapText="1"/>
    </x:xf>
    <x:xf numFmtId="215" fontId="54" fillId="7" borderId="280" xfId="2" applyNumberFormat="1" applyFont="1" applyFill="1" applyBorder="1" applyAlignment="1">
      <x:alignment vertical="top" wrapText="1"/>
    </x:xf>
    <x:xf numFmtId="215" fontId="55" fillId="7" borderId="280" xfId="2" applyNumberFormat="1" applyFont="1" applyFill="1" applyBorder="1" applyAlignment="1">
      <x:alignment vertical="top" wrapText="1"/>
    </x:xf>
    <x:xf numFmtId="215" fontId="55" fillId="7" borderId="291" xfId="2" applyNumberFormat="1" applyFont="1" applyFill="1" applyBorder="1" applyAlignment="1">
      <x:alignment vertical="top" wrapText="1"/>
    </x:xf>
    <x:xf numFmtId="212" fontId="55" fillId="7" borderId="292" xfId="2" applyNumberFormat="1" applyFont="1" applyFill="1" applyBorder="1" applyAlignment="1">
      <x:alignment vertical="top" wrapText="1"/>
    </x:xf>
    <x:xf numFmtId="0" fontId="44" fillId="7" borderId="282" xfId="2" applyNumberFormat="1" applyFont="1" applyFill="1" applyBorder="1" applyAlignment="1">
      <x:alignment wrapText="1"/>
    </x:xf>
    <x:xf numFmtId="0" fontId="44" fillId="7" borderId="293" xfId="2" applyNumberFormat="1" applyFont="1" applyFill="1" applyBorder="1" applyAlignment="1">
      <x:alignment wrapText="1"/>
    </x:xf>
    <x:xf numFmtId="0" fontId="44" fillId="7" borderId="283" xfId="2" applyNumberFormat="1" applyFont="1" applyFill="1" applyBorder="1" applyAlignment="1">
      <x:alignment wrapText="1"/>
    </x:xf>
    <x:xf numFmtId="213" fontId="55" fillId="7" borderId="287" xfId="2" applyNumberFormat="1" applyFont="1" applyFill="1" applyBorder="1" applyAlignment="1">
      <x:alignment vertical="top" wrapText="1"/>
    </x:xf>
    <x:xf numFmtId="0" fontId="44" fillId="7" borderId="298" xfId="2" applyNumberFormat="1" applyFont="1" applyFill="1" applyBorder="1" applyAlignment="1">
      <x:alignment vertical="top" wrapText="1"/>
    </x:xf>
    <x:xf numFmtId="0" fontId="44" fillId="7" borderId="299" xfId="2" applyNumberFormat="1" applyFont="1" applyFill="1" applyBorder="1" applyAlignment="1">
      <x:alignment vertical="top" wrapText="1"/>
    </x:xf>
    <x:xf numFmtId="0" fontId="46" fillId="7" borderId="300" xfId="2" applyNumberFormat="1" applyFont="1" applyFill="1" applyBorder="1" applyAlignment="1">
      <x:alignment vertical="top" wrapText="0"/>
    </x:xf>
    <x:xf numFmtId="0" fontId="44" fillId="7" borderId="301" xfId="2" applyNumberFormat="1" applyFont="1" applyFill="1" applyBorder="1" applyAlignment="1">
      <x:alignment vertical="top" wrapText="0"/>
    </x:xf>
    <x:xf numFmtId="0" fontId="45" fillId="9" borderId="302" xfId="2" applyNumberFormat="1" applyFont="1" applyFill="1" applyBorder="1" applyAlignment="1">
      <x:alignment horizontal="center" vertical="top" wrapText="1"/>
    </x:xf>
    <x:xf numFmtId="0" fontId="45" fillId="9" borderId="303" xfId="2" applyNumberFormat="1" applyFont="1" applyFill="1" applyBorder="1" applyAlignment="1">
      <x:alignment horizontal="center" vertical="top" wrapText="1"/>
    </x:xf>
    <x:xf numFmtId="0" fontId="45" fillId="7" borderId="304" xfId="2" applyNumberFormat="1" applyFont="1" applyFill="1" applyBorder="1" applyAlignment="1">
      <x:alignment vertical="top" wrapText="1"/>
    </x:xf>
    <x:xf numFmtId="0" fontId="44" fillId="7" borderId="305" xfId="2" applyNumberFormat="1" applyFont="1" applyFill="1" applyBorder="1" applyAlignment="1">
      <x:alignment vertical="top" wrapText="1"/>
    </x:xf>
    <x:xf numFmtId="0" fontId="45" fillId="7" borderId="306" xfId="2" applyNumberFormat="1" applyFont="1" applyFill="1" applyBorder="1" applyAlignment="1">
      <x:alignment vertical="top" wrapText="1"/>
    </x:xf>
    <x:xf numFmtId="0" fontId="44" fillId="7" borderId="307" xfId="2" applyNumberFormat="1" applyFont="1" applyFill="1" applyBorder="1" applyAlignment="1">
      <x:alignment vertical="top" wrapText="1"/>
    </x:xf>
    <x:xf numFmtId="0" fontId="47" fillId="7" borderId="308" xfId="2" applyNumberFormat="1" applyFont="1" applyFill="1" applyBorder="1" applyAlignment="1">
      <x:alignment vertical="top" wrapText="1"/>
    </x:xf>
    <x:xf numFmtId="212" fontId="48" fillId="7" borderId="309" xfId="2" applyNumberFormat="1" applyFont="1" applyFill="1" applyBorder="1" applyAlignment="1">
      <x:alignment vertical="top" wrapText="1"/>
    </x:xf>
    <x:xf numFmtId="0" fontId="44" fillId="7" borderId="310" xfId="2" applyNumberFormat="1" applyFont="1" applyFill="1" applyBorder="1" applyAlignment="1">
      <x:alignment vertical="top" wrapText="1"/>
    </x:xf>
    <x:xf numFmtId="0" fontId="44" fillId="7" borderId="311" xfId="2" applyNumberFormat="1" applyFont="1" applyFill="1" applyBorder="1" applyAlignment="1">
      <x:alignment vertical="top" wrapText="1"/>
    </x:xf>
    <x:xf numFmtId="0" fontId="45" fillId="7" borderId="312" xfId="2" applyNumberFormat="1" applyFont="1" applyFill="1" applyBorder="1" applyAlignment="1">
      <x:alignment vertical="top" wrapText="1"/>
    </x:xf>
    <x:xf numFmtId="0" fontId="44" fillId="7" borderId="313" xfId="2" applyNumberFormat="1" applyFont="1" applyFill="1" applyBorder="1" applyAlignment="1">
      <x:alignment vertical="top" wrapText="1"/>
    </x:xf>
    <x:xf numFmtId="0" fontId="44" fillId="7" borderId="314" xfId="2" applyNumberFormat="1" applyFont="1" applyFill="1" applyBorder="1" applyAlignment="1">
      <x:alignment vertical="top" wrapText="1"/>
    </x:xf>
    <x:xf numFmtId="0" fontId="44" fillId="7" borderId="315" xfId="2" applyNumberFormat="1" applyFont="1" applyFill="1" applyBorder="1" applyAlignment="1">
      <x:alignment vertical="top" wrapText="1"/>
    </x:xf>
    <x:xf numFmtId="0" fontId="44" fillId="7" borderId="316" xfId="2" applyNumberFormat="1" applyFont="1" applyFill="1" applyBorder="1" applyAlignment="1">
      <x:alignment vertical="top" wrapText="1"/>
    </x:xf>
    <x:xf numFmtId="0" fontId="44" fillId="7" borderId="317" xfId="2" applyNumberFormat="1" applyFont="1" applyFill="1" applyBorder="1" applyAlignment="1">
      <x:alignment vertical="top" wrapText="1"/>
    </x:xf>
    <x:xf numFmtId="0" fontId="45" fillId="9" borderId="318" xfId="2" applyNumberFormat="1" applyFont="1" applyFill="1" applyBorder="1" applyAlignment="1">
      <x:alignment horizontal="center" vertical="top" wrapText="1"/>
    </x:xf>
    <x:xf numFmtId="213" fontId="55" fillId="7" borderId="319" xfId="2" applyNumberFormat="1" applyFont="1" applyFill="1" applyBorder="1" applyAlignment="1">
      <x:alignment vertical="top" wrapText="1"/>
    </x:xf>
    <x:xf numFmtId="214" fontId="44" fillId="7" borderId="320" xfId="2" applyNumberFormat="1" applyFont="1" applyFill="1" applyBorder="1" applyAlignment="1">
      <x:alignment vertical="top" wrapText="1"/>
    </x:xf>
    <x:xf numFmtId="0" fontId="44" fillId="7" borderId="321" xfId="2" applyNumberFormat="1" applyFont="1" applyFill="1" applyBorder="1" applyAlignment="1">
      <x:alignment vertical="top" wrapText="1"/>
    </x:xf>
    <x:xf numFmtId="0" fontId="45" fillId="7" borderId="322" xfId="2" applyNumberFormat="1" applyFont="1" applyFill="1" applyBorder="1" applyAlignment="1">
      <x:alignment vertical="top" wrapText="1"/>
    </x:xf>
    <x:xf numFmtId="213" fontId="60" fillId="7" borderId="323" xfId="2" applyNumberFormat="1" applyFont="1" applyFill="1" applyBorder="1" applyAlignment="1">
      <x:alignment vertical="top" wrapText="1"/>
    </x:xf>
    <x:xf numFmtId="214" fontId="45" fillId="7" borderId="324" xfId="2" applyNumberFormat="1" applyFont="1" applyFill="1" applyBorder="1" applyAlignment="1">
      <x:alignment vertical="top" wrapText="1"/>
    </x:xf>
    <x:xf numFmtId="0" fontId="45" fillId="7" borderId="325" xfId="2" applyNumberFormat="1" applyFont="1" applyFill="1" applyBorder="1" applyAlignment="1">
      <x:alignment vertical="top" wrapText="1"/>
    </x:xf>
    <x:xf numFmtId="0" fontId="45" fillId="7" borderId="326" xfId="2" applyNumberFormat="1" applyFont="1" applyFill="1" applyBorder="1" applyAlignment="1">
      <x:alignment vertical="top" wrapText="1"/>
    </x:xf>
    <x:xf numFmtId="213" fontId="44" fillId="7" borderId="327" xfId="2" applyNumberFormat="1" applyFont="1" applyFill="1" applyBorder="1" applyAlignment="1">
      <x:alignment vertical="top" wrapText="1"/>
    </x:xf>
    <x:xf numFmtId="214" fontId="44" fillId="7" borderId="328" xfId="2" applyNumberFormat="1" applyFont="1" applyFill="1" applyBorder="1" applyAlignment="1">
      <x:alignment vertical="top" wrapText="1"/>
    </x:xf>
    <x:xf numFmtId="213" fontId="45" fillId="9" borderId="329" xfId="2" applyNumberFormat="1" applyFont="1" applyFill="1" applyBorder="1" applyAlignment="1">
      <x:alignment horizontal="center" vertical="top" wrapText="1"/>
    </x:xf>
    <x:xf numFmtId="214" fontId="45" fillId="9" borderId="330" xfId="2" applyNumberFormat="1" applyFont="1" applyFill="1" applyBorder="1" applyAlignment="1">
      <x:alignment horizontal="center" vertical="top" wrapText="1"/>
    </x:xf>
    <x:xf numFmtId="213" fontId="44" fillId="7" borderId="331" xfId="2" applyNumberFormat="1" applyFont="1" applyFill="1" applyBorder="1" applyAlignment="1">
      <x:alignment vertical="top" wrapText="1"/>
    </x:xf>
    <x:xf numFmtId="0" fontId="45" fillId="7" borderId="332" xfId="2" applyNumberFormat="1" applyFont="1" applyFill="1" applyBorder="1" applyAlignment="1">
      <x:alignment vertical="top" wrapText="1"/>
    </x:xf>
    <x:xf numFmtId="213" fontId="60" fillId="7" borderId="333" xfId="2" applyNumberFormat="1" applyFont="1" applyFill="1" applyBorder="1" applyAlignment="1">
      <x:alignment vertical="top" wrapText="1"/>
    </x:xf>
    <x:xf numFmtId="214" fontId="45" fillId="7" borderId="334" xfId="2" applyNumberFormat="1" applyFont="1" applyFill="1" applyBorder="1" applyAlignment="1">
      <x:alignment vertical="top" wrapText="1"/>
    </x:xf>
    <x:xf numFmtId="0" fontId="45" fillId="7" borderId="335" xfId="2" applyNumberFormat="1" applyFont="1" applyFill="1" applyBorder="1" applyAlignment="1">
      <x:alignment vertical="top" wrapText="1"/>
    </x:xf>
    <x:xf numFmtId="0" fontId="45" fillId="7" borderId="336" xfId="2" applyNumberFormat="1" applyFont="1" applyFill="1" applyBorder="1" applyAlignment="1">
      <x:alignment vertical="top" wrapText="1"/>
    </x:xf>
    <x:xf numFmtId="213" fontId="44" fillId="7" borderId="337" xfId="2" applyNumberFormat="1" applyFont="1" applyFill="1" applyBorder="1" applyAlignment="1">
      <x:alignment vertical="top" wrapText="1"/>
    </x:xf>
    <x:xf numFmtId="214" fontId="44" fillId="7" borderId="338" xfId="2" applyNumberFormat="1" applyFont="1" applyFill="1" applyBorder="1" applyAlignment="1">
      <x:alignment vertical="top" wrapText="1"/>
    </x:xf>
    <x:xf numFmtId="0" fontId="44" fillId="7" borderId="339" xfId="2" applyNumberFormat="1" applyFont="1" applyFill="1" applyBorder="1" applyAlignment="1">
      <x:alignment vertical="top" wrapText="1"/>
    </x:xf>
    <x:xf numFmtId="0" fontId="44" fillId="7" borderId="340" xfId="2" applyNumberFormat="1" applyFont="1" applyFill="1" applyBorder="1" applyAlignment="1">
      <x:alignment vertical="top" wrapText="1"/>
    </x:xf>
    <x:xf numFmtId="213" fontId="44" fillId="7" borderId="341" xfId="2" applyNumberFormat="1" applyFont="1" applyFill="1" applyBorder="1" applyAlignment="1">
      <x:alignment vertical="top" wrapText="1"/>
    </x:xf>
    <x:xf numFmtId="214" fontId="44" fillId="7" borderId="342" xfId="2" applyNumberFormat="1" applyFont="1" applyFill="1" applyBorder="1" applyAlignment="1">
      <x:alignment vertical="top" wrapText="1"/>
    </x:xf>
    <x:xf numFmtId="0" fontId="44" fillId="7" borderId="343" xfId="2" applyNumberFormat="1" applyFont="1" applyFill="1" applyBorder="1" applyAlignment="1">
      <x:alignment vertical="top" wrapText="1"/>
    </x:xf>
    <x:xf numFmtId="0" fontId="44" fillId="7" borderId="344" xfId="2" applyNumberFormat="1" applyFont="1" applyFill="1" applyBorder="1" applyAlignment="1">
      <x:alignment vertical="top" wrapText="1"/>
    </x:xf>
    <x:xf numFmtId="0" fontId="46" fillId="7" borderId="345" xfId="2" applyNumberFormat="1" applyFont="1" applyFill="1" applyBorder="1" applyAlignment="1">
      <x:alignment vertical="top" wrapText="1"/>
    </x:xf>
    <x:xf numFmtId="0" fontId="58" fillId="7" borderId="346" xfId="2" applyNumberFormat="1" applyFont="1" applyFill="1" applyBorder="1" applyAlignment="1">
      <x:alignment vertical="top" wrapText="1"/>
    </x:xf>
    <x:xf numFmtId="213" fontId="62" fillId="7" borderId="347" xfId="2" applyNumberFormat="1" applyFont="1" applyFill="1" applyBorder="1" applyAlignment="1">
      <x:alignment vertical="top" wrapText="1"/>
    </x:xf>
    <x:xf numFmtId="0" fontId="58" fillId="7" borderId="348" xfId="2" applyNumberFormat="1" applyFont="1" applyFill="1" applyBorder="1" applyAlignment="1">
      <x:alignment vertical="top" wrapText="1"/>
    </x:xf>
    <x:xf numFmtId="212" fontId="55" fillId="7" borderId="349" xfId="2" applyNumberFormat="1" applyFont="1" applyFill="1" applyBorder="1" applyAlignment="1">
      <x:alignment vertical="top" wrapText="1"/>
    </x:xf>
    <x:xf numFmtId="215" fontId="54" fillId="7" borderId="350" xfId="2" applyNumberFormat="1" applyFont="1" applyFill="1" applyBorder="1" applyAlignment="1">
      <x:alignment vertical="top" wrapText="1"/>
    </x:xf>
    <x:xf numFmtId="212" fontId="54" fillId="7" borderId="351" xfId="2" applyNumberFormat="1" applyFont="1" applyFill="1" applyBorder="1" applyAlignment="1">
      <x:alignment vertical="top" wrapText="1"/>
    </x:xf>
    <x:xf numFmtId="0" fontId="58" fillId="7" borderId="352" xfId="2" applyNumberFormat="1" applyFont="1" applyFill="1" applyBorder="1" applyAlignment="1">
      <x:alignment vertical="top" wrapText="1"/>
    </x:xf>
    <x:xf numFmtId="0" fontId="45" fillId="9" borderId="353" xfId="2" applyNumberFormat="1" applyFont="1" applyFill="1" applyBorder="1" applyAlignment="1">
      <x:alignment horizontal="center" vertical="top" wrapText="1"/>
    </x:xf>
    <x:xf numFmtId="0" fontId="55" fillId="7" borderId="354" xfId="2" applyNumberFormat="1" applyFont="1" applyFill="1" applyBorder="1" applyAlignment="1">
      <x:alignment vertical="top" wrapText="1"/>
    </x:xf>
    <x:xf numFmtId="0" fontId="55" fillId="7" borderId="355" xfId="2" applyNumberFormat="1" applyFont="1" applyFill="1" applyBorder="1" applyAlignment="1">
      <x:alignment vertical="top" wrapText="1"/>
    </x:xf>
    <x:xf numFmtId="0" fontId="55" fillId="7" borderId="356" xfId="2" applyNumberFormat="1" applyFont="1" applyFill="1" applyBorder="1" applyAlignment="1">
      <x:alignment vertical="top" wrapText="1"/>
    </x:xf>
    <x:xf numFmtId="0" fontId="55" fillId="7" borderId="357" xfId="2" applyNumberFormat="1" applyFont="1" applyFill="1" applyBorder="1" applyAlignment="1">
      <x:alignment vertical="top" wrapText="1"/>
    </x:xf>
    <x:xf numFmtId="0" fontId="55" fillId="7" borderId="358" xfId="2" applyNumberFormat="1" applyFont="1" applyFill="1" applyBorder="1" applyAlignment="1">
      <x:alignment vertical="top" wrapText="1"/>
    </x:xf>
    <x:xf numFmtId="0" fontId="55" fillId="7" borderId="359" xfId="2" applyNumberFormat="1" applyFont="1" applyFill="1" applyBorder="1" applyAlignment="1">
      <x:alignment vertical="top" wrapText="1"/>
    </x:xf>
    <x:xf numFmtId="0" fontId="61" fillId="7" borderId="360" xfId="2" applyNumberFormat="1" applyFont="1" applyFill="1" applyBorder="1" applyAlignment="1">
      <x:alignment vertical="top" wrapText="1"/>
    </x:xf>
    <x:xf numFmtId="213" fontId="55" fillId="7" borderId="361" xfId="2" applyNumberFormat="1" applyFont="1" applyFill="1" applyBorder="1" applyAlignment="1">
      <x:alignment vertical="top" wrapText="1"/>
    </x:xf>
    <x:xf numFmtId="213" fontId="45" fillId="7" borderId="362" xfId="2" applyNumberFormat="1" applyFont="1" applyFill="1" applyBorder="1" applyAlignment="1">
      <x:alignment vertical="top" wrapText="1"/>
    </x:xf>
    <x:xf numFmtId="213" fontId="45" fillId="7" borderId="363" xfId="2" applyNumberFormat="1" applyFont="1" applyFill="1" applyBorder="1" applyAlignment="1">
      <x:alignment vertical="top" wrapText="1"/>
    </x:xf>
    <x:xf numFmtId="213" fontId="44" fillId="7" borderId="364" xfId="2" applyNumberFormat="1" applyFont="1" applyFill="1" applyBorder="1" applyAlignment="1">
      <x:alignment vertical="top" wrapText="1"/>
    </x:xf>
    <x:xf numFmtId="213" fontId="44" fillId="7" borderId="365" xfId="2" applyNumberFormat="1" applyFont="1" applyFill="1" applyBorder="1" applyAlignment="1">
      <x:alignment vertical="top" wrapText="1"/>
    </x:xf>
    <x:xf numFmtId="213" fontId="45" fillId="7" borderId="366" xfId="2" applyNumberFormat="1" applyFont="1" applyFill="1" applyBorder="1" applyAlignment="1">
      <x:alignment vertical="top" wrapText="1"/>
    </x:xf>
    <x:xf numFmtId="213" fontId="45" fillId="7" borderId="367" xfId="2" applyNumberFormat="1" applyFont="1" applyFill="1" applyBorder="1" applyAlignment="1">
      <x:alignment vertical="top" wrapText="1"/>
    </x:xf>
    <x:xf numFmtId="213" fontId="44" fillId="7" borderId="368" xfId="2" applyNumberFormat="1" applyFont="1" applyFill="1" applyBorder="1" applyAlignment="1">
      <x:alignment vertical="top" wrapText="1"/>
    </x:xf>
    <x:xf numFmtId="213" fontId="55" fillId="7" borderId="369" xfId="2" applyNumberFormat="1" applyFont="1" applyFill="1" applyBorder="1" applyAlignment="1">
      <x:alignment vertical="top" wrapText="1"/>
    </x:xf>
    <x:xf numFmtId="213" fontId="55" fillId="7" borderId="370" xfId="2" applyNumberFormat="1" applyFont="1" applyFill="1" applyBorder="1" applyAlignment="1">
      <x:alignment vertical="top" wrapText="1"/>
    </x:xf>
    <x:xf numFmtId="213" fontId="45" fillId="7" borderId="371" xfId="2" applyNumberFormat="1" applyFont="1" applyFill="1" applyBorder="1" applyAlignment="1">
      <x:alignment vertical="top" wrapText="1"/>
    </x:xf>
    <x:xf numFmtId="213" fontId="45" fillId="7" borderId="372" xfId="2" applyNumberFormat="1" applyFont="1" applyFill="1" applyBorder="1" applyAlignment="1">
      <x:alignment vertical="top" wrapText="1"/>
    </x:xf>
    <x:xf numFmtId="212" fontId="45" fillId="7" borderId="373" xfId="2" applyNumberFormat="1" applyFont="1" applyFill="1" applyBorder="1" applyAlignment="1">
      <x:alignment vertical="top" wrapText="1"/>
    </x:xf>
    <x:xf numFmtId="213" fontId="54" fillId="7" borderId="374" xfId="2" applyNumberFormat="1" applyFont="1" applyFill="1" applyBorder="1" applyAlignment="1">
      <x:alignment vertical="top" wrapText="1"/>
    </x:xf>
    <x:xf numFmtId="215" fontId="55" fillId="7" borderId="375" xfId="2" applyNumberFormat="1" applyFont="1" applyFill="1" applyBorder="1" applyAlignment="1">
      <x:alignment vertical="top" wrapText="1"/>
    </x:xf>
    <x:xf numFmtId="212" fontId="55" fillId="7" borderId="376" xfId="2" applyNumberFormat="1" applyFont="1" applyFill="1" applyBorder="1" applyAlignment="1">
      <x:alignment vertical="top" wrapText="1"/>
    </x:xf>
    <x:xf numFmtId="0" fontId="44" fillId="7" borderId="377" xfId="2" applyNumberFormat="1" applyFont="1" applyFill="1" applyBorder="1"/>
    <x:xf numFmtId="213" fontId="55" fillId="7" borderId="378" xfId="2" applyNumberFormat="1" applyFont="1" applyFill="1" applyBorder="1" applyAlignment="1">
      <x:alignment vertical="top" wrapText="1"/>
    </x:xf>
    <x:xf numFmtId="213" fontId="55" fillId="7" borderId="379" xfId="2" applyNumberFormat="1" applyFont="1" applyFill="1" applyBorder="1" applyAlignment="1">
      <x:alignment vertical="top" wrapText="1"/>
    </x:xf>
    <x:xf numFmtId="213" fontId="55" fillId="7" borderId="380" xfId="2" applyNumberFormat="1" applyFont="1" applyFill="1" applyBorder="1" applyAlignment="1">
      <x:alignment vertical="top" wrapText="1"/>
    </x:xf>
    <x:xf numFmtId="0" fontId="44" fillId="7" borderId="381" xfId="2" applyNumberFormat="1" applyFont="1" applyFill="1" applyBorder="1" applyAlignment="1">
      <x:alignment vertical="top" wrapText="1"/>
    </x:xf>
    <x:xf numFmtId="0" fontId="45" fillId="7" borderId="382" xfId="2" applyNumberFormat="1" applyFont="1" applyFill="1" applyBorder="1" applyAlignment="1">
      <x:alignment vertical="top" wrapText="1"/>
    </x:xf>
    <x:xf numFmtId="0" fontId="45" fillId="7" borderId="383" xfId="2" applyNumberFormat="1" applyFont="1" applyFill="1" applyBorder="1" applyAlignment="1">
      <x:alignment vertical="top" wrapText="1"/>
    </x:xf>
    <x:xf numFmtId="0" fontId="44" fillId="7" borderId="384" xfId="2" applyNumberFormat="1" applyFont="1" applyFill="1" applyBorder="1" applyAlignment="1">
      <x:alignment vertical="top" wrapText="1"/>
    </x:xf>
    <x:xf numFmtId="213" fontId="44" fillId="7" borderId="385" xfId="2" applyNumberFormat="1" applyFont="1" applyFill="1" applyBorder="1" applyAlignment="1">
      <x:alignment vertical="top" wrapText="1"/>
    </x:xf>
    <x:xf numFmtId="0" fontId="44" fillId="7" borderId="386" xfId="2" applyNumberFormat="1" applyFont="1" applyFill="1" applyBorder="1" applyAlignment="1">
      <x:alignment vertical="top" wrapText="1"/>
    </x:xf>
    <x:xf numFmtId="213" fontId="44" fillId="7" borderId="387" xfId="2" applyNumberFormat="1" applyFont="1" applyFill="1" applyBorder="1" applyAlignment="1">
      <x:alignment vertical="top" wrapText="1"/>
    </x:xf>
    <x:xf numFmtId="0" fontId="44" fillId="7" borderId="388" xfId="2" applyNumberFormat="1" applyFont="1" applyFill="1" applyBorder="1" applyAlignment="1">
      <x:alignment vertical="top" wrapText="1"/>
    </x:xf>
    <x:xf numFmtId="0" fontId="44" fillId="7" borderId="389" xfId="2" applyNumberFormat="1" applyFont="1" applyFill="1" applyBorder="1" applyAlignment="1">
      <x:alignment vertical="top" wrapText="1"/>
    </x:xf>
    <x:xf numFmtId="0" fontId="44" fillId="7" borderId="390" xfId="2" applyNumberFormat="1" applyFont="1" applyFill="1" applyBorder="1" applyAlignment="1">
      <x:alignment vertical="top" wrapText="1"/>
    </x:xf>
    <x:xf numFmtId="213" fontId="55" fillId="7" borderId="391" xfId="2" applyNumberFormat="1" applyFont="1" applyFill="1" applyBorder="1" applyAlignment="1">
      <x:alignment vertical="top" wrapText="1"/>
    </x:xf>
    <x:xf numFmtId="0" fontId="44" fillId="7" borderId="392" xfId="2" applyNumberFormat="1" applyFont="1" applyFill="1" applyBorder="1" applyAlignment="1">
      <x:alignment vertical="top" wrapText="1"/>
    </x:xf>
    <x:xf numFmtId="0" fontId="44" fillId="7" borderId="393" xfId="2" applyNumberFormat="1" applyFont="1" applyFill="1" applyBorder="1" applyAlignment="1">
      <x:alignment vertical="top" wrapText="1"/>
    </x:xf>
    <x:xf numFmtId="0" fontId="44" fillId="7" borderId="394" xfId="2" applyNumberFormat="1" applyFont="1" applyFill="1" applyBorder="1" applyAlignment="1">
      <x:alignment vertical="top" wrapText="1"/>
    </x:xf>
    <x:xf numFmtId="214" fontId="55" fillId="7" borderId="395" xfId="2" applyNumberFormat="1" applyFont="1" applyFill="1" applyBorder="1" applyAlignment="1">
      <x:alignment vertical="top" wrapText="1"/>
    </x:xf>
    <x:xf numFmtId="216" fontId="55" fillId="7" borderId="396" xfId="2" applyNumberFormat="1" applyFont="1" applyFill="1" applyBorder="1" applyAlignment="1">
      <x:alignment vertical="top" wrapText="1"/>
    </x:xf>
    <x:xf numFmtId="213" fontId="57" fillId="7" borderId="397" xfId="2" applyNumberFormat="1" applyFont="1" applyFill="1" applyBorder="1" applyAlignment="1">
      <x:alignment vertical="top" wrapText="1"/>
    </x:xf>
    <x:xf numFmtId="214" fontId="44" fillId="7" borderId="398" xfId="2" applyNumberFormat="1" applyFont="1" applyFill="1" applyBorder="1" applyAlignment="1">
      <x:alignment vertical="top" wrapText="1"/>
    </x:xf>
    <x:xf numFmtId="0" fontId="44" fillId="7" borderId="399" xfId="2" applyNumberFormat="1" applyFont="1" applyFill="1" applyBorder="1" applyAlignment="1">
      <x:alignment vertical="top" wrapText="1"/>
    </x:xf>
    <x:xf numFmtId="213" fontId="57" fillId="7" borderId="400" xfId="2" applyNumberFormat="1" applyFont="1" applyFill="1" applyBorder="1" applyAlignment="1">
      <x:alignment vertical="top" wrapText="1"/>
    </x:xf>
    <x:xf numFmtId="0" fontId="44" fillId="7" borderId="401" xfId="2" applyNumberFormat="1" applyFont="1" applyFill="1" applyBorder="1" applyAlignment="1">
      <x:alignment vertical="top" wrapText="1"/>
    </x:xf>
    <x:xf numFmtId="0" fontId="44" fillId="7" borderId="402" xfId="2" applyNumberFormat="1" applyFont="1" applyFill="1" applyBorder="1" applyAlignment="1">
      <x:alignment vertical="top" wrapText="1"/>
    </x:xf>
    <x:xf numFmtId="0" fontId="45" fillId="9" borderId="403" xfId="2" applyNumberFormat="1" applyFont="1" applyFill="1" applyBorder="1" applyAlignment="1">
      <x:alignment horizontal="center" vertical="top" wrapText="1"/>
    </x:xf>
    <x:xf numFmtId="216" fontId="57" fillId="7" borderId="404" xfId="2" applyNumberFormat="1" applyFont="1" applyFill="1" applyBorder="1" applyAlignment="1">
      <x:alignment vertical="top" wrapText="1"/>
    </x:xf>
    <x:xf numFmtId="216" fontId="57" fillId="7" borderId="405" xfId="2" applyNumberFormat="1" applyFont="1" applyFill="1" applyBorder="1" applyAlignment="1">
      <x:alignment vertical="top" wrapText="1"/>
    </x:xf>
    <x:xf numFmtId="216" fontId="57" fillId="7" borderId="406" xfId="2" applyNumberFormat="1" applyFont="1" applyFill="1" applyBorder="1" applyAlignment="1">
      <x:alignment vertical="top" wrapText="1"/>
    </x:xf>
    <x:xf numFmtId="216" fontId="57" fillId="7" borderId="407" xfId="2" applyNumberFormat="1" applyFont="1" applyFill="1" applyBorder="1" applyAlignment="1">
      <x:alignment vertical="top" wrapText="1"/>
    </x:xf>
    <x:xf numFmtId="214" fontId="44" fillId="7" borderId="408" xfId="2" applyNumberFormat="1" applyFont="1" applyFill="1" applyBorder="1" applyAlignment="1">
      <x:alignment vertical="top" wrapText="1"/>
    </x:xf>
    <x:xf numFmtId="216" fontId="57" fillId="7" borderId="409" xfId="2" applyNumberFormat="1" applyFont="1" applyFill="1" applyBorder="1" applyAlignment="1">
      <x:alignment vertical="top" wrapText="1"/>
    </x:xf>
    <x:xf numFmtId="216" fontId="57" fillId="7" borderId="410" xfId="2" applyNumberFormat="1" applyFont="1" applyFill="1" applyBorder="1" applyAlignment="1">
      <x:alignment vertical="top" wrapText="1"/>
    </x:xf>
    <x:xf numFmtId="0" fontId="45" fillId="9" borderId="411" xfId="2" applyNumberFormat="1" applyFont="1" applyFill="1" applyBorder="1" applyAlignment="1">
      <x:alignment horizontal="center" vertical="top" wrapText="1"/>
    </x:xf>
    <x:xf numFmtId="0" fontId="44" fillId="7" borderId="412" xfId="2" applyNumberFormat="1" applyFont="1" applyFill="1" applyBorder="1" applyAlignment="1">
      <x:alignment vertical="top" wrapText="1"/>
    </x:xf>
    <x:xf numFmtId="0" fontId="44" fillId="7" borderId="413" xfId="2" applyNumberFormat="1" applyFont="1" applyFill="1" applyBorder="1" applyAlignment="1">
      <x:alignment vertical="top" wrapText="1"/>
    </x:xf>
    <x:xf numFmtId="213" fontId="57" fillId="7" borderId="414" xfId="2" applyNumberFormat="1" applyFont="1" applyFill="1" applyBorder="1" applyAlignment="1">
      <x:alignment vertical="top" wrapText="1"/>
    </x:xf>
    <x:xf numFmtId="213" fontId="57" fillId="7" borderId="415" xfId="2" applyNumberFormat="1" applyFont="1" applyFill="1" applyBorder="1" applyAlignment="1">
      <x:alignment vertical="top" wrapText="1"/>
    </x:xf>
    <x:xf numFmtId="0" fontId="44" fillId="7" borderId="416" xfId="2" applyNumberFormat="1" applyFont="1" applyFill="1" applyBorder="1" applyAlignment="1">
      <x:alignment vertical="top" wrapText="1"/>
    </x:xf>
    <x:xf numFmtId="0" fontId="44" fillId="7" borderId="417" xfId="2" applyNumberFormat="1" applyFont="1" applyFill="1" applyBorder="1" applyAlignment="1">
      <x:alignment wrapText="1"/>
    </x:xf>
    <x:xf numFmtId="0" fontId="44" fillId="7" borderId="418" xfId="2" applyNumberFormat="1" applyFont="1" applyFill="1" applyBorder="1" applyAlignment="1">
      <x:alignment wrapText="1"/>
    </x:xf>
    <x:xf numFmtId="0" fontId="44" fillId="7" borderId="419" xfId="2" applyNumberFormat="1" applyFont="1" applyFill="1" applyBorder="1" applyAlignment="1">
      <x:alignment wrapText="1"/>
    </x:xf>
    <x:xf numFmtId="0" fontId="63" fillId="10" borderId="420" xfId="3"/>
    <x:xf numFmtId="0" fontId="64" fillId="10" borderId="420" xfId="3" applyNumberFormat="1" applyFont="1" applyFill="1" applyBorder="1"/>
    <x:xf numFmtId="0" fontId="65" fillId="10" borderId="420" xfId="3" applyNumberFormat="1" applyFont="1" applyFill="1" applyBorder="1"/>
    <x:xf numFmtId="0" fontId="65" fillId="10" borderId="420" xfId="3" applyNumberFormat="1" applyFont="1" applyFill="1" applyBorder="1" applyAlignment="1">
      <x:alignment vertical="top"/>
    </x:xf>
    <x:xf numFmtId="0" fontId="65" fillId="10" borderId="420" xfId="3" applyNumberFormat="1" applyFont="1" applyFill="1" applyBorder="1" applyAlignment="1">
      <x:alignment vertical="top" wrapText="1"/>
    </x:xf>
    <x:xf numFmtId="0" fontId="66" fillId="10" borderId="420" xfId="3" applyNumberFormat="1" applyFont="1" applyFill="1" applyBorder="1" applyAlignment="1">
      <x:alignment vertical="top" wrapText="1"/>
    </x:xf>
    <x:xf numFmtId="0" fontId="67" fillId="10" borderId="420" xfId="3" applyNumberFormat="1" applyFont="1" applyFill="1" applyBorder="1" applyAlignment="1">
      <x:alignment vertical="top" wrapText="1"/>
    </x:xf>
    <x:xf numFmtId="0" fontId="67" fillId="10" borderId="420" xfId="3" applyNumberFormat="1" applyFont="1" applyFill="1" applyBorder="1" applyAlignment="1">
      <x:alignment vertical="top" wrapText="0"/>
    </x:xf>
    <x:xf numFmtId="0" fontId="65" fillId="10" borderId="420" xfId="3" applyNumberFormat="1" applyFont="1" applyFill="1" applyBorder="1" applyAlignment="1">
      <x:alignment vertical="top" wrapText="0"/>
    </x:xf>
    <x:xf numFmtId="0" fontId="65" fillId="12" borderId="420" xfId="3" applyNumberFormat="1" applyFont="1" applyFill="1" applyBorder="1" applyAlignment="1">
      <x:alignment vertical="top" wrapText="1"/>
    </x:xf>
    <x:xf numFmtId="0" fontId="66" fillId="12" borderId="420" xfId="3" applyNumberFormat="1" applyFont="1" applyFill="1" applyBorder="1" applyAlignment="1">
      <x:alignment vertical="top" wrapText="1"/>
    </x:xf>
    <x:xf numFmtId="0" fontId="66" fillId="12" borderId="420" xfId="3" applyNumberFormat="1" applyFont="1" applyFill="1" applyBorder="1" applyAlignment="1">
      <x:alignment horizontal="center" vertical="top" wrapText="1"/>
    </x:xf>
    <x:xf numFmtId="0" fontId="66" fillId="12" borderId="421" xfId="3" applyNumberFormat="1" applyFont="1" applyFill="1" applyBorder="1" applyAlignment="1">
      <x:alignment horizontal="center" vertical="top" wrapText="1"/>
    </x:xf>
    <x:xf numFmtId="0" fontId="66" fillId="12" borderId="422" xfId="3" applyNumberFormat="1" applyFont="1" applyFill="1" applyBorder="1" applyAlignment="1">
      <x:alignment horizontal="center" vertical="top" wrapText="1"/>
    </x:xf>
    <x:xf numFmtId="0" fontId="66" fillId="12" borderId="423" xfId="3" applyNumberFormat="1" applyFont="1" applyFill="1" applyBorder="1" applyAlignment="1">
      <x:alignment horizontal="center" vertical="top" wrapText="1"/>
    </x:xf>
    <x:xf numFmtId="0" fontId="66" fillId="10" borderId="424" xfId="3" applyNumberFormat="1" applyFont="1" applyFill="1" applyBorder="1" applyAlignment="1">
      <x:alignment vertical="top" wrapText="1"/>
    </x:xf>
    <x:xf numFmtId="0" fontId="65" fillId="10" borderId="425" xfId="3" applyNumberFormat="1" applyFont="1" applyFill="1" applyBorder="1" applyAlignment="1">
      <x:alignment vertical="top" wrapText="1"/>
    </x:xf>
    <x:xf numFmtId="0" fontId="66" fillId="10" borderId="426" xfId="3" applyNumberFormat="1" applyFont="1" applyFill="1" applyBorder="1" applyAlignment="1">
      <x:alignment vertical="top" wrapText="1"/>
    </x:xf>
    <x:xf numFmtId="0" fontId="65" fillId="10" borderId="427" xfId="3" applyNumberFormat="1" applyFont="1" applyFill="1" applyBorder="1" applyAlignment="1">
      <x:alignment vertical="top" wrapText="1"/>
    </x:xf>
    <x:xf numFmtId="217" fontId="65" fillId="10" borderId="420" xfId="3" applyNumberFormat="1" applyFont="1" applyFill="1" applyBorder="1" applyAlignment="1">
      <x:alignment vertical="top" wrapText="1"/>
    </x:xf>
    <x:xf numFmtId="0" fontId="68" fillId="10" borderId="420" xfId="3" applyNumberFormat="1" applyFont="1" applyFill="1" applyBorder="1" applyAlignment="1">
      <x:alignment vertical="top" wrapText="1"/>
    </x:xf>
    <x:xf numFmtId="217" fontId="68" fillId="10" borderId="420" xfId="3" applyNumberFormat="1" applyFont="1" applyFill="1" applyBorder="1" applyAlignment="1">
      <x:alignment vertical="top" wrapText="1"/>
    </x:xf>
    <x:xf numFmtId="217" fontId="69" fillId="10" borderId="420" xfId="3" applyNumberFormat="1" applyFont="1" applyFill="1" applyBorder="1" applyAlignment="1">
      <x:alignment vertical="top" wrapText="1"/>
    </x:xf>
    <x:xf numFmtId="0" fontId="68" fillId="10" borderId="424" xfId="3" applyNumberFormat="1" applyFont="1" applyFill="1" applyBorder="1" applyAlignment="1">
      <x:alignment vertical="top" wrapText="1"/>
    </x:xf>
    <x:xf numFmtId="217" fontId="69" fillId="10" borderId="425" xfId="3" applyNumberFormat="1" applyFont="1" applyFill="1" applyBorder="1" applyAlignment="1">
      <x:alignment vertical="top" wrapText="1"/>
    </x:xf>
    <x:xf numFmtId="0" fontId="65" fillId="10" borderId="424" xfId="3" applyNumberFormat="1" applyFont="1" applyFill="1" applyBorder="1" applyAlignment="1">
      <x:alignment vertical="top" wrapText="1"/>
    </x:xf>
    <x:xf numFmtId="0" fontId="65" fillId="10" borderId="426" xfId="3" applyNumberFormat="1" applyFont="1" applyFill="1" applyBorder="1" applyAlignment="1">
      <x:alignment vertical="top" wrapText="1"/>
    </x:xf>
    <x:xf numFmtId="0" fontId="70" fillId="10" borderId="420" xfId="3" applyNumberFormat="1" applyFont="1" applyFill="1" applyBorder="1"/>
    <x:xf numFmtId="218" fontId="70" fillId="10" borderId="420" xfId="3" applyNumberFormat="1" applyFont="1" applyFill="1" applyBorder="1"/>
    <x:xf numFmtId="219" fontId="63" fillId="10" borderId="420" xfId="3" applyNumberFormat="1" applyFont="1" applyFill="1" applyBorder="1"/>
    <x:xf numFmtId="218" fontId="63" fillId="10" borderId="420" xfId="3" applyNumberFormat="1" applyFont="1" applyFill="1" applyBorder="1"/>
    <x:xf numFmtId="217" fontId="63" fillId="10" borderId="420" xfId="3" applyNumberFormat="1" applyFont="1" applyFill="1" applyBorder="1"/>
    <x:xf numFmtId="220" fontId="63" fillId="10" borderId="420" xfId="3" applyNumberFormat="1" applyFont="1" applyFill="1" applyBorder="1"/>
    <x:xf numFmtId="0" fontId="71" fillId="10" borderId="420" xfId="3" applyNumberFormat="1" applyFont="1" applyFill="1" applyBorder="1"/>
    <x:xf numFmtId="0" fontId="72" fillId="10" borderId="420" xfId="3" applyNumberFormat="1" applyFont="1" applyFill="1" applyBorder="1"/>
    <x:xf numFmtId="221" fontId="71" fillId="10" borderId="420" xfId="3" applyNumberFormat="1" applyFont="1" applyFill="1" applyBorder="1"/>
    <x:xf numFmtId="217" fontId="72" fillId="10" borderId="420" xfId="3" applyNumberFormat="1" applyFont="1" applyFill="1" applyBorder="1"/>
    <x:xf numFmtId="218" fontId="64" fillId="10" borderId="420" xfId="3" applyNumberFormat="1" applyFont="1" applyFill="1" applyBorder="1"/>
    <x:xf numFmtId="219" fontId="64" fillId="10" borderId="420" xfId="3" applyNumberFormat="1" applyFont="1" applyFill="1" applyBorder="1"/>
    <x:xf numFmtId="217" fontId="64" fillId="10" borderId="420" xfId="3" applyNumberFormat="1" applyFont="1" applyFill="1" applyBorder="1"/>
    <x:xf numFmtId="220" fontId="64" fillId="10" borderId="420" xfId="3" applyNumberFormat="1" applyFont="1" applyFill="1" applyBorder="1"/>
    <x:xf numFmtId="217" fontId="73" fillId="10" borderId="420" xfId="3" applyNumberFormat="1" applyFont="1" applyFill="1" applyBorder="1"/>
    <x:xf numFmtId="0" fontId="74" fillId="10" borderId="420" xfId="3" applyNumberFormat="1" applyFont="1" applyFill="1" applyBorder="1"/>
    <x:xf numFmtId="218" fontId="65" fillId="10" borderId="420" xfId="3" applyNumberFormat="1" applyFont="1" applyFill="1" applyBorder="1"/>
    <x:xf numFmtId="219" fontId="65" fillId="10" borderId="420" xfId="3" applyNumberFormat="1" applyFont="1" applyFill="1" applyBorder="1"/>
    <x:xf numFmtId="217" fontId="65" fillId="10" borderId="420" xfId="3" applyNumberFormat="1" applyFont="1" applyFill="1" applyBorder="1"/>
    <x:xf numFmtId="220" fontId="65" fillId="10" borderId="420" xfId="3" applyNumberFormat="1" applyFont="1" applyFill="1" applyBorder="1"/>
    <x:xf numFmtId="217" fontId="75" fillId="10" borderId="420" xfId="3" applyNumberFormat="1" applyFont="1" applyFill="1" applyBorder="1"/>
    <x:xf numFmtId="0" fontId="76" fillId="10" borderId="420" xfId="3" applyNumberFormat="1" applyFont="1" applyFill="1" applyBorder="1"/>
    <x:xf numFmtId="218" fontId="65" fillId="10" borderId="420" xfId="3" applyNumberFormat="1" applyFont="1" applyFill="1" applyBorder="1" applyAlignment="1">
      <x:alignment vertical="top"/>
    </x:xf>
    <x:xf numFmtId="219" fontId="65" fillId="10" borderId="420" xfId="3" applyNumberFormat="1" applyFont="1" applyFill="1" applyBorder="1" applyAlignment="1">
      <x:alignment vertical="top"/>
    </x:xf>
    <x:xf numFmtId="217" fontId="65" fillId="10" borderId="420" xfId="3" applyNumberFormat="1" applyFont="1" applyFill="1" applyBorder="1" applyAlignment="1">
      <x:alignment vertical="top"/>
    </x:xf>
    <x:xf numFmtId="220" fontId="65" fillId="10" borderId="420" xfId="3" applyNumberFormat="1" applyFont="1" applyFill="1" applyBorder="1" applyAlignment="1">
      <x:alignment vertical="top"/>
    </x:xf>
    <x:xf numFmtId="217" fontId="75" fillId="10" borderId="420" xfId="3" applyNumberFormat="1" applyFont="1" applyFill="1" applyBorder="1" applyAlignment="1">
      <x:alignment vertical="top"/>
    </x:xf>
    <x:xf numFmtId="0" fontId="76" fillId="10" borderId="420" xfId="3" applyNumberFormat="1" applyFont="1" applyFill="1" applyBorder="1" applyAlignment="1">
      <x:alignment vertical="top"/>
    </x:xf>
    <x:xf numFmtId="218" fontId="65" fillId="10" borderId="420" xfId="3" applyNumberFormat="1" applyFont="1" applyFill="1" applyBorder="1" applyAlignment="1">
      <x:alignment vertical="top" wrapText="1"/>
    </x:xf>
    <x:xf numFmtId="219" fontId="65" fillId="10" borderId="420" xfId="3" applyNumberFormat="1" applyFont="1" applyFill="1" applyBorder="1" applyAlignment="1">
      <x:alignment vertical="top" wrapText="1"/>
    </x:xf>
    <x:xf numFmtId="220" fontId="65" fillId="10" borderId="420" xfId="3" applyNumberFormat="1" applyFont="1" applyFill="1" applyBorder="1" applyAlignment="1">
      <x:alignment vertical="top" wrapText="1"/>
    </x:xf>
    <x:xf numFmtId="217" fontId="75" fillId="10" borderId="420" xfId="3" applyNumberFormat="1" applyFont="1" applyFill="1" applyBorder="1" applyAlignment="1">
      <x:alignment vertical="top" wrapText="1"/>
    </x:xf>
    <x:xf numFmtId="0" fontId="76" fillId="10" borderId="420" xfId="3" applyNumberFormat="1" applyFont="1" applyFill="1" applyBorder="1" applyAlignment="1">
      <x:alignment vertical="top" wrapText="1"/>
    </x:xf>
    <x:xf numFmtId="0" fontId="73" fillId="10" borderId="420" xfId="3" applyNumberFormat="1" applyFont="1" applyFill="1" applyBorder="1"/>
    <x:xf numFmtId="221" fontId="74" fillId="10" borderId="420" xfId="3" applyNumberFormat="1" applyFont="1" applyFill="1" applyBorder="1"/>
    <x:xf numFmtId="0" fontId="75" fillId="10" borderId="420" xfId="3" applyNumberFormat="1" applyFont="1" applyFill="1" applyBorder="1"/>
    <x:xf numFmtId="221" fontId="76" fillId="10" borderId="420" xfId="3" applyNumberFormat="1" applyFont="1" applyFill="1" applyBorder="1"/>
    <x:xf numFmtId="0" fontId="75" fillId="10" borderId="420" xfId="3" applyNumberFormat="1" applyFont="1" applyFill="1" applyBorder="1" applyAlignment="1">
      <x:alignment vertical="top"/>
    </x:xf>
    <x:xf numFmtId="221" fontId="76" fillId="10" borderId="420" xfId="3" applyNumberFormat="1" applyFont="1" applyFill="1" applyBorder="1" applyAlignment="1">
      <x:alignment vertical="top"/>
    </x:xf>
    <x:xf numFmtId="0" fontId="75" fillId="10" borderId="420" xfId="3" applyNumberFormat="1" applyFont="1" applyFill="1" applyBorder="1" applyAlignment="1">
      <x:alignment vertical="top" wrapText="1"/>
    </x:xf>
    <x:xf numFmtId="221" fontId="76" fillId="10" borderId="420" xfId="3" applyNumberFormat="1" applyFont="1" applyFill="1" applyBorder="1" applyAlignment="1">
      <x:alignment vertical="top" wrapText="1"/>
    </x:xf>
    <x:xf numFmtId="218" fontId="77" fillId="10" borderId="420" xfId="3" applyNumberFormat="1" applyFont="1" applyFill="1" applyBorder="1"/>
    <x:xf numFmtId="218" fontId="78" fillId="10" borderId="420" xfId="3" applyNumberFormat="1" applyFont="1" applyFill="1" applyBorder="1"/>
    <x:xf numFmtId="218" fontId="78" fillId="10" borderId="420" xfId="3" applyNumberFormat="1" applyFont="1" applyFill="1" applyBorder="1" applyAlignment="1">
      <x:alignment vertical="top"/>
    </x:xf>
    <x:xf numFmtId="218" fontId="78" fillId="10" borderId="420" xfId="3" applyNumberFormat="1" applyFont="1" applyFill="1" applyBorder="1" applyAlignment="1">
      <x:alignment vertical="top" wrapText="1"/>
    </x:xf>
    <x:xf numFmtId="0" fontId="65" fillId="10" borderId="428" xfId="3" applyNumberFormat="1" applyFont="1" applyFill="1" applyBorder="1" applyAlignment="1">
      <x:alignment vertical="top" wrapText="1"/>
    </x:xf>
    <x:xf numFmtId="0" fontId="65" fillId="10" borderId="429" xfId="3" applyNumberFormat="1" applyFont="1" applyFill="1" applyBorder="1" applyAlignment="1">
      <x:alignment vertical="top" wrapText="1"/>
    </x:xf>
    <x:xf numFmtId="0" fontId="65" fillId="10" borderId="430" xfId="3" applyNumberFormat="1" applyFont="1" applyFill="1" applyBorder="1" applyAlignment="1">
      <x:alignment vertical="top" wrapText="1"/>
    </x:xf>
    <x:xf numFmtId="218" fontId="65" fillId="10" borderId="431" xfId="3" applyNumberFormat="1" applyFont="1" applyFill="1" applyBorder="1" applyAlignment="1">
      <x:alignment vertical="top" wrapText="1"/>
    </x:xf>
    <x:xf numFmtId="219" fontId="65" fillId="10" borderId="431" xfId="3" applyNumberFormat="1" applyFont="1" applyFill="1" applyBorder="1" applyAlignment="1">
      <x:alignment vertical="top" wrapText="1"/>
    </x:xf>
    <x:xf numFmtId="217" fontId="65" fillId="10" borderId="431" xfId="3" applyNumberFormat="1" applyFont="1" applyFill="1" applyBorder="1" applyAlignment="1">
      <x:alignment vertical="top" wrapText="1"/>
    </x:xf>
    <x:xf numFmtId="220" fontId="65" fillId="10" borderId="431" xfId="3" applyNumberFormat="1" applyFont="1" applyFill="1" applyBorder="1" applyAlignment="1">
      <x:alignment vertical="top" wrapText="1"/>
    </x:xf>
    <x:xf numFmtId="217" fontId="75" fillId="10" borderId="432" xfId="3" applyNumberFormat="1" applyFont="1" applyFill="1" applyBorder="1" applyAlignment="1">
      <x:alignment vertical="top" wrapText="1"/>
    </x:xf>
    <x:xf numFmtId="219" fontId="65" fillId="10" borderId="432" xfId="3" applyNumberFormat="1" applyFont="1" applyFill="1" applyBorder="1" applyAlignment="1">
      <x:alignment vertical="top" wrapText="1"/>
    </x:xf>
    <x:xf numFmtId="0" fontId="76" fillId="10" borderId="424" xfId="3" applyNumberFormat="1" applyFont="1" applyFill="1" applyBorder="1" applyAlignment="1">
      <x:alignment vertical="top" wrapText="1"/>
    </x:xf>
    <x:xf numFmtId="0" fontId="76" fillId="10" borderId="431" xfId="3" applyNumberFormat="1" applyFont="1" applyFill="1" applyBorder="1" applyAlignment="1">
      <x:alignment vertical="top" wrapText="1"/>
    </x:xf>
    <x:xf numFmtId="0" fontId="76" fillId="10" borderId="425" xfId="3" applyNumberFormat="1" applyFont="1" applyFill="1" applyBorder="1" applyAlignment="1">
      <x:alignment vertical="top" wrapText="1"/>
    </x:xf>
    <x:xf numFmtId="0" fontId="76" fillId="10" borderId="426" xfId="3" applyNumberFormat="1" applyFont="1" applyFill="1" applyBorder="1" applyAlignment="1">
      <x:alignment vertical="top" wrapText="1"/>
    </x:xf>
    <x:xf numFmtId="0" fontId="76" fillId="10" borderId="432" xfId="3" applyNumberFormat="1" applyFont="1" applyFill="1" applyBorder="1" applyAlignment="1">
      <x:alignment vertical="top" wrapText="1"/>
    </x:xf>
    <x:xf numFmtId="0" fontId="76" fillId="10" borderId="427" xfId="3" applyNumberFormat="1" applyFont="1" applyFill="1" applyBorder="1" applyAlignment="1">
      <x:alignment vertical="top" wrapText="1"/>
    </x:xf>
    <x:xf numFmtId="0" fontId="65" fillId="12" borderId="428" xfId="3" applyNumberFormat="1" applyFont="1" applyFill="1" applyBorder="1" applyAlignment="1">
      <x:alignment vertical="top" wrapText="1"/>
    </x:xf>
    <x:xf numFmtId="0" fontId="65" fillId="12" borderId="429" xfId="3" applyNumberFormat="1" applyFont="1" applyFill="1" applyBorder="1" applyAlignment="1">
      <x:alignment vertical="top" wrapText="1"/>
    </x:xf>
    <x:xf numFmtId="0" fontId="65" fillId="12" borderId="430" xfId="3" applyNumberFormat="1" applyFont="1" applyFill="1" applyBorder="1" applyAlignment="1">
      <x:alignment vertical="top" wrapText="1"/>
    </x:xf>
    <x:xf numFmtId="0" fontId="66" fillId="12" borderId="428" xfId="3" applyNumberFormat="1" applyFont="1" applyFill="1" applyBorder="1" applyAlignment="1">
      <x:alignment vertical="top" wrapText="1"/>
    </x:xf>
    <x:xf numFmtId="0" fontId="66" fillId="12" borderId="429" xfId="3" applyNumberFormat="1" applyFont="1" applyFill="1" applyBorder="1" applyAlignment="1">
      <x:alignment vertical="top" wrapText="1"/>
    </x:xf>
    <x:xf numFmtId="0" fontId="66" fillId="12" borderId="430" xfId="3" applyNumberFormat="1" applyFont="1" applyFill="1" applyBorder="1" applyAlignment="1">
      <x:alignment vertical="top" wrapText="1"/>
    </x:xf>
    <x:xf numFmtId="0" fontId="66" fillId="12" borderId="428" xfId="3" applyNumberFormat="1" applyFont="1" applyFill="1" applyBorder="1" applyAlignment="1">
      <x:alignment horizontal="center" vertical="top" wrapText="1"/>
    </x:xf>
    <x:xf numFmtId="0" fontId="66" fillId="12" borderId="429" xfId="3" applyNumberFormat="1" applyFont="1" applyFill="1" applyBorder="1" applyAlignment="1">
      <x:alignment horizontal="center" vertical="top" wrapText="1"/>
    </x:xf>
    <x:xf numFmtId="0" fontId="66" fillId="12" borderId="430" xfId="3" applyNumberFormat="1" applyFont="1" applyFill="1" applyBorder="1" applyAlignment="1">
      <x:alignment horizontal="center" vertical="top" wrapText="1"/>
    </x:xf>
    <x:xf numFmtId="0" fontId="66" fillId="12" borderId="433" xfId="3" applyNumberFormat="1" applyFont="1" applyFill="1" applyBorder="1" applyAlignment="1">
      <x:alignment horizontal="center" vertical="top" wrapText="1"/>
    </x:xf>
    <x:xf numFmtId="218" fontId="66" fillId="10" borderId="431" xfId="3" applyNumberFormat="1" applyFont="1" applyFill="1" applyBorder="1" applyAlignment="1">
      <x:alignment vertical="top" wrapText="1"/>
    </x:xf>
    <x:xf numFmtId="219" fontId="66" fillId="10" borderId="431" xfId="3" applyNumberFormat="1" applyFont="1" applyFill="1" applyBorder="1" applyAlignment="1">
      <x:alignment vertical="top" wrapText="1"/>
    </x:xf>
    <x:xf numFmtId="0" fontId="66" fillId="10" borderId="425" xfId="3" applyNumberFormat="1" applyFont="1" applyFill="1" applyBorder="1" applyAlignment="1">
      <x:alignment vertical="top" wrapText="1"/>
    </x:xf>
    <x:xf numFmtId="0" fontId="66" fillId="10" borderId="428" xfId="3" applyNumberFormat="1" applyFont="1" applyFill="1" applyBorder="1" applyAlignment="1">
      <x:alignment vertical="top" wrapText="1"/>
    </x:xf>
    <x:xf numFmtId="218" fontId="66" fillId="10" borderId="429" xfId="3" applyNumberFormat="1" applyFont="1" applyFill="1" applyBorder="1" applyAlignment="1">
      <x:alignment vertical="top" wrapText="1"/>
    </x:xf>
    <x:xf numFmtId="219" fontId="66" fillId="10" borderId="429" xfId="3" applyNumberFormat="1" applyFont="1" applyFill="1" applyBorder="1" applyAlignment="1">
      <x:alignment vertical="top" wrapText="1"/>
    </x:xf>
    <x:xf numFmtId="0" fontId="66" fillId="10" borderId="430" xfId="3" applyNumberFormat="1" applyFont="1" applyFill="1" applyBorder="1" applyAlignment="1">
      <x:alignment vertical="top" wrapText="1"/>
    </x:xf>
    <x:xf numFmtId="0" fontId="79" fillId="10" borderId="425" xfId="3" applyNumberFormat="1" applyFont="1" applyFill="1" applyBorder="1" applyAlignment="1">
      <x:alignment vertical="top" wrapText="1"/>
    </x:xf>
    <x:xf numFmtId="0" fontId="79" fillId="10" borderId="430" xfId="3" applyNumberFormat="1" applyFont="1" applyFill="1" applyBorder="1" applyAlignment="1">
      <x:alignment vertical="top" wrapText="1"/>
    </x:xf>
    <x:xf numFmtId="218" fontId="78" fillId="10" borderId="431" xfId="3" applyNumberFormat="1" applyFont="1" applyFill="1" applyBorder="1" applyAlignment="1">
      <x:alignment vertical="top" wrapText="1"/>
    </x:xf>
    <x:xf numFmtId="0" fontId="65" fillId="10" borderId="431" xfId="3" applyNumberFormat="1" applyFont="1" applyFill="1" applyBorder="1" applyAlignment="1">
      <x:alignment vertical="top" wrapText="1"/>
    </x:xf>
    <x:xf numFmtId="218" fontId="78" fillId="10" borderId="432" xfId="3" applyNumberFormat="1" applyFont="1" applyFill="1" applyBorder="1" applyAlignment="1">
      <x:alignment vertical="top" wrapText="1"/>
    </x:xf>
    <x:xf numFmtId="0" fontId="65" fillId="10" borderId="432" xfId="3" applyNumberFormat="1" applyFont="1" applyFill="1" applyBorder="1" applyAlignment="1">
      <x:alignment vertical="top" wrapText="1"/>
    </x:xf>
    <x:xf numFmtId="0" fontId="80" fillId="10" borderId="420" xfId="3" applyNumberFormat="1" applyFont="1" applyFill="1" applyBorder="1" applyAlignment="1">
      <x:alignment vertical="top" wrapText="1"/>
    </x:xf>
    <x:xf numFmtId="0" fontId="75" fillId="10" borderId="431" xfId="3" applyNumberFormat="1" applyFont="1" applyFill="1" applyBorder="1" applyAlignment="1">
      <x:alignment vertical="top" wrapText="1"/>
    </x:xf>
    <x:xf numFmtId="0" fontId="75" fillId="10" borderId="432" xfId="3" applyNumberFormat="1" applyFont="1" applyFill="1" applyBorder="1" applyAlignment="1">
      <x:alignment vertical="top" wrapText="1"/>
    </x:xf>
    <x:xf numFmtId="0" fontId="76" fillId="10" borderId="429" xfId="3" applyNumberFormat="1" applyFont="1" applyFill="1" applyBorder="1" applyAlignment="1">
      <x:alignment vertical="top" wrapText="1"/>
    </x:xf>
    <x:xf numFmtId="0" fontId="81" fillId="10" borderId="431" xfId="3" applyNumberFormat="1" applyFont="1" applyFill="1" applyBorder="1" applyAlignment="1">
      <x:alignment vertical="top" wrapText="1"/>
    </x:xf>
    <x:xf numFmtId="0" fontId="66" fillId="10" borderId="431" xfId="3" applyNumberFormat="1" applyFont="1" applyFill="1" applyBorder="1" applyAlignment="1">
      <x:alignment vertical="top" wrapText="1"/>
    </x:xf>
    <x:xf numFmtId="0" fontId="81" fillId="10" borderId="429" xfId="3" applyNumberFormat="1" applyFont="1" applyFill="1" applyBorder="1" applyAlignment="1">
      <x:alignment vertical="top" wrapText="1"/>
    </x:xf>
    <x:xf numFmtId="0" fontId="66" fillId="10" borderId="429" xfId="3" applyNumberFormat="1" applyFont="1" applyFill="1" applyBorder="1" applyAlignment="1">
      <x:alignment vertical="top" wrapText="1"/>
    </x:xf>
    <x:xf numFmtId="0" fontId="81" fillId="10" borderId="432" xfId="3" applyNumberFormat="1" applyFont="1" applyFill="1" applyBorder="1" applyAlignment="1">
      <x:alignment vertical="top" wrapText="1"/>
    </x:xf>
    <x:xf numFmtId="0" fontId="66" fillId="10" borderId="432" xfId="3" applyNumberFormat="1" applyFont="1" applyFill="1" applyBorder="1" applyAlignment="1">
      <x:alignment vertical="top" wrapText="1"/>
    </x:xf>
    <x:xf numFmtId="0" fontId="66" fillId="10" borderId="427" xfId="3" applyNumberFormat="1" applyFont="1" applyFill="1" applyBorder="1" applyAlignment="1">
      <x:alignment vertical="top" wrapText="1"/>
    </x:xf>
    <x:xf numFmtId="0" fontId="66" fillId="10" borderId="422" xfId="3" applyNumberFormat="1" applyFont="1" applyFill="1" applyBorder="1" applyAlignment="1">
      <x:alignment vertical="top" wrapText="1"/>
    </x:xf>
    <x:xf numFmtId="0" fontId="81" fillId="10" borderId="433" xfId="3" applyNumberFormat="1" applyFont="1" applyFill="1" applyBorder="1" applyAlignment="1">
      <x:alignment vertical="top" wrapText="1"/>
    </x:xf>
    <x:xf numFmtId="0" fontId="66" fillId="10" borderId="433" xfId="3" applyNumberFormat="1" applyFont="1" applyFill="1" applyBorder="1" applyAlignment="1">
      <x:alignment vertical="top" wrapText="1"/>
    </x:xf>
    <x:xf numFmtId="0" fontId="66" fillId="10" borderId="423" xfId="3" applyNumberFormat="1" applyFont="1" applyFill="1" applyBorder="1" applyAlignment="1">
      <x:alignment vertical="top" wrapText="1"/>
    </x:xf>
    <x:xf numFmtId="218" fontId="76" fillId="10" borderId="431" xfId="3" applyNumberFormat="1" applyFont="1" applyFill="1" applyBorder="1" applyAlignment="1">
      <x:alignment vertical="top" wrapText="1"/>
    </x:xf>
    <x:xf numFmtId="218" fontId="81" fillId="10" borderId="429" xfId="3" applyNumberFormat="1" applyFont="1" applyFill="1" applyBorder="1" applyAlignment="1">
      <x:alignment vertical="top" wrapText="1"/>
    </x:xf>
    <x:xf numFmtId="218" fontId="81" fillId="10" borderId="433" xfId="3" applyNumberFormat="1" applyFont="1" applyFill="1" applyBorder="1" applyAlignment="1">
      <x:alignment vertical="top" wrapText="1"/>
    </x:xf>
    <x:xf numFmtId="218" fontId="66" fillId="12" borderId="433" xfId="3" applyNumberFormat="1" applyFont="1" applyFill="1" applyBorder="1" applyAlignment="1">
      <x:alignment horizontal="center" vertical="top" wrapText="1"/>
    </x:xf>
    <x:xf numFmtId="218" fontId="76" fillId="10" borderId="432" xfId="3" applyNumberFormat="1" applyFont="1" applyFill="1" applyBorder="1" applyAlignment="1">
      <x:alignment vertical="top" wrapText="1"/>
    </x:xf>
    <x:xf numFmtId="218" fontId="76" fillId="10" borderId="429" xfId="3" applyNumberFormat="1" applyFont="1" applyFill="1" applyBorder="1" applyAlignment="1">
      <x:alignment vertical="top" wrapText="1"/>
    </x:xf>
    <x:xf numFmtId="218" fontId="65" fillId="10" borderId="432" xfId="3" applyNumberFormat="1" applyFont="1" applyFill="1" applyBorder="1" applyAlignment="1">
      <x:alignment vertical="top" wrapText="1"/>
    </x:xf>
    <x:xf numFmtId="0" fontId="78" fillId="10" borderId="431" xfId="3" applyNumberFormat="1" applyFont="1" applyFill="1" applyBorder="1" applyAlignment="1">
      <x:alignment vertical="top" wrapText="1"/>
    </x:xf>
    <x:xf numFmtId="0" fontId="78" fillId="10" borderId="432" xfId="3" applyNumberFormat="1" applyFont="1" applyFill="1" applyBorder="1" applyAlignment="1">
      <x:alignment vertical="top" wrapText="1"/>
    </x:xf>
    <x:xf numFmtId="221" fontId="76" fillId="10" borderId="425" xfId="3" applyNumberFormat="1" applyFont="1" applyFill="1" applyBorder="1" applyAlignment="1">
      <x:alignment vertical="top" wrapText="1"/>
    </x:xf>
    <x:xf numFmtId="219" fontId="76" fillId="10" borderId="431" xfId="3" applyNumberFormat="1" applyFont="1" applyFill="1" applyBorder="1" applyAlignment="1">
      <x:alignment vertical="top" wrapText="1"/>
    </x:xf>
    <x:xf numFmtId="221" fontId="65" fillId="10" borderId="420" xfId="3" applyNumberFormat="1" applyFont="1" applyFill="1" applyBorder="1" applyAlignment="1">
      <x:alignment vertical="top" wrapText="1"/>
    </x:xf>
    <x:xf numFmtId="221" fontId="78" fillId="10" borderId="420" xfId="3" applyNumberFormat="1" applyFont="1" applyFill="1" applyBorder="1" applyAlignment="1">
      <x:alignment vertical="top" wrapText="1"/>
    </x:xf>
    <x:xf numFmtId="221" fontId="78" fillId="10" borderId="424" xfId="3" applyNumberFormat="1" applyFont="1" applyFill="1" applyBorder="1" applyAlignment="1">
      <x:alignment vertical="top" wrapText="1"/>
    </x:xf>
    <x:xf numFmtId="221" fontId="78" fillId="10" borderId="425" xfId="3" applyNumberFormat="1" applyFont="1" applyFill="1" applyBorder="1" applyAlignment="1">
      <x:alignment vertical="top" wrapText="1"/>
    </x:xf>
    <x:xf numFmtId="221" fontId="78" fillId="10" borderId="426" xfId="3" applyNumberFormat="1" applyFont="1" applyFill="1" applyBorder="1" applyAlignment="1">
      <x:alignment vertical="top" wrapText="1"/>
    </x:xf>
    <x:xf numFmtId="221" fontId="78" fillId="10" borderId="427" xfId="3" applyNumberFormat="1" applyFont="1" applyFill="1" applyBorder="1" applyAlignment="1">
      <x:alignment vertical="top" wrapText="1"/>
    </x:xf>
    <x:xf numFmtId="0" fontId="82" fillId="10" borderId="420" xfId="3" applyNumberFormat="1" applyFont="1" applyFill="1" applyBorder="1" applyAlignment="1">
      <x:alignment vertical="top" wrapText="1"/>
    </x:xf>
    <x:xf numFmtId="218" fontId="76" fillId="10" borderId="420" xfId="3" applyNumberFormat="1" applyFont="1" applyFill="1" applyBorder="1" applyAlignment="1">
      <x:alignment vertical="top" wrapText="1"/>
    </x:xf>
    <x:xf numFmtId="218" fontId="76" fillId="10" borderId="425" xfId="3" applyNumberFormat="1" applyFont="1" applyFill="1" applyBorder="1" applyAlignment="1">
      <x:alignment vertical="top" wrapText="1"/>
    </x:xf>
    <x:xf numFmtId="218" fontId="65" fillId="10" borderId="425" xfId="3" applyNumberFormat="1" applyFont="1" applyFill="1" applyBorder="1" applyAlignment="1">
      <x:alignment vertical="top" wrapText="1"/>
    </x:xf>
    <x:xf numFmtId="218" fontId="65" fillId="10" borderId="427" xfId="3" applyNumberFormat="1" applyFont="1" applyFill="1" applyBorder="1" applyAlignment="1">
      <x:alignment vertical="top" wrapText="1"/>
    </x:xf>
    <x:xf numFmtId="0" fontId="65" fillId="10" borderId="422" xfId="3" applyNumberFormat="1" applyFont="1" applyFill="1" applyBorder="1" applyAlignment="1">
      <x:alignment vertical="top" wrapText="1"/>
    </x:xf>
    <x:xf numFmtId="218" fontId="76" fillId="10" borderId="433" xfId="3" applyNumberFormat="1" applyFont="1" applyFill="1" applyBorder="1" applyAlignment="1">
      <x:alignment vertical="top" wrapText="1"/>
    </x:xf>
    <x:xf numFmtId="218" fontId="76" fillId="10" borderId="423" xfId="3" applyNumberFormat="1" applyFont="1" applyFill="1" applyBorder="1" applyAlignment="1">
      <x:alignment vertical="top" wrapText="1"/>
    </x:xf>
    <x:xf numFmtId="218" fontId="65" fillId="10" borderId="429" xfId="3" applyNumberFormat="1" applyFont="1" applyFill="1" applyBorder="1" applyAlignment="1">
      <x:alignment vertical="top" wrapText="1"/>
    </x:xf>
    <x:xf numFmtId="218" fontId="65" fillId="10" borderId="430" xfId="3" applyNumberFormat="1" applyFont="1" applyFill="1" applyBorder="1" applyAlignment="1">
      <x:alignment vertical="top" wrapText="1"/>
    </x:xf>
    <x:xf numFmtId="217" fontId="65" fillId="10" borderId="432" xfId="3" applyNumberFormat="1" applyFont="1" applyFill="1" applyBorder="1" applyAlignment="1">
      <x:alignment vertical="top" wrapText="1"/>
    </x:xf>
    <x:xf numFmtId="218" fontId="66" fillId="10" borderId="425" xfId="3" applyNumberFormat="1" applyFont="1" applyFill="1" applyBorder="1" applyAlignment="1">
      <x:alignment vertical="top" wrapText="1"/>
    </x:xf>
    <x:xf numFmtId="218" fontId="66" fillId="10" borderId="430" xfId="3" applyNumberFormat="1" applyFont="1" applyFill="1" applyBorder="1" applyAlignment="1">
      <x:alignment vertical="top" wrapText="1"/>
    </x:xf>
    <x:xf numFmtId="218" fontId="66" fillId="10" borderId="432" xfId="3" applyNumberFormat="1" applyFont="1" applyFill="1" applyBorder="1" applyAlignment="1">
      <x:alignment vertical="top" wrapText="1"/>
    </x:xf>
    <x:xf numFmtId="218" fontId="66" fillId="10" borderId="427" xfId="3" applyNumberFormat="1" applyFont="1" applyFill="1" applyBorder="1" applyAlignment="1">
      <x:alignment vertical="top" wrapText="1"/>
    </x:xf>
    <x:xf numFmtId="218" fontId="66" fillId="10" borderId="433" xfId="3" applyNumberFormat="1" applyFont="1" applyFill="1" applyBorder="1" applyAlignment="1">
      <x:alignment vertical="top" wrapText="1"/>
    </x:xf>
    <x:xf numFmtId="218" fontId="66" fillId="10" borderId="423" xfId="3" applyNumberFormat="1" applyFont="1" applyFill="1" applyBorder="1" applyAlignment="1">
      <x:alignment vertical="top" wrapText="1"/>
    </x:xf>
    <x:xf numFmtId="217" fontId="66" fillId="10" borderId="432" xfId="3" applyNumberFormat="1" applyFont="1" applyFill="1" applyBorder="1" applyAlignment="1">
      <x:alignment vertical="top" wrapText="1"/>
    </x:xf>
    <x:xf numFmtId="217" fontId="66" fillId="10" borderId="433" xfId="3" applyNumberFormat="1" applyFont="1" applyFill="1" applyBorder="1" applyAlignment="1">
      <x:alignment vertical="top" wrapText="1"/>
    </x:xf>
    <x:xf numFmtId="218" fontId="83" fillId="10" borderId="429" xfId="3" applyNumberFormat="1" applyFont="1" applyFill="1" applyBorder="1" applyAlignment="1">
      <x:alignment vertical="top" wrapText="1"/>
    </x:xf>
    <x:xf numFmtId="217" fontId="76" fillId="10" borderId="431" xfId="3" applyNumberFormat="1" applyFont="1" applyFill="1" applyBorder="1" applyAlignment="1">
      <x:alignment vertical="top" wrapText="1"/>
    </x:xf>
    <x:xf numFmtId="220" fontId="75" fillId="10" borderId="431" xfId="3" applyNumberFormat="1" applyFont="1" applyFill="1" applyBorder="1" applyAlignment="1">
      <x:alignment vertical="top" wrapText="1"/>
    </x:xf>
    <x:xf numFmtId="0" fontId="79" fillId="10" borderId="427" xfId="3" applyNumberFormat="1" applyFont="1" applyFill="1" applyBorder="1" applyAlignment="1">
      <x:alignment vertical="top" wrapText="1"/>
    </x:xf>
    <x:xf numFmtId="0" fontId="65" fillId="10" borderId="420" xfId="3" applyNumberFormat="1" applyFont="1" applyFill="1" applyBorder="1" applyAlignment="1">
      <x:alignment wrapText="1"/>
    </x:xf>
    <x:xf numFmtId="0" fontId="65" fillId="10" borderId="433" xfId="3" applyNumberFormat="1" applyFont="1" applyFill="1" applyBorder="1" applyAlignment="1">
      <x:alignment vertical="top" wrapText="1"/>
    </x:xf>
    <x:xf numFmtId="0" fontId="65" fillId="10" borderId="423" xfId="3" applyNumberFormat="1" applyFont="1" applyFill="1" applyBorder="1" applyAlignment="1">
      <x:alignment vertical="top" wrapText="1"/>
    </x:xf>
    <x:xf numFmtId="0" fontId="65" fillId="10" borderId="434" xfId="3" applyNumberFormat="1" applyFont="1" applyFill="1" applyBorder="1" applyAlignment="1">
      <x:alignment vertical="top" wrapText="1"/>
    </x:xf>
    <x:xf numFmtId="0" fontId="65" fillId="10" borderId="435" xfId="3" applyNumberFormat="1" applyFont="1" applyFill="1" applyBorder="1" applyAlignment="1">
      <x:alignment vertical="top" wrapText="1"/>
    </x:xf>
    <x:xf numFmtId="0" fontId="65" fillId="10" borderId="436" xfId="3" applyNumberFormat="1" applyFont="1" applyFill="1" applyBorder="1" applyAlignment="1">
      <x:alignment vertical="top" wrapText="1"/>
    </x:xf>
    <x:xf numFmtId="0" fontId="65" fillId="12" borderId="434" xfId="3" applyNumberFormat="1" applyFont="1" applyFill="1" applyBorder="1" applyAlignment="1">
      <x:alignment vertical="top" wrapText="1"/>
    </x:xf>
    <x:xf numFmtId="0" fontId="66" fillId="12" borderId="434" xfId="3" applyNumberFormat="1" applyFont="1" applyFill="1" applyBorder="1" applyAlignment="1">
      <x:alignment vertical="top" wrapText="1"/>
    </x:xf>
    <x:xf numFmtId="0" fontId="66" fillId="12" borderId="434" xfId="3" applyNumberFormat="1" applyFont="1" applyFill="1" applyBorder="1" applyAlignment="1">
      <x:alignment horizontal="center" vertical="top" wrapText="1"/>
    </x:xf>
    <x:xf numFmtId="0" fontId="66" fillId="12" borderId="437" xfId="3" applyNumberFormat="1" applyFont="1" applyFill="1" applyBorder="1" applyAlignment="1">
      <x:alignment horizontal="center" vertical="top" wrapText="1"/>
    </x:xf>
    <x:xf numFmtId="218" fontId="75" fillId="10" borderId="420" xfId="3" applyNumberFormat="1" applyFont="1" applyFill="1" applyBorder="1" applyAlignment="1">
      <x:alignment vertical="top" wrapText="1"/>
    </x:xf>
    <x:xf numFmtId="218" fontId="65" fillId="12" borderId="420" xfId="3" applyNumberFormat="1" applyFont="1" applyFill="1" applyBorder="1" applyAlignment="1">
      <x:alignment vertical="top" wrapText="1"/>
    </x:xf>
    <x:xf numFmtId="219" fontId="65" fillId="12" borderId="420" xfId="3" applyNumberFormat="1" applyFont="1" applyFill="1" applyBorder="1" applyAlignment="1">
      <x:alignment vertical="top" wrapText="1"/>
    </x:xf>
    <x:xf numFmtId="218" fontId="66" fillId="12" borderId="420" xfId="3" applyNumberFormat="1" applyFont="1" applyFill="1" applyBorder="1" applyAlignment="1">
      <x:alignment vertical="top" wrapText="1"/>
    </x:xf>
    <x:xf numFmtId="219" fontId="66" fillId="12" borderId="420" xfId="3" applyNumberFormat="1" applyFont="1" applyFill="1" applyBorder="1" applyAlignment="1">
      <x:alignment vertical="top" wrapText="1"/>
    </x:xf>
    <x:xf numFmtId="218" fontId="66" fillId="12" borderId="420" xfId="3" applyNumberFormat="1" applyFont="1" applyFill="1" applyBorder="1" applyAlignment="1">
      <x:alignment horizontal="center" vertical="top" wrapText="1"/>
    </x:xf>
    <x:xf numFmtId="219" fontId="66" fillId="12" borderId="420" xfId="3" applyNumberFormat="1" applyFont="1" applyFill="1" applyBorder="1" applyAlignment="1">
      <x:alignment horizontal="center" vertical="top" wrapText="1"/>
    </x:xf>
    <x:xf numFmtId="218" fontId="66" fillId="12" borderId="421" xfId="3" applyNumberFormat="1" applyFont="1" applyFill="1" applyBorder="1" applyAlignment="1">
      <x:alignment horizontal="center" vertical="top" wrapText="1"/>
    </x:xf>
    <x:xf numFmtId="219" fontId="66" fillId="12" borderId="421" xfId="3" applyNumberFormat="1" applyFont="1" applyFill="1" applyBorder="1" applyAlignment="1">
      <x:alignment horizontal="center" vertical="top" wrapText="1"/>
    </x:xf>
    <x:xf numFmtId="218" fontId="75" fillId="10" borderId="432" xfId="3" applyNumberFormat="1" applyFont="1" applyFill="1" applyBorder="1" applyAlignment="1">
      <x:alignment vertical="top" wrapText="1"/>
    </x:xf>
    <x:xf numFmtId="219" fontId="66" fillId="12" borderId="433" xfId="3" applyNumberFormat="1" applyFont="1" applyFill="1" applyBorder="1" applyAlignment="1">
      <x:alignment horizontal="center" vertical="top" wrapText="1"/>
    </x:xf>
    <x:xf numFmtId="218" fontId="75" fillId="10" borderId="431" xfId="3" applyNumberFormat="1" applyFont="1" applyFill="1" applyBorder="1" applyAlignment="1">
      <x:alignment vertical="top" wrapText="1"/>
    </x:xf>
    <x:xf numFmtId="218" fontId="65" fillId="10" borderId="433" xfId="3" applyNumberFormat="1" applyFont="1" applyFill="1" applyBorder="1" applyAlignment="1">
      <x:alignment vertical="top" wrapText="1"/>
    </x:xf>
    <x:xf numFmtId="219" fontId="65" fillId="10" borderId="433" xfId="3" applyNumberFormat="1" applyFont="1" applyFill="1" applyBorder="1" applyAlignment="1">
      <x:alignment vertical="top" wrapText="1"/>
    </x:xf>
    <x:xf numFmtId="218" fontId="81" fillId="10" borderId="432" xfId="3" applyNumberFormat="1" applyFont="1" applyFill="1" applyBorder="1" applyAlignment="1">
      <x:alignment vertical="top" wrapText="1"/>
    </x:xf>
    <x:xf numFmtId="219" fontId="66" fillId="10" borderId="432" xfId="3" applyNumberFormat="1" applyFont="1" applyFill="1" applyBorder="1" applyAlignment="1">
      <x:alignment vertical="top" wrapText="1"/>
    </x:xf>
    <x:xf numFmtId="219" fontId="66" fillId="10" borderId="433" xfId="3" applyNumberFormat="1" applyFont="1" applyFill="1" applyBorder="1" applyAlignment="1">
      <x:alignment vertical="top" wrapText="1"/>
    </x:xf>
    <x:xf numFmtId="218" fontId="81" fillId="10" borderId="431" xfId="3" applyNumberFormat="1" applyFont="1" applyFill="1" applyBorder="1" applyAlignment="1">
      <x:alignment vertical="top" wrapText="1"/>
    </x:xf>
    <x:xf numFmtId="218" fontId="71" fillId="10" borderId="420" xfId="3" applyNumberFormat="1" applyFont="1" applyFill="1" applyBorder="1"/>
    <x:xf numFmtId="218" fontId="72" fillId="10" borderId="420" xfId="3" applyNumberFormat="1" applyFont="1" applyFill="1" applyBorder="1"/>
    <x:xf numFmtId="217" fontId="71" fillId="10" borderId="420" xfId="3" applyNumberFormat="1" applyFont="1" applyFill="1" applyBorder="1"/>
    <x:xf numFmtId="220" fontId="72" fillId="10" borderId="420" xfId="3" applyNumberFormat="1" applyFont="1" applyFill="1" applyBorder="1"/>
    <x:xf numFmtId="220" fontId="71" fillId="10" borderId="420" xfId="3" applyNumberFormat="1" applyFont="1" applyFill="1" applyBorder="1"/>
    <x:xf numFmtId="218" fontId="74" fillId="10" borderId="420" xfId="3" applyNumberFormat="1" applyFont="1" applyFill="1" applyBorder="1"/>
    <x:xf numFmtId="218" fontId="73" fillId="10" borderId="420" xfId="3" applyNumberFormat="1" applyFont="1" applyFill="1" applyBorder="1"/>
    <x:xf numFmtId="217" fontId="74" fillId="10" borderId="420" xfId="3" applyNumberFormat="1" applyFont="1" applyFill="1" applyBorder="1"/>
    <x:xf numFmtId="220" fontId="73" fillId="10" borderId="420" xfId="3" applyNumberFormat="1" applyFont="1" applyFill="1" applyBorder="1"/>
    <x:xf numFmtId="220" fontId="74" fillId="10" borderId="420" xfId="3" applyNumberFormat="1" applyFont="1" applyFill="1" applyBorder="1"/>
    <x:xf numFmtId="218" fontId="76" fillId="10" borderId="420" xfId="3" applyNumberFormat="1" applyFont="1" applyFill="1" applyBorder="1"/>
    <x:xf numFmtId="218" fontId="75" fillId="10" borderId="420" xfId="3" applyNumberFormat="1" applyFont="1" applyFill="1" applyBorder="1"/>
    <x:xf numFmtId="217" fontId="76" fillId="10" borderId="420" xfId="3" applyNumberFormat="1" applyFont="1" applyFill="1" applyBorder="1"/>
    <x:xf numFmtId="220" fontId="75" fillId="10" borderId="420" xfId="3" applyNumberFormat="1" applyFont="1" applyFill="1" applyBorder="1"/>
    <x:xf numFmtId="220" fontId="76" fillId="10" borderId="420" xfId="3" applyNumberFormat="1" applyFont="1" applyFill="1" applyBorder="1"/>
    <x:xf numFmtId="218" fontId="76" fillId="10" borderId="420" xfId="3" applyNumberFormat="1" applyFont="1" applyFill="1" applyBorder="1" applyAlignment="1">
      <x:alignment wrapText="1"/>
    </x:xf>
    <x:xf numFmtId="218" fontId="75" fillId="10" borderId="420" xfId="3" applyNumberFormat="1" applyFont="1" applyFill="1" applyBorder="1" applyAlignment="1">
      <x:alignment wrapText="1"/>
    </x:xf>
    <x:xf numFmtId="217" fontId="76" fillId="10" borderId="420" xfId="3" applyNumberFormat="1" applyFont="1" applyFill="1" applyBorder="1" applyAlignment="1">
      <x:alignment wrapText="1"/>
    </x:xf>
    <x:xf numFmtId="220" fontId="75" fillId="10" borderId="420" xfId="3" applyNumberFormat="1" applyFont="1" applyFill="1" applyBorder="1" applyAlignment="1">
      <x:alignment wrapText="1"/>
    </x:xf>
    <x:xf numFmtId="220" fontId="76" fillId="10" borderId="420" xfId="3" applyNumberFormat="1" applyFont="1" applyFill="1" applyBorder="1" applyAlignment="1">
      <x:alignment wrapText="1"/>
    </x:xf>
    <x:xf numFmtId="217" fontId="76" fillId="10" borderId="420" xfId="3" applyNumberFormat="1" applyFont="1" applyFill="1" applyBorder="1" applyAlignment="1">
      <x:alignment vertical="top" wrapText="1"/>
    </x:xf>
    <x:xf numFmtId="220" fontId="75" fillId="10" borderId="420" xfId="3" applyNumberFormat="1" applyFont="1" applyFill="1" applyBorder="1" applyAlignment="1">
      <x:alignment vertical="top" wrapText="1"/>
    </x:xf>
    <x:xf numFmtId="220" fontId="76" fillId="10" borderId="420" xfId="3" applyNumberFormat="1" applyFont="1" applyFill="1" applyBorder="1" applyAlignment="1">
      <x:alignment vertical="top" wrapText="1"/>
    </x:xf>
    <x:xf numFmtId="220" fontId="76" fillId="10" borderId="431" xfId="3" applyNumberFormat="1" applyFont="1" applyFill="1" applyBorder="1" applyAlignment="1">
      <x:alignment vertical="top" wrapText="1"/>
    </x:xf>
    <x:xf numFmtId="217" fontId="76" fillId="10" borderId="432" xfId="3" applyNumberFormat="1" applyFont="1" applyFill="1" applyBorder="1" applyAlignment="1">
      <x:alignment vertical="top" wrapText="1"/>
    </x:xf>
    <x:xf numFmtId="0" fontId="65" fillId="10" borderId="422" xfId="3" applyNumberFormat="1" applyFont="1" applyFill="1" applyBorder="1" applyAlignment="1">
      <x:alignment wrapText="1"/>
    </x:xf>
    <x:xf numFmtId="0" fontId="65" fillId="10" borderId="433" xfId="3" applyNumberFormat="1" applyFont="1" applyFill="1" applyBorder="1" applyAlignment="1">
      <x:alignment wrapText="1"/>
    </x:xf>
    <x:xf numFmtId="0" fontId="65" fillId="10" borderId="423" xfId="3" applyNumberFormat="1" applyFont="1" applyFill="1" applyBorder="1" applyAlignment="1">
      <x:alignment wrapText="1"/>
    </x:xf>
    <x:xf numFmtId="218" fontId="76" fillId="10" borderId="427" xfId="3" applyNumberFormat="1" applyFont="1" applyFill="1" applyBorder="1" applyAlignment="1">
      <x:alignment vertical="top" wrapText="1"/>
    </x:xf>
    <x:xf numFmtId="0" fontId="65" fillId="10" borderId="438" xfId="3" applyNumberFormat="1" applyFont="1" applyFill="1" applyBorder="1" applyAlignment="1">
      <x:alignment vertical="top" wrapText="1"/>
    </x:xf>
    <x:xf numFmtId="0" fontId="65" fillId="10" borderId="439" xfId="3" applyNumberFormat="1" applyFont="1" applyFill="1" applyBorder="1" applyAlignment="1">
      <x:alignment vertical="top" wrapText="1"/>
    </x:xf>
    <x:xf numFmtId="0" fontId="67" fillId="10" borderId="440" xfId="3" applyNumberFormat="1" applyFont="1" applyFill="1" applyBorder="1" applyAlignment="1">
      <x:alignment vertical="top" wrapText="0"/>
    </x:xf>
    <x:xf numFmtId="0" fontId="65" fillId="10" borderId="441" xfId="3" applyNumberFormat="1" applyFont="1" applyFill="1" applyBorder="1" applyAlignment="1">
      <x:alignment vertical="top" wrapText="0"/>
    </x:xf>
    <x:xf numFmtId="0" fontId="66" fillId="12" borderId="442" xfId="3" applyNumberFormat="1" applyFont="1" applyFill="1" applyBorder="1" applyAlignment="1">
      <x:alignment horizontal="center" vertical="top" wrapText="1"/>
    </x:xf>
    <x:xf numFmtId="0" fontId="66" fillId="12" borderId="443" xfId="3" applyNumberFormat="1" applyFont="1" applyFill="1" applyBorder="1" applyAlignment="1">
      <x:alignment horizontal="center" vertical="top" wrapText="1"/>
    </x:xf>
    <x:xf numFmtId="0" fontId="66" fillId="10" borderId="444" xfId="3" applyNumberFormat="1" applyFont="1" applyFill="1" applyBorder="1" applyAlignment="1">
      <x:alignment vertical="top" wrapText="1"/>
    </x:xf>
    <x:xf numFmtId="0" fontId="65" fillId="10" borderId="445" xfId="3" applyNumberFormat="1" applyFont="1" applyFill="1" applyBorder="1" applyAlignment="1">
      <x:alignment vertical="top" wrapText="1"/>
    </x:xf>
    <x:xf numFmtId="0" fontId="66" fillId="10" borderId="446" xfId="3" applyNumberFormat="1" applyFont="1" applyFill="1" applyBorder="1" applyAlignment="1">
      <x:alignment vertical="top" wrapText="1"/>
    </x:xf>
    <x:xf numFmtId="0" fontId="65" fillId="10" borderId="447" xfId="3" applyNumberFormat="1" applyFont="1" applyFill="1" applyBorder="1" applyAlignment="1">
      <x:alignment vertical="top" wrapText="1"/>
    </x:xf>
    <x:xf numFmtId="0" fontId="68" fillId="10" borderId="448" xfId="3" applyNumberFormat="1" applyFont="1" applyFill="1" applyBorder="1" applyAlignment="1">
      <x:alignment vertical="top" wrapText="1"/>
    </x:xf>
    <x:xf numFmtId="217" fontId="69" fillId="10" borderId="449" xfId="3" applyNumberFormat="1" applyFont="1" applyFill="1" applyBorder="1" applyAlignment="1">
      <x:alignment vertical="top" wrapText="1"/>
    </x:xf>
    <x:xf numFmtId="0" fontId="65" fillId="10" borderId="450" xfId="3" applyNumberFormat="1" applyFont="1" applyFill="1" applyBorder="1" applyAlignment="1">
      <x:alignment vertical="top" wrapText="1"/>
    </x:xf>
    <x:xf numFmtId="0" fontId="65" fillId="10" borderId="451" xfId="3" applyNumberFormat="1" applyFont="1" applyFill="1" applyBorder="1" applyAlignment="1">
      <x:alignment vertical="top" wrapText="1"/>
    </x:xf>
    <x:xf numFmtId="0" fontId="66" fillId="10" borderId="452" xfId="3" applyNumberFormat="1" applyFont="1" applyFill="1" applyBorder="1" applyAlignment="1">
      <x:alignment vertical="top" wrapText="1"/>
    </x:xf>
    <x:xf numFmtId="0" fontId="65" fillId="10" borderId="453" xfId="3" applyNumberFormat="1" applyFont="1" applyFill="1" applyBorder="1" applyAlignment="1">
      <x:alignment vertical="top" wrapText="1"/>
    </x:xf>
    <x:xf numFmtId="0" fontId="65" fillId="10" borderId="454" xfId="3" applyNumberFormat="1" applyFont="1" applyFill="1" applyBorder="1" applyAlignment="1">
      <x:alignment vertical="top" wrapText="1"/>
    </x:xf>
    <x:xf numFmtId="0" fontId="65" fillId="10" borderId="455" xfId="3" applyNumberFormat="1" applyFont="1" applyFill="1" applyBorder="1" applyAlignment="1">
      <x:alignment vertical="top" wrapText="1"/>
    </x:xf>
    <x:xf numFmtId="0" fontId="65" fillId="10" borderId="456" xfId="3" applyNumberFormat="1" applyFont="1" applyFill="1" applyBorder="1" applyAlignment="1">
      <x:alignment vertical="top" wrapText="1"/>
    </x:xf>
    <x:xf numFmtId="0" fontId="65" fillId="10" borderId="457" xfId="3" applyNumberFormat="1" applyFont="1" applyFill="1" applyBorder="1" applyAlignment="1">
      <x:alignment vertical="top" wrapText="1"/>
    </x:xf>
    <x:xf numFmtId="0" fontId="66" fillId="12" borderId="458" xfId="3" applyNumberFormat="1" applyFont="1" applyFill="1" applyBorder="1" applyAlignment="1">
      <x:alignment horizontal="center" vertical="top" wrapText="1"/>
    </x:xf>
    <x:xf numFmtId="218" fontId="76" fillId="10" borderId="459" xfId="3" applyNumberFormat="1" applyFont="1" applyFill="1" applyBorder="1" applyAlignment="1">
      <x:alignment vertical="top" wrapText="1"/>
    </x:xf>
    <x:xf numFmtId="219" fontId="65" fillId="10" borderId="460" xfId="3" applyNumberFormat="1" applyFont="1" applyFill="1" applyBorder="1" applyAlignment="1">
      <x:alignment vertical="top" wrapText="1"/>
    </x:xf>
    <x:xf numFmtId="0" fontId="65" fillId="10" borderId="461" xfId="3" applyNumberFormat="1" applyFont="1" applyFill="1" applyBorder="1" applyAlignment="1">
      <x:alignment vertical="top" wrapText="1"/>
    </x:xf>
    <x:xf numFmtId="0" fontId="66" fillId="10" borderId="462" xfId="3" applyNumberFormat="1" applyFont="1" applyFill="1" applyBorder="1" applyAlignment="1">
      <x:alignment vertical="top" wrapText="1"/>
    </x:xf>
    <x:xf numFmtId="218" fontId="81" fillId="10" borderId="463" xfId="3" applyNumberFormat="1" applyFont="1" applyFill="1" applyBorder="1" applyAlignment="1">
      <x:alignment vertical="top" wrapText="1"/>
    </x:xf>
    <x:xf numFmtId="219" fontId="66" fillId="10" borderId="464" xfId="3" applyNumberFormat="1" applyFont="1" applyFill="1" applyBorder="1" applyAlignment="1">
      <x:alignment vertical="top" wrapText="1"/>
    </x:xf>
    <x:xf numFmtId="0" fontId="66" fillId="10" borderId="465" xfId="3" applyNumberFormat="1" applyFont="1" applyFill="1" applyBorder="1" applyAlignment="1">
      <x:alignment vertical="top" wrapText="1"/>
    </x:xf>
    <x:xf numFmtId="0" fontId="66" fillId="10" borderId="466" xfId="3" applyNumberFormat="1" applyFont="1" applyFill="1" applyBorder="1" applyAlignment="1">
      <x:alignment vertical="top" wrapText="1"/>
    </x:xf>
    <x:xf numFmtId="218" fontId="65" fillId="10" borderId="467" xfId="3" applyNumberFormat="1" applyFont="1" applyFill="1" applyBorder="1" applyAlignment="1">
      <x:alignment vertical="top" wrapText="1"/>
    </x:xf>
    <x:xf numFmtId="219" fontId="65" fillId="10" borderId="468" xfId="3" applyNumberFormat="1" applyFont="1" applyFill="1" applyBorder="1" applyAlignment="1">
      <x:alignment vertical="top" wrapText="1"/>
    </x:xf>
    <x:xf numFmtId="218" fontId="66" fillId="12" borderId="469" xfId="3" applyNumberFormat="1" applyFont="1" applyFill="1" applyBorder="1" applyAlignment="1">
      <x:alignment horizontal="center" vertical="top" wrapText="1"/>
    </x:xf>
    <x:xf numFmtId="219" fontId="66" fillId="12" borderId="470" xfId="3" applyNumberFormat="1" applyFont="1" applyFill="1" applyBorder="1" applyAlignment="1">
      <x:alignment horizontal="center" vertical="top" wrapText="1"/>
    </x:xf>
    <x:xf numFmtId="218" fontId="65" fillId="10" borderId="471" xfId="3" applyNumberFormat="1" applyFont="1" applyFill="1" applyBorder="1" applyAlignment="1">
      <x:alignment vertical="top" wrapText="1"/>
    </x:xf>
    <x:xf numFmtId="0" fontId="66" fillId="10" borderId="472" xfId="3" applyNumberFormat="1" applyFont="1" applyFill="1" applyBorder="1" applyAlignment="1">
      <x:alignment vertical="top" wrapText="1"/>
    </x:xf>
    <x:xf numFmtId="218" fontId="81" fillId="10" borderId="473" xfId="3" applyNumberFormat="1" applyFont="1" applyFill="1" applyBorder="1" applyAlignment="1">
      <x:alignment vertical="top" wrapText="1"/>
    </x:xf>
    <x:xf numFmtId="219" fontId="66" fillId="10" borderId="474" xfId="3" applyNumberFormat="1" applyFont="1" applyFill="1" applyBorder="1" applyAlignment="1">
      <x:alignment vertical="top" wrapText="1"/>
    </x:xf>
    <x:xf numFmtId="0" fontId="66" fillId="10" borderId="475" xfId="3" applyNumberFormat="1" applyFont="1" applyFill="1" applyBorder="1" applyAlignment="1">
      <x:alignment vertical="top" wrapText="1"/>
    </x:xf>
    <x:xf numFmtId="0" fontId="66" fillId="10" borderId="476" xfId="3" applyNumberFormat="1" applyFont="1" applyFill="1" applyBorder="1" applyAlignment="1">
      <x:alignment vertical="top" wrapText="1"/>
    </x:xf>
    <x:xf numFmtId="218" fontId="65" fillId="10" borderId="477" xfId="3" applyNumberFormat="1" applyFont="1" applyFill="1" applyBorder="1" applyAlignment="1">
      <x:alignment vertical="top" wrapText="1"/>
    </x:xf>
    <x:xf numFmtId="219" fontId="65" fillId="10" borderId="478" xfId="3" applyNumberFormat="1" applyFont="1" applyFill="1" applyBorder="1" applyAlignment="1">
      <x:alignment vertical="top" wrapText="1"/>
    </x:xf>
    <x:xf numFmtId="0" fontId="65" fillId="10" borderId="479" xfId="3" applyNumberFormat="1" applyFont="1" applyFill="1" applyBorder="1" applyAlignment="1">
      <x:alignment vertical="top" wrapText="1"/>
    </x:xf>
    <x:xf numFmtId="0" fontId="65" fillId="10" borderId="480" xfId="3" applyNumberFormat="1" applyFont="1" applyFill="1" applyBorder="1" applyAlignment="1">
      <x:alignment vertical="top" wrapText="1"/>
    </x:xf>
    <x:xf numFmtId="218" fontId="65" fillId="10" borderId="481" xfId="3" applyNumberFormat="1" applyFont="1" applyFill="1" applyBorder="1" applyAlignment="1">
      <x:alignment vertical="top" wrapText="1"/>
    </x:xf>
    <x:xf numFmtId="219" fontId="65" fillId="10" borderId="482" xfId="3" applyNumberFormat="1" applyFont="1" applyFill="1" applyBorder="1" applyAlignment="1">
      <x:alignment vertical="top" wrapText="1"/>
    </x:xf>
    <x:xf numFmtId="0" fontId="65" fillId="10" borderId="483" xfId="3" applyNumberFormat="1" applyFont="1" applyFill="1" applyBorder="1" applyAlignment="1">
      <x:alignment vertical="top" wrapText="1"/>
    </x:xf>
    <x:xf numFmtId="0" fontId="65" fillId="10" borderId="484" xfId="3" applyNumberFormat="1" applyFont="1" applyFill="1" applyBorder="1" applyAlignment="1">
      <x:alignment vertical="top" wrapText="1"/>
    </x:xf>
    <x:xf numFmtId="0" fontId="67" fillId="10" borderId="485" xfId="3" applyNumberFormat="1" applyFont="1" applyFill="1" applyBorder="1" applyAlignment="1">
      <x:alignment vertical="top" wrapText="1"/>
    </x:xf>
    <x:xf numFmtId="0" fontId="79" fillId="10" borderId="486" xfId="3" applyNumberFormat="1" applyFont="1" applyFill="1" applyBorder="1" applyAlignment="1">
      <x:alignment vertical="top" wrapText="1"/>
    </x:xf>
    <x:xf numFmtId="218" fontId="83" fillId="10" borderId="487" xfId="3" applyNumberFormat="1" applyFont="1" applyFill="1" applyBorder="1" applyAlignment="1">
      <x:alignment vertical="top" wrapText="1"/>
    </x:xf>
    <x:xf numFmtId="0" fontId="79" fillId="10" borderId="488" xfId="3" applyNumberFormat="1" applyFont="1" applyFill="1" applyBorder="1" applyAlignment="1">
      <x:alignment vertical="top" wrapText="1"/>
    </x:xf>
    <x:xf numFmtId="217" fontId="76" fillId="10" borderId="489" xfId="3" applyNumberFormat="1" applyFont="1" applyFill="1" applyBorder="1" applyAlignment="1">
      <x:alignment vertical="top" wrapText="1"/>
    </x:xf>
    <x:xf numFmtId="220" fontId="75" fillId="10" borderId="490" xfId="3" applyNumberFormat="1" applyFont="1" applyFill="1" applyBorder="1" applyAlignment="1">
      <x:alignment vertical="top" wrapText="1"/>
    </x:xf>
    <x:xf numFmtId="217" fontId="75" fillId="10" borderId="491" xfId="3" applyNumberFormat="1" applyFont="1" applyFill="1" applyBorder="1" applyAlignment="1">
      <x:alignment vertical="top" wrapText="1"/>
    </x:xf>
    <x:xf numFmtId="0" fontId="79" fillId="10" borderId="492" xfId="3" applyNumberFormat="1" applyFont="1" applyFill="1" applyBorder="1" applyAlignment="1">
      <x:alignment vertical="top" wrapText="1"/>
    </x:xf>
    <x:xf numFmtId="0" fontId="66" fillId="12" borderId="493" xfId="3" applyNumberFormat="1" applyFont="1" applyFill="1" applyBorder="1" applyAlignment="1">
      <x:alignment horizontal="center" vertical="top" wrapText="1"/>
    </x:xf>
    <x:xf numFmtId="0" fontId="76" fillId="10" borderId="494" xfId="3" applyNumberFormat="1" applyFont="1" applyFill="1" applyBorder="1" applyAlignment="1">
      <x:alignment vertical="top" wrapText="1"/>
    </x:xf>
    <x:xf numFmtId="0" fontId="76" fillId="10" borderId="495" xfId="3" applyNumberFormat="1" applyFont="1" applyFill="1" applyBorder="1" applyAlignment="1">
      <x:alignment vertical="top" wrapText="1"/>
    </x:xf>
    <x:xf numFmtId="0" fontId="76" fillId="10" borderId="496" xfId="3" applyNumberFormat="1" applyFont="1" applyFill="1" applyBorder="1" applyAlignment="1">
      <x:alignment vertical="top" wrapText="1"/>
    </x:xf>
    <x:xf numFmtId="0" fontId="76" fillId="10" borderId="497" xfId="3" applyNumberFormat="1" applyFont="1" applyFill="1" applyBorder="1" applyAlignment="1">
      <x:alignment vertical="top" wrapText="1"/>
    </x:xf>
    <x:xf numFmtId="0" fontId="76" fillId="10" borderId="498" xfId="3" applyNumberFormat="1" applyFont="1" applyFill="1" applyBorder="1" applyAlignment="1">
      <x:alignment vertical="top" wrapText="1"/>
    </x:xf>
    <x:xf numFmtId="0" fontId="76" fillId="10" borderId="499" xfId="3" applyNumberFormat="1" applyFont="1" applyFill="1" applyBorder="1" applyAlignment="1">
      <x:alignment vertical="top" wrapText="1"/>
    </x:xf>
    <x:xf numFmtId="0" fontId="82" fillId="10" borderId="500" xfId="3" applyNumberFormat="1" applyFont="1" applyFill="1" applyBorder="1" applyAlignment="1">
      <x:alignment vertical="top" wrapText="1"/>
    </x:xf>
    <x:xf numFmtId="218" fontId="76" fillId="10" borderId="501" xfId="3" applyNumberFormat="1" applyFont="1" applyFill="1" applyBorder="1" applyAlignment="1">
      <x:alignment vertical="top" wrapText="1"/>
    </x:xf>
    <x:xf numFmtId="218" fontId="66" fillId="10" borderId="502" xfId="3" applyNumberFormat="1" applyFont="1" applyFill="1" applyBorder="1" applyAlignment="1">
      <x:alignment vertical="top" wrapText="1"/>
    </x:xf>
    <x:xf numFmtId="218" fontId="66" fillId="10" borderId="503" xfId="3" applyNumberFormat="1" applyFont="1" applyFill="1" applyBorder="1" applyAlignment="1">
      <x:alignment vertical="top" wrapText="1"/>
    </x:xf>
    <x:xf numFmtId="218" fontId="65" fillId="10" borderId="504" xfId="3" applyNumberFormat="1" applyFont="1" applyFill="1" applyBorder="1" applyAlignment="1">
      <x:alignment vertical="top" wrapText="1"/>
    </x:xf>
    <x:xf numFmtId="218" fontId="65" fillId="10" borderId="505" xfId="3" applyNumberFormat="1" applyFont="1" applyFill="1" applyBorder="1" applyAlignment="1">
      <x:alignment vertical="top" wrapText="1"/>
    </x:xf>
    <x:xf numFmtId="218" fontId="66" fillId="10" borderId="506" xfId="3" applyNumberFormat="1" applyFont="1" applyFill="1" applyBorder="1" applyAlignment="1">
      <x:alignment vertical="top" wrapText="1"/>
    </x:xf>
    <x:xf numFmtId="218" fontId="66" fillId="10" borderId="507" xfId="3" applyNumberFormat="1" applyFont="1" applyFill="1" applyBorder="1" applyAlignment="1">
      <x:alignment vertical="top" wrapText="1"/>
    </x:xf>
    <x:xf numFmtId="218" fontId="65" fillId="10" borderId="508" xfId="3" applyNumberFormat="1" applyFont="1" applyFill="1" applyBorder="1" applyAlignment="1">
      <x:alignment vertical="top" wrapText="1"/>
    </x:xf>
    <x:xf numFmtId="218" fontId="76" fillId="10" borderId="509" xfId="3" applyNumberFormat="1" applyFont="1" applyFill="1" applyBorder="1" applyAlignment="1">
      <x:alignment vertical="top" wrapText="1"/>
    </x:xf>
    <x:xf numFmtId="218" fontId="76" fillId="10" borderId="510" xfId="3" applyNumberFormat="1" applyFont="1" applyFill="1" applyBorder="1" applyAlignment="1">
      <x:alignment vertical="top" wrapText="1"/>
    </x:xf>
    <x:xf numFmtId="218" fontId="66" fillId="10" borderId="511" xfId="3" applyNumberFormat="1" applyFont="1" applyFill="1" applyBorder="1" applyAlignment="1">
      <x:alignment vertical="top" wrapText="1"/>
    </x:xf>
    <x:xf numFmtId="218" fontId="66" fillId="10" borderId="512" xfId="3" applyNumberFormat="1" applyFont="1" applyFill="1" applyBorder="1" applyAlignment="1">
      <x:alignment vertical="top" wrapText="1"/>
    </x:xf>
    <x:xf numFmtId="217" fontId="66" fillId="10" borderId="513" xfId="3" applyNumberFormat="1" applyFont="1" applyFill="1" applyBorder="1" applyAlignment="1">
      <x:alignment vertical="top" wrapText="1"/>
    </x:xf>
    <x:xf numFmtId="218" fontId="75" fillId="10" borderId="514" xfId="3" applyNumberFormat="1" applyFont="1" applyFill="1" applyBorder="1" applyAlignment="1">
      <x:alignment vertical="top" wrapText="1"/>
    </x:xf>
    <x:xf numFmtId="220" fontId="76" fillId="10" borderId="515" xfId="3" applyNumberFormat="1" applyFont="1" applyFill="1" applyBorder="1" applyAlignment="1">
      <x:alignment vertical="top" wrapText="1"/>
    </x:xf>
    <x:xf numFmtId="217" fontId="76" fillId="10" borderId="516" xfId="3" applyNumberFormat="1" applyFont="1" applyFill="1" applyBorder="1" applyAlignment="1">
      <x:alignment vertical="top" wrapText="1"/>
    </x:xf>
    <x:xf numFmtId="0" fontId="65" fillId="10" borderId="517" xfId="3" applyNumberFormat="1" applyFont="1" applyFill="1" applyBorder="1"/>
    <x:xf numFmtId="218" fontId="76" fillId="10" borderId="518" xfId="3" applyNumberFormat="1" applyFont="1" applyFill="1" applyBorder="1" applyAlignment="1">
      <x:alignment vertical="top" wrapText="1"/>
    </x:xf>
    <x:xf numFmtId="218" fontId="76" fillId="10" borderId="519" xfId="3" applyNumberFormat="1" applyFont="1" applyFill="1" applyBorder="1" applyAlignment="1">
      <x:alignment vertical="top" wrapText="1"/>
    </x:xf>
    <x:xf numFmtId="218" fontId="76" fillId="10" borderId="520" xfId="3" applyNumberFormat="1" applyFont="1" applyFill="1" applyBorder="1" applyAlignment="1">
      <x:alignment vertical="top" wrapText="1"/>
    </x:xf>
    <x:xf numFmtId="0" fontId="65" fillId="10" borderId="521" xfId="3" applyNumberFormat="1" applyFont="1" applyFill="1" applyBorder="1" applyAlignment="1">
      <x:alignment vertical="top" wrapText="1"/>
    </x:xf>
    <x:xf numFmtId="0" fontId="66" fillId="10" borderId="522" xfId="3" applyNumberFormat="1" applyFont="1" applyFill="1" applyBorder="1" applyAlignment="1">
      <x:alignment vertical="top" wrapText="1"/>
    </x:xf>
    <x:xf numFmtId="0" fontId="66" fillId="10" borderId="523" xfId="3" applyNumberFormat="1" applyFont="1" applyFill="1" applyBorder="1" applyAlignment="1">
      <x:alignment vertical="top" wrapText="1"/>
    </x:xf>
    <x:xf numFmtId="0" fontId="65" fillId="10" borderId="524" xfId="3" applyNumberFormat="1" applyFont="1" applyFill="1" applyBorder="1" applyAlignment="1">
      <x:alignment vertical="top" wrapText="1"/>
    </x:xf>
    <x:xf numFmtId="218" fontId="65" fillId="10" borderId="525" xfId="3" applyNumberFormat="1" applyFont="1" applyFill="1" applyBorder="1" applyAlignment="1">
      <x:alignment vertical="top" wrapText="1"/>
    </x:xf>
    <x:xf numFmtId="0" fontId="65" fillId="10" borderId="526" xfId="3" applyNumberFormat="1" applyFont="1" applyFill="1" applyBorder="1" applyAlignment="1">
      <x:alignment vertical="top" wrapText="1"/>
    </x:xf>
    <x:xf numFmtId="218" fontId="65" fillId="10" borderId="527" xfId="3" applyNumberFormat="1" applyFont="1" applyFill="1" applyBorder="1" applyAlignment="1">
      <x:alignment vertical="top" wrapText="1"/>
    </x:xf>
    <x:xf numFmtId="0" fontId="65" fillId="10" borderId="528" xfId="3" applyNumberFormat="1" applyFont="1" applyFill="1" applyBorder="1" applyAlignment="1">
      <x:alignment vertical="top" wrapText="1"/>
    </x:xf>
    <x:xf numFmtId="0" fontId="65" fillId="10" borderId="529" xfId="3" applyNumberFormat="1" applyFont="1" applyFill="1" applyBorder="1" applyAlignment="1">
      <x:alignment vertical="top" wrapText="1"/>
    </x:xf>
    <x:xf numFmtId="0" fontId="65" fillId="10" borderId="530" xfId="3" applyNumberFormat="1" applyFont="1" applyFill="1" applyBorder="1" applyAlignment="1">
      <x:alignment vertical="top" wrapText="1"/>
    </x:xf>
    <x:xf numFmtId="218" fontId="76" fillId="10" borderId="531" xfId="3" applyNumberFormat="1" applyFont="1" applyFill="1" applyBorder="1" applyAlignment="1">
      <x:alignment vertical="top" wrapText="1"/>
    </x:xf>
    <x:xf numFmtId="0" fontId="65" fillId="10" borderId="532" xfId="3" applyNumberFormat="1" applyFont="1" applyFill="1" applyBorder="1" applyAlignment="1">
      <x:alignment vertical="top" wrapText="1"/>
    </x:xf>
    <x:xf numFmtId="0" fontId="65" fillId="10" borderId="533" xfId="3" applyNumberFormat="1" applyFont="1" applyFill="1" applyBorder="1" applyAlignment="1">
      <x:alignment vertical="top" wrapText="1"/>
    </x:xf>
    <x:xf numFmtId="0" fontId="65" fillId="10" borderId="534" xfId="3" applyNumberFormat="1" applyFont="1" applyFill="1" applyBorder="1" applyAlignment="1">
      <x:alignment vertical="top" wrapText="1"/>
    </x:xf>
    <x:xf numFmtId="219" fontId="76" fillId="10" borderId="535" xfId="3" applyNumberFormat="1" applyFont="1" applyFill="1" applyBorder="1" applyAlignment="1">
      <x:alignment vertical="top" wrapText="1"/>
    </x:xf>
    <x:xf numFmtId="221" fontId="76" fillId="10" borderId="536" xfId="3" applyNumberFormat="1" applyFont="1" applyFill="1" applyBorder="1" applyAlignment="1">
      <x:alignment vertical="top" wrapText="1"/>
    </x:xf>
    <x:xf numFmtId="218" fontId="78" fillId="10" borderId="537" xfId="3" applyNumberFormat="1" applyFont="1" applyFill="1" applyBorder="1" applyAlignment="1">
      <x:alignment vertical="top" wrapText="1"/>
    </x:xf>
    <x:xf numFmtId="219" fontId="65" fillId="10" borderId="538" xfId="3" applyNumberFormat="1" applyFont="1" applyFill="1" applyBorder="1" applyAlignment="1">
      <x:alignment vertical="top" wrapText="1"/>
    </x:xf>
    <x:xf numFmtId="0" fontId="65" fillId="10" borderId="539" xfId="3" applyNumberFormat="1" applyFont="1" applyFill="1" applyBorder="1" applyAlignment="1">
      <x:alignment vertical="top" wrapText="1"/>
    </x:xf>
    <x:xf numFmtId="218" fontId="78" fillId="10" borderId="540" xfId="3" applyNumberFormat="1" applyFont="1" applyFill="1" applyBorder="1" applyAlignment="1">
      <x:alignment vertical="top" wrapText="1"/>
    </x:xf>
    <x:xf numFmtId="0" fontId="65" fillId="10" borderId="541" xfId="3" applyNumberFormat="1" applyFont="1" applyFill="1" applyBorder="1" applyAlignment="1">
      <x:alignment vertical="top" wrapText="1"/>
    </x:xf>
    <x:xf numFmtId="0" fontId="65" fillId="10" borderId="542" xfId="3" applyNumberFormat="1" applyFont="1" applyFill="1" applyBorder="1" applyAlignment="1">
      <x:alignment vertical="top" wrapText="1"/>
    </x:xf>
    <x:xf numFmtId="0" fontId="66" fillId="12" borderId="543" xfId="3" applyNumberFormat="1" applyFont="1" applyFill="1" applyBorder="1" applyAlignment="1">
      <x:alignment horizontal="center" vertical="top" wrapText="1"/>
    </x:xf>
    <x:xf numFmtId="221" fontId="78" fillId="10" borderId="544" xfId="3" applyNumberFormat="1" applyFont="1" applyFill="1" applyBorder="1" applyAlignment="1">
      <x:alignment vertical="top" wrapText="1"/>
    </x:xf>
    <x:xf numFmtId="221" fontId="78" fillId="10" borderId="545" xfId="3" applyNumberFormat="1" applyFont="1" applyFill="1" applyBorder="1" applyAlignment="1">
      <x:alignment vertical="top" wrapText="1"/>
    </x:xf>
    <x:xf numFmtId="221" fontId="78" fillId="10" borderId="546" xfId="3" applyNumberFormat="1" applyFont="1" applyFill="1" applyBorder="1" applyAlignment="1">
      <x:alignment vertical="top" wrapText="1"/>
    </x:xf>
    <x:xf numFmtId="221" fontId="78" fillId="10" borderId="547" xfId="3" applyNumberFormat="1" applyFont="1" applyFill="1" applyBorder="1" applyAlignment="1">
      <x:alignment vertical="top" wrapText="1"/>
    </x:xf>
    <x:xf numFmtId="219" fontId="65" fillId="10" borderId="548" xfId="3" applyNumberFormat="1" applyFont="1" applyFill="1" applyBorder="1" applyAlignment="1">
      <x:alignment vertical="top" wrapText="1"/>
    </x:xf>
    <x:xf numFmtId="221" fontId="78" fillId="10" borderId="549" xfId="3" applyNumberFormat="1" applyFont="1" applyFill="1" applyBorder="1" applyAlignment="1">
      <x:alignment vertical="top" wrapText="1"/>
    </x:xf>
    <x:xf numFmtId="221" fontId="78" fillId="10" borderId="550" xfId="3" applyNumberFormat="1" applyFont="1" applyFill="1" applyBorder="1" applyAlignment="1">
      <x:alignment vertical="top" wrapText="1"/>
    </x:xf>
    <x:xf numFmtId="0" fontId="66" fillId="12" borderId="551" xfId="3" applyNumberFormat="1" applyFont="1" applyFill="1" applyBorder="1" applyAlignment="1">
      <x:alignment horizontal="center" vertical="top" wrapText="1"/>
    </x:xf>
    <x:xf numFmtId="0" fontId="65" fillId="10" borderId="552" xfId="3" applyNumberFormat="1" applyFont="1" applyFill="1" applyBorder="1" applyAlignment="1">
      <x:alignment vertical="top" wrapText="1"/>
    </x:xf>
    <x:xf numFmtId="0" fontId="65" fillId="10" borderId="553" xfId="3" applyNumberFormat="1" applyFont="1" applyFill="1" applyBorder="1" applyAlignment="1">
      <x:alignment vertical="top" wrapText="1"/>
    </x:xf>
    <x:xf numFmtId="218" fontId="78" fillId="10" borderId="554" xfId="3" applyNumberFormat="1" applyFont="1" applyFill="1" applyBorder="1" applyAlignment="1">
      <x:alignment vertical="top" wrapText="1"/>
    </x:xf>
    <x:xf numFmtId="218" fontId="78" fillId="10" borderId="555" xfId="3" applyNumberFormat="1" applyFont="1" applyFill="1" applyBorder="1" applyAlignment="1">
      <x:alignment vertical="top" wrapText="1"/>
    </x:xf>
    <x:xf numFmtId="0" fontId="65" fillId="10" borderId="556" xfId="3" applyNumberFormat="1" applyFont="1" applyFill="1" applyBorder="1" applyAlignment="1">
      <x:alignment vertical="top" wrapText="1"/>
    </x:xf>
    <x:xf numFmtId="0" fontId="65" fillId="10" borderId="557" xfId="3" applyNumberFormat="1" applyFont="1" applyFill="1" applyBorder="1" applyAlignment="1">
      <x:alignment wrapText="1"/>
    </x:xf>
    <x:xf numFmtId="0" fontId="65" fillId="10" borderId="558" xfId="3" applyNumberFormat="1" applyFont="1" applyFill="1" applyBorder="1" applyAlignment="1">
      <x:alignment wrapText="1"/>
    </x:xf>
    <x:xf numFmtId="0" fontId="65" fillId="10" borderId="559" xfId="3" applyNumberFormat="1" applyFont="1" applyFill="1" applyBorder="1" applyAlignment="1">
      <x:alignment wrapText="1"/>
    </x:xf>
    <x:xf numFmtId="222" fontId="65" fillId="10" borderId="420" xfId="3" applyNumberFormat="1" applyFont="1" applyFill="1" applyBorder="1" applyAlignment="1">
      <x:alignment vertical="top" wrapText="1"/>
    </x:xf>
    <x:xf numFmtId="0" fontId="65" fillId="13" borderId="420" xfId="3" applyNumberFormat="1" applyFont="1" applyFill="1" applyBorder="1" applyAlignment="1">
      <x:alignment vertical="top" wrapText="1"/>
    </x:xf>
    <x:xf numFmtId="0" fontId="66" fillId="13" borderId="420" xfId="3" applyNumberFormat="1" applyFont="1" applyFill="1" applyBorder="1" applyAlignment="1">
      <x:alignment vertical="top" wrapText="1"/>
    </x:xf>
    <x:xf numFmtId="0" fontId="66" fillId="13" borderId="420" xfId="3" applyNumberFormat="1" applyFont="1" applyFill="1" applyBorder="1" applyAlignment="1">
      <x:alignment horizontal="center" vertical="top" wrapText="1"/>
    </x:xf>
    <x:xf numFmtId="0" fontId="66" fillId="13" borderId="421" xfId="3" applyNumberFormat="1" applyFont="1" applyFill="1" applyBorder="1" applyAlignment="1">
      <x:alignment horizontal="center" vertical="top" wrapText="1"/>
    </x:xf>
    <x:xf numFmtId="223" fontId="76" fillId="10" borderId="420" xfId="3" applyNumberFormat="1" applyFont="1" applyFill="1" applyBorder="1" applyAlignment="1">
      <x:alignment vertical="top" wrapText="1"/>
    </x:xf>
    <x:xf numFmtId="223" fontId="75" fillId="10" borderId="420" xfId="3" applyNumberFormat="1" applyFont="1" applyFill="1" applyBorder="1" applyAlignment="1">
      <x:alignment vertical="top" wrapText="1"/>
    </x:xf>
    <x:xf numFmtId="0" fontId="66" fillId="13" borderId="422" xfId="3" applyNumberFormat="1" applyFont="1" applyFill="1" applyBorder="1" applyAlignment="1">
      <x:alignment horizontal="center" vertical="top" wrapText="1"/>
    </x:xf>
    <x:xf numFmtId="0" fontId="66" fillId="13" borderId="433" xfId="3" applyNumberFormat="1" applyFont="1" applyFill="1" applyBorder="1" applyAlignment="1">
      <x:alignment horizontal="center" vertical="top" wrapText="1"/>
    </x:xf>
    <x:xf numFmtId="0" fontId="66" fillId="13" borderId="423" xfId="3" applyNumberFormat="1" applyFont="1" applyFill="1" applyBorder="1" applyAlignment="1">
      <x:alignment horizontal="center" vertical="top" wrapText="1"/>
    </x:xf>
    <x:xf numFmtId="223" fontId="76" fillId="10" borderId="431" xfId="3" applyNumberFormat="1" applyFont="1" applyFill="1" applyBorder="1" applyAlignment="1">
      <x:alignment vertical="top" wrapText="1"/>
    </x:xf>
    <x:xf numFmtId="223" fontId="76" fillId="10" borderId="425" xfId="3" applyNumberFormat="1" applyFont="1" applyFill="1" applyBorder="1" applyAlignment="1">
      <x:alignment vertical="top" wrapText="1"/>
    </x:xf>
    <x:xf numFmtId="223" fontId="75" fillId="10" borderId="432" xfId="3" applyNumberFormat="1" applyFont="1" applyFill="1" applyBorder="1" applyAlignment="1">
      <x:alignment vertical="top" wrapText="1"/>
    </x:xf>
    <x:xf numFmtId="223" fontId="75" fillId="10" borderId="427" xfId="3" applyNumberFormat="1" applyFont="1" applyFill="1" applyBorder="1" applyAlignment="1">
      <x:alignment vertical="top" wrapText="1"/>
    </x:xf>
    <x:xf numFmtId="223" fontId="75" fillId="10" borderId="433" xfId="3" applyNumberFormat="1" applyFont="1" applyFill="1" applyBorder="1" applyAlignment="1">
      <x:alignment vertical="top" wrapText="1"/>
    </x:xf>
    <x:xf numFmtId="223" fontId="75" fillId="10" borderId="423" xfId="3" applyNumberFormat="1" applyFont="1" applyFill="1" applyBorder="1" applyAlignment="1">
      <x:alignment vertical="top" wrapText="1"/>
    </x:xf>
    <x:xf numFmtId="223" fontId="65" fillId="10" borderId="420" xfId="3" applyNumberFormat="1" applyFont="1" applyFill="1" applyBorder="1" applyAlignment="1">
      <x:alignment vertical="top" wrapText="1"/>
    </x:xf>
    <x:xf numFmtId="223" fontId="78" fillId="10" borderId="420" xfId="3" applyNumberFormat="1" applyFont="1" applyFill="1" applyBorder="1" applyAlignment="1">
      <x:alignment vertical="top" wrapText="1"/>
    </x:xf>
    <x:xf numFmtId="223" fontId="78" fillId="10" borderId="431" xfId="3" applyNumberFormat="1" applyFont="1" applyFill="1" applyBorder="1" applyAlignment="1">
      <x:alignment vertical="top" wrapText="1"/>
    </x:xf>
    <x:xf numFmtId="222" fontId="65" fillId="10" borderId="431" xfId="3" applyNumberFormat="1" applyFont="1" applyFill="1" applyBorder="1" applyAlignment="1">
      <x:alignment vertical="top" wrapText="1"/>
    </x:xf>
    <x:xf numFmtId="223" fontId="78" fillId="10" borderId="432" xfId="3" applyNumberFormat="1" applyFont="1" applyFill="1" applyBorder="1" applyAlignment="1">
      <x:alignment vertical="top" wrapText="1"/>
    </x:xf>
    <x:xf numFmtId="222" fontId="65" fillId="10" borderId="432" xfId="3" applyNumberFormat="1" applyFont="1" applyFill="1" applyBorder="1" applyAlignment="1">
      <x:alignment vertical="top" wrapText="1"/>
    </x:xf>
    <x:xf numFmtId="0" fontId="65" fillId="13" borderId="428" xfId="3" applyNumberFormat="1" applyFont="1" applyFill="1" applyBorder="1" applyAlignment="1">
      <x:alignment vertical="top" wrapText="1"/>
    </x:xf>
    <x:xf numFmtId="0" fontId="65" fillId="13" borderId="429" xfId="3" applyNumberFormat="1" applyFont="1" applyFill="1" applyBorder="1" applyAlignment="1">
      <x:alignment vertical="top" wrapText="1"/>
    </x:xf>
    <x:xf numFmtId="0" fontId="65" fillId="13" borderId="430" xfId="3" applyNumberFormat="1" applyFont="1" applyFill="1" applyBorder="1" applyAlignment="1">
      <x:alignment vertical="top" wrapText="1"/>
    </x:xf>
    <x:xf numFmtId="0" fontId="66" fillId="13" borderId="428" xfId="3" applyNumberFormat="1" applyFont="1" applyFill="1" applyBorder="1" applyAlignment="1">
      <x:alignment vertical="top" wrapText="1"/>
    </x:xf>
    <x:xf numFmtId="0" fontId="66" fillId="13" borderId="429" xfId="3" applyNumberFormat="1" applyFont="1" applyFill="1" applyBorder="1" applyAlignment="1">
      <x:alignment vertical="top" wrapText="1"/>
    </x:xf>
    <x:xf numFmtId="0" fontId="66" fillId="13" borderId="430" xfId="3" applyNumberFormat="1" applyFont="1" applyFill="1" applyBorder="1" applyAlignment="1">
      <x:alignment vertical="top" wrapText="1"/>
    </x:xf>
    <x:xf numFmtId="0" fontId="66" fillId="13" borderId="428" xfId="3" applyNumberFormat="1" applyFont="1" applyFill="1" applyBorder="1" applyAlignment="1">
      <x:alignment horizontal="center" vertical="top" wrapText="1"/>
    </x:xf>
    <x:xf numFmtId="0" fontId="66" fillId="13" borderId="429" xfId="3" applyNumberFormat="1" applyFont="1" applyFill="1" applyBorder="1" applyAlignment="1">
      <x:alignment horizontal="center" vertical="top" wrapText="1"/>
    </x:xf>
    <x:xf numFmtId="0" fontId="66" fillId="13" borderId="430" xfId="3" applyNumberFormat="1" applyFont="1" applyFill="1" applyBorder="1" applyAlignment="1">
      <x:alignment horizontal="center" vertical="top" wrapText="1"/>
    </x:xf>
    <x:xf numFmtId="0" fontId="63" fillId="10" borderId="420" xfId="3" applyNumberFormat="1" applyFont="1" applyFill="1" applyBorder="1" applyAlignment="1">
      <x:alignment wrapText="1"/>
    </x:xf>
    <x:xf numFmtId="0" fontId="63" fillId="10" borderId="426" xfId="3" applyNumberFormat="1" applyFont="1" applyFill="1" applyBorder="1" applyAlignment="1">
      <x:alignment wrapText="1"/>
    </x:xf>
    <x:xf numFmtId="0" fontId="63" fillId="10" borderId="427" xfId="3" applyNumberFormat="1" applyFont="1" applyFill="1" applyBorder="1" applyAlignment="1">
      <x:alignment wrapText="1"/>
    </x:xf>
    <x:xf numFmtId="0" fontId="63" fillId="10" borderId="426" xfId="3" applyNumberFormat="1" applyFont="1" applyFill="1" applyBorder="1"/>
    <x:xf numFmtId="0" fontId="63" fillId="10" borderId="427" xfId="3" applyNumberFormat="1" applyFont="1" applyFill="1" applyBorder="1"/>
    <x:xf numFmtId="222" fontId="44" fillId="7" borderId="280" xfId="2" applyNumberFormat="1" applyFont="1" applyFill="1" applyBorder="1" applyAlignment="1">
      <x:alignment vertical="top" wrapText="1"/>
    </x:xf>
    <x:xf numFmtId="223" fontId="55" fillId="7" borderId="291" xfId="2" applyNumberFormat="1" applyFont="1" applyFill="1" applyBorder="1" applyAlignment="1">
      <x:alignment vertical="top" wrapText="1"/>
    </x:xf>
    <x:xf numFmtId="223" fontId="55" fillId="7" borderId="285" xfId="2" applyNumberFormat="1" applyFont="1" applyFill="1" applyBorder="1" applyAlignment="1">
      <x:alignment vertical="top" wrapText="1"/>
    </x:xf>
    <x:xf numFmtId="223" fontId="54" fillId="7" borderId="293" xfId="2" applyNumberFormat="1" applyFont="1" applyFill="1" applyBorder="1" applyAlignment="1">
      <x:alignment vertical="top" wrapText="1"/>
    </x:xf>
    <x:xf numFmtId="223" fontId="54" fillId="7" borderId="283" xfId="2" applyNumberFormat="1" applyFont="1" applyFill="1" applyBorder="1" applyAlignment="1">
      <x:alignment vertical="top" wrapText="1"/>
    </x:xf>
    <x:xf numFmtId="0" fontId="45" fillId="7" borderId="280" xfId="2" applyNumberFormat="1" applyFont="1" applyFill="1" applyBorder="1" applyAlignment="1">
      <x:alignment vertical="top" wrapText="0"/>
    </x:xf>
    <x:xf numFmtId="0" fontId="45" fillId="14" borderId="282" xfId="2" applyNumberFormat="1" applyFont="1" applyFill="1" applyBorder="1" applyAlignment="1">
      <x:alignment horizontal="center" vertical="top" wrapText="1"/>
    </x:xf>
    <x:xf numFmtId="0" fontId="45" fillId="14" borderId="293" xfId="2" applyNumberFormat="1" applyFont="1" applyFill="1" applyBorder="1" applyAlignment="1">
      <x:alignment horizontal="center" vertical="top" wrapText="1"/>
    </x:xf>
    <x:xf numFmtId="0" fontId="45" fillId="14" borderId="283" xfId="2" applyNumberFormat="1" applyFont="1" applyFill="1" applyBorder="1" applyAlignment="1">
      <x:alignment horizontal="center" vertical="top" wrapText="1"/>
    </x:xf>
    <x:xf numFmtId="223" fontId="57" fillId="7" borderId="291" xfId="2" applyNumberFormat="1" applyFont="1" applyFill="1" applyBorder="1" applyAlignment="1">
      <x:alignment vertical="top" wrapText="1"/>
    </x:xf>
    <x:xf numFmtId="222" fontId="44" fillId="7" borderId="291" xfId="2" applyNumberFormat="1" applyFont="1" applyFill="1" applyBorder="1" applyAlignment="1">
      <x:alignment vertical="top" wrapText="1"/>
    </x:xf>
    <x:xf numFmtId="223" fontId="57" fillId="7" borderId="292" xfId="2" applyNumberFormat="1" applyFont="1" applyFill="1" applyBorder="1" applyAlignment="1">
      <x:alignment vertical="top" wrapText="1"/>
    </x:xf>
    <x:xf numFmtId="222" fontId="44" fillId="7" borderId="292" xfId="2" applyNumberFormat="1" applyFont="1" applyFill="1" applyBorder="1" applyAlignment="1">
      <x:alignment vertical="top" wrapText="1"/>
    </x:xf>
    <x:xf numFmtId="0" fontId="42" fillId="7" borderId="286" xfId="2" applyNumberFormat="1" applyFont="1" applyFill="1" applyBorder="1" applyAlignment="1">
      <x:alignment wrapText="1"/>
    </x:xf>
    <x:xf numFmtId="0" fontId="42" fillId="7" borderId="287" xfId="2" applyNumberFormat="1" applyFont="1" applyFill="1" applyBorder="1" applyAlignment="1">
      <x:alignment wrapText="1"/>
    </x:xf>
    <x:xf numFmtId="0" fontId="42" fillId="7" borderId="286" xfId="2" applyNumberFormat="1" applyFont="1" applyFill="1" applyBorder="1" applyAlignment="1">
      <x:alignment vertical="top" wrapText="1"/>
    </x:xf>
    <x:xf numFmtId="0" fontId="42" fillId="7" borderId="287" xfId="2" applyNumberFormat="1" applyFont="1" applyFill="1" applyBorder="1" applyAlignment="1">
      <x:alignment vertical="top" wrapText="1"/>
    </x:xf>
    <x:xf numFmtId="0" fontId="43" fillId="7" borderId="286" xfId="2" applyNumberFormat="1" applyFont="1" applyFill="1" applyBorder="1" applyAlignment="1">
      <x:alignment vertical="top" wrapText="1"/>
    </x:xf>
    <x:xf numFmtId="0" fontId="43" fillId="7" borderId="287" xfId="2" applyNumberFormat="1" applyFont="1" applyFill="1" applyBorder="1" applyAlignment="1">
      <x:alignment vertical="top" wrapText="1"/>
    </x:xf>
    <x:xf numFmtId="0" fontId="42" fillId="7" borderId="286" xfId="2" applyNumberFormat="1" applyFont="1" applyFill="1" applyBorder="1" applyAlignment="1">
      <x:alignment vertical="top"/>
    </x:xf>
    <x:xf numFmtId="0" fontId="42" fillId="7" borderId="287" xfId="2" applyNumberFormat="1" applyFont="1" applyFill="1" applyBorder="1" applyAlignment="1">
      <x:alignment vertical="top"/>
    </x:xf>
  </x:cellXfs>
  <x:cellStyles count="1">
    <x:cellStyle name="Normal" xfId="0"/>
  </x:cellStyles>
</x:styleSheet>
</file>

<file path=xl/_rels/workbook.xml.rels><?xml version='1.0' encoding='utf-8'?>
<ns0:Relationships xmlns:ns0="http://schemas.openxmlformats.org/package/2006/relationships"><ns0:Relationship Type="http://schemas.openxmlformats.org/officeDocument/2006/relationships/styles" Target="/xl/styles.xml" Id="R8e115f792db040aa" /><ns0:Relationship Type="http://schemas.openxmlformats.org/officeDocument/2006/relationships/theme" Target="/xl/theme/theme1.xml" Id="Rc015eba46e9b4983" /><ns0:Relationship Type="http://schemas.openxmlformats.org/officeDocument/2006/relationships/sharedStrings" Target="/xl/sharedStrings.xml" Id="Rcb08fefba13b4e11" /><ns0:Relationship Type="http://schemas.openxmlformats.org/officeDocument/2006/relationships/worksheet" Target="/xl/worksheets/sheet1.xml" Id="R5d8071a01baa4740" /><ns0:Relationship Type="http://schemas.openxmlformats.org/officeDocument/2006/relationships/worksheet" Target="/xl/worksheets/sheet2.xml" Id="Rdb561f41d7664885" /><ns0:Relationship Type="http://schemas.openxmlformats.org/officeDocument/2006/relationships/worksheet" Target="/xl/worksheets/sheet3.xml" Id="R678973a6daee4721" /><ns0:Relationship Type="http://schemas.openxmlformats.org/officeDocument/2006/relationships/worksheet" Target="/xl/worksheets/sheet4.xml" Id="R61b303ccd30848b0" /><ns0:Relationship Type="http://schemas.openxmlformats.org/officeDocument/2006/relationships/worksheet" Target="/xl/worksheets/sheet5.xml" Id="R147af0f1d96f4e26" /><ns0:Relationship Type="http://schemas.openxmlformats.org/officeDocument/2006/relationships/worksheet" Target="/xl/worksheets/sheet6.xml" Id="R2d31b716f68d4673" /><ns0:Relationship Type="http://schemas.openxmlformats.org/officeDocument/2006/relationships/worksheet" Target="/xl/worksheets/sheet7.xml" Id="Re3efeb6e05ad497b" /><ns0:Relationship Type="http://schemas.openxmlformats.org/officeDocument/2006/relationships/worksheet" Target="/xl/worksheets/sheet8.xml" Id="Rc20a55f23ee44f8d" /><ns0:Relationship Id="rIdAnnualHistory" Type="http://schemas.openxmlformats.org/officeDocument/2006/relationships/worksheet" Target="worksheets/sheet9.xml" /></ns0:Relationships>
</file>

<file path=xl/drawings/_rels/drawing1.xml.rels>&#65279;<?xml version="1.0" encoding="utf-8"?><Relationships xmlns="http://schemas.openxmlformats.org/package/2006/relationships"><Relationship Type="http://schemas.openxmlformats.org/officeDocument/2006/relationships/chart" Target="/xl/drawings/charts/chart1.xml" Id="Rccfae7a6dcce464b" /><Relationship Type="http://schemas.openxmlformats.org/officeDocument/2006/relationships/chart" Target="/xl/drawings/charts/chart2.xml" Id="R530913a246744b55" /></Relationships>
</file>

<file path=xl/drawings/_rels/drawing2.xml.rels>&#65279;<?xml version="1.0" encoding="utf-8"?><Relationships xmlns="http://schemas.openxmlformats.org/package/2006/relationships"><Relationship Type="http://schemas.openxmlformats.org/officeDocument/2006/relationships/chart" Target="/xl/drawings/charts/chart3.xml" Id="R6b2c78017318491a" /></Relationships>
</file>

<file path=xl/drawings/_rels/drawing3.xml.rels><?xml version="1.0" encoding="UTF-8" standalone="yes"?><Relationships xmlns="http://schemas.openxmlformats.org/package/2006/relationships"><Relationship Id="rIdAnnualBalances" Type="http://schemas.openxmlformats.org/officeDocument/2006/relationships/chart" Target="/xl/drawings/charts/chart4.xml"/><Relationship Id="rIdAnnualFlows" Type="http://schemas.openxmlformats.org/officeDocument/2006/relationships/chart" Target="/xl/drawings/charts/chart5.xml"/></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borrowing and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ser>
          <c:idx val="1"/>
          <c:order val="1"/>
          <c:tx>
            <c:v>Baseline borrowing</c:v>
          </c:tx>
          <c:spPr>
            <a:solidFill xmlns:a="http://schemas.openxmlformats.org/drawingml/2006/main">
              <a:srgbClr val="47627F"/>
            </a:solidFill>
          </c:spPr>
          <c:invertIfNegative val="0"/>
          <c:cat>
            <c:strRef>
              <c:f>'Core charts'!$A$25:$A$26</c:f>
              <c:strCache>
                <c:ptCount val="0"/>
              </c:strCache>
            </c:strRef>
          </c:cat>
          <c:val>
            <c:numRef>
              <c:f>'Core charts'!$C$25:$C$26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added to or used cash? January–June 2026</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737985"/>
            </a:solidFill>
          </c:spPr>
          <c:invertIfNegative val="0"/>
          <c:cat>
            <c:strRef>
              <c:f>'Repayment review'!$F$28:$F$33</c:f>
              <c:strCache>
                <c:ptCount val="0"/>
              </c:strCache>
            </c:strRef>
          </c:cat>
          <c:val>
            <c:numRef>
              <c:f>'Repayment review'!$G$28:$G$33</c:f>
              <c:numCache>
                <c:formatCode>#,##0,,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 (negative = cash used)</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latin typeface="Arial"/>
              </a:defRPr>
            </a:pPr>
            <a:r>
              <a:rPr lang="en-US" sz="1100" b="1">
                <a:latin typeface="Arial"/>
              </a:rPr>
              <a:t>Fiscal-year-end cash and baseline borrowing (USD millions)</a:t>
            </a:r>
          </a:p>
        </c:rich>
      </c:tx>
      <c:overlay val="0"/>
    </c:title>
    <c:autoTitleDeleted val="0"/>
    <c:plotArea>
      <c:layout/>
      <c:barChart>
        <c:barDir val="col"/>
        <c:grouping val="clustered"/>
        <c:varyColors val="0"/>
        <c:ser>
          <c:idx val="0"/>
          <c:order val="0"/>
          <c:tx>
            <c:strRef>
              <c:f>'Annual history'!$A$6</c:f>
              <c:strCache>
                <c:ptCount val="1"/>
                <c:pt idx="0">
                  <c:v>Cash and equivalents</c:v>
                </c:pt>
              </c:strCache>
            </c:strRef>
          </c:tx>
          <c:spPr>
            <a:solidFill>
              <a:srgbClr val="3987E5"/>
            </a:solidFill>
          </c:spPr>
          <c:invertIfNegative val="0"/>
          <c:cat>
            <c:strRef>
              <c:f>'Annual history'!$B$5:$F$5</c:f>
              <c:strCache>
                <c:ptCount val="5"/>
                <c:pt idx="0">
                  <c:v>FY2021</c:v>
                </c:pt>
                <c:pt idx="1">
                  <c:v>FY2022</c:v>
                </c:pt>
                <c:pt idx="2">
                  <c:v>FY2023</c:v>
                </c:pt>
                <c:pt idx="3">
                  <c:v>FY2024</c:v>
                </c:pt>
                <c:pt idx="4">
                  <c:v>FY2025</c:v>
                </c:pt>
              </c:strCache>
            </c:strRef>
          </c:cat>
          <c:val>
            <c:numRef>
              <c:f>'Annual history'!$B$6:$F$6</c:f>
              <c:numCache>
                <c:formatCode>#,##0,,;(#,##0,,)</c:formatCode>
                <c:ptCount val="5"/>
                <c:pt idx="0">
                  <c:v>3818500000</c:v>
                </c:pt>
                <c:pt idx="1">
                  <c:v>2067000000</c:v>
                </c:pt>
                <c:pt idx="2">
                  <c:v>2818600000</c:v>
                </c:pt>
                <c:pt idx="3">
                  <c:v>3268400000</c:v>
                </c:pt>
                <c:pt idx="4">
                  <c:v>7268000000</c:v>
                </c:pt>
              </c:numCache>
            </c:numRef>
          </c:val>
        </c:ser>
        <c:ser>
          <c:idx val="1"/>
          <c:order val="1"/>
          <c:tx>
            <c:strRef>
              <c:f>'Annual history'!$A$7</c:f>
              <c:strCache>
                <c:ptCount val="1"/>
                <c:pt idx="0">
                  <c:v>Baseline borrowing</c:v>
                </c:pt>
              </c:strCache>
            </c:strRef>
          </c:tx>
          <c:spPr>
            <a:solidFill>
              <a:srgbClr val="D95926"/>
            </a:solidFill>
          </c:spPr>
          <c:invertIfNegative val="0"/>
          <c:cat>
            <c:strRef>
              <c:f>'Annual history'!$B$5:$F$5</c:f>
              <c:strCache>
                <c:ptCount val="5"/>
                <c:pt idx="0">
                  <c:v>FY2021</c:v>
                </c:pt>
                <c:pt idx="1">
                  <c:v>FY2022</c:v>
                </c:pt>
                <c:pt idx="2">
                  <c:v>FY2023</c:v>
                </c:pt>
                <c:pt idx="3">
                  <c:v>FY2024</c:v>
                </c:pt>
                <c:pt idx="4">
                  <c:v>FY2025</c:v>
                </c:pt>
              </c:strCache>
            </c:strRef>
          </c:cat>
          <c:val>
            <c:numRef>
              <c:f>'Annual history'!$B$7:$F$7</c:f>
              <c:numCache>
                <c:formatCode>#,##0,,;(#,##0,,)</c:formatCode>
                <c:ptCount val="5"/>
                <c:pt idx="0">
                  <c:v>16884700000</c:v>
                </c:pt>
                <c:pt idx="1">
                  <c:v>16238600000</c:v>
                </c:pt>
                <c:pt idx="2">
                  <c:v>25225300000</c:v>
                </c:pt>
                <c:pt idx="3">
                  <c:v>33644200000</c:v>
                </c:pt>
                <c:pt idx="4">
                  <c:v>42503000000</c:v>
                </c:pt>
              </c:numCache>
            </c:numRef>
          </c:val>
        </c:ser>
        <c:gapWidth val="80"/>
        <c:axId val="5001"/>
        <c:axId val="5002"/>
      </c:barChart>
      <c:catAx>
        <c:axId val="5001"/>
        <c:scaling>
          <c:orientation val="minMax"/>
        </c:scaling>
        <c:delete val="0"/>
        <c:axPos val="b"/>
        <c:numFmt formatCode="General" sourceLinked="0"/>
        <c:majorTickMark val="none"/>
        <c:minorTickMark val="none"/>
        <c:tickLblPos val="low"/>
        <c:txPr>
          <a:bodyPr/>
          <a:lstStyle/>
          <a:p>
            <a:pPr>
              <a:defRPr sz="1000" b="0">
                <a:latin typeface="Arial"/>
                <a:cs typeface="Arial"/>
              </a:defRPr>
            </a:pPr>
            <a:endParaRPr lang="en-US"/>
          </a:p>
        </c:txPr>
        <c:crossAx val="5002"/>
        <c:crosses val="autoZero"/>
        <c:auto val="1"/>
        <c:lblAlgn val="ctr"/>
        <c:lblOffset val="100"/>
        <c:noMultiLvlLbl val="0"/>
      </c:catAx>
      <c:valAx>
        <c:axId val="5002"/>
        <c:scaling>
          <c:orientation val="minMax"/>
        </c:scaling>
        <c:delete val="0"/>
        <c:axPos val="l"/>
        <c:majorGridlines>
          <c:spPr>
            <a:ln w="6350">
              <a:solidFill>
                <a:srgbClr val="D9D9D9"/>
              </a:solidFill>
            </a:ln>
          </c:spPr>
        </c:majorGridlines>
        <c:title>
          <c:tx>
            <c:rich>
              <a:bodyPr rot="-5400000" vert="horz"/>
              <a:lstStyle/>
              <a:p>
                <a:pPr>
                  <a:defRPr sz="1000">
                    <a:latin typeface="Arial"/>
                  </a:defRPr>
                </a:pPr>
                <a:r>
                  <a:rPr lang="en-US" sz="1000">
                    <a:latin typeface="Arial"/>
                  </a:rPr>
                  <a:t>USD millions</a:t>
                </a:r>
              </a:p>
            </c:rich>
          </c:tx>
          <c:overlay val="0"/>
        </c:title>
        <c:numFmt formatCode="#,##0,,;(#,##0,,)" sourceLinked="0"/>
        <c:majorTickMark val="out"/>
        <c:minorTickMark val="none"/>
        <c:tickLblPos val="nextTo"/>
        <c:txPr>
          <a:bodyPr/>
          <a:lstStyle/>
          <a:p>
            <a:pPr>
              <a:defRPr sz="1000" b="0">
                <a:latin typeface="Arial"/>
                <a:cs typeface="Arial"/>
              </a:defRPr>
            </a:pPr>
            <a:endParaRPr lang="en-US"/>
          </a:p>
        </c:txPr>
        <c:crossAx val="5001"/>
        <c:crosses val="autoZero"/>
        <c:crossBetween val="between"/>
      </c:valAx>
    </c:plotArea>
    <c:legend>
      <c:legendPos val="b"/>
      <c:overlay val="0"/>
      <c:txPr>
        <a:bodyPr/>
        <a:lstStyle/>
        <a:p>
          <a:pPr>
            <a:defRPr sz="1000" b="0">
              <a:latin typeface="Arial"/>
              <a:cs typeface="Arial"/>
            </a:defRPr>
          </a:pPr>
          <a:endParaRPr lang="en-US"/>
        </a:p>
      </c:txPr>
    </c:legend>
    <c:plotVisOnly val="1"/>
    <c:dispBlanksAs val="gap"/>
  </c:chart>
  <c:txPr>
    <a:bodyPr/>
    <a:lstStyle/>
    <a:p>
      <a:pPr>
        <a:defRPr sz="1000" b="0">
          <a:latin typeface="Arial"/>
          <a:cs typeface="Arial"/>
        </a:defRPr>
      </a:pPr>
      <a:endParaRPr lang="en-US"/>
    </a:p>
  </c:txPr>
</c:chartSpace>
</file>

<file path=xl/drawings/charts/chart5.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latin typeface="Arial"/>
              </a:defRPr>
            </a:pPr>
            <a:r>
              <a:rPr lang="en-US" sz="1100" b="1">
                <a:latin typeface="Arial"/>
              </a:rPr>
              <a:t>Annual operating cash flow, capital spending (a use, below zero) and FCF (USD millions)</a:t>
            </a:r>
          </a:p>
        </c:rich>
      </c:tx>
      <c:overlay val="0"/>
    </c:title>
    <c:autoTitleDeleted val="0"/>
    <c:plotArea>
      <c:layout/>
      <c:barChart>
        <c:barDir val="col"/>
        <c:grouping val="clustered"/>
        <c:varyColors val="0"/>
        <c:ser>
          <c:idx val="0"/>
          <c:order val="0"/>
          <c:tx>
            <c:strRef>
              <c:f>'Annual history'!$A$8</c:f>
              <c:strCache>
                <c:ptCount val="1"/>
                <c:pt idx="0">
                  <c:v>Operating cash flow</c:v>
                </c:pt>
              </c:strCache>
            </c:strRef>
          </c:tx>
          <c:spPr>
            <a:solidFill>
              <a:srgbClr val="3987E5"/>
            </a:solidFill>
          </c:spPr>
          <c:invertIfNegative val="0"/>
          <c:cat>
            <c:strRef>
              <c:f>'Annual history'!$B$5:$F$5</c:f>
              <c:strCache>
                <c:ptCount val="5"/>
                <c:pt idx="0">
                  <c:v>FY2021</c:v>
                </c:pt>
                <c:pt idx="1">
                  <c:v>FY2022</c:v>
                </c:pt>
                <c:pt idx="2">
                  <c:v>FY2023</c:v>
                </c:pt>
                <c:pt idx="3">
                  <c:v>FY2024</c:v>
                </c:pt>
                <c:pt idx="4">
                  <c:v>FY2025</c:v>
                </c:pt>
              </c:strCache>
            </c:strRef>
          </c:cat>
          <c:val>
            <c:numRef>
              <c:f>'Annual history'!$B$8:$F$8</c:f>
              <c:numCache>
                <c:formatCode>#,##0,,;(#,##0,,)</c:formatCode>
                <c:ptCount val="5"/>
                <c:pt idx="0">
                  <c:v>7365900000</c:v>
                </c:pt>
                <c:pt idx="1">
                  <c:v>7585700000</c:v>
                </c:pt>
                <c:pt idx="2">
                  <c:v>4240100000</c:v>
                </c:pt>
                <c:pt idx="3">
                  <c:v>8817900000</c:v>
                </c:pt>
                <c:pt idx="4">
                  <c:v>16813000000</c:v>
                </c:pt>
              </c:numCache>
            </c:numRef>
          </c:val>
        </c:ser>
        <c:ser>
          <c:idx val="1"/>
          <c:order val="1"/>
          <c:tx>
            <c:strRef>
              <c:f>'Annual history'!$A$61</c:f>
              <c:strCache>
                <c:ptCount val="1"/>
                <c:pt idx="0">
                  <c:v>Capital spending (a use of cash)</c:v>
                </c:pt>
              </c:strCache>
            </c:strRef>
          </c:tx>
          <c:spPr>
            <a:solidFill>
              <a:srgbClr val="7F838C"/>
            </a:solidFill>
          </c:spPr>
          <c:invertIfNegative val="0"/>
          <c:cat>
            <c:strRef>
              <c:f>'Annual history'!$B$5:$F$5</c:f>
              <c:strCache>
                <c:ptCount val="5"/>
                <c:pt idx="0">
                  <c:v>FY2021</c:v>
                </c:pt>
                <c:pt idx="1">
                  <c:v>FY2022</c:v>
                </c:pt>
                <c:pt idx="2">
                  <c:v>FY2023</c:v>
                </c:pt>
                <c:pt idx="3">
                  <c:v>FY2024</c:v>
                </c:pt>
                <c:pt idx="4">
                  <c:v>FY2025</c:v>
                </c:pt>
              </c:strCache>
            </c:strRef>
          </c:cat>
          <c:val>
            <c:numRef>
              <c:f>'Annual history'!$B$61:$F$61</c:f>
              <c:numCache>
                <c:formatCode>#,##0,,;(#,##0,,)</c:formatCode>
                <c:ptCount val="5"/>
                <c:pt idx="0">
                  <c:v>-1309800000</c:v>
                </c:pt>
                <c:pt idx="1">
                  <c:v>-1854300000</c:v>
                </c:pt>
                <c:pt idx="2">
                  <c:v>-3447600000</c:v>
                </c:pt>
                <c:pt idx="3">
                  <c:v>-5057800000</c:v>
                </c:pt>
                <c:pt idx="4">
                  <c:v>-7841000000</c:v>
                </c:pt>
              </c:numCache>
            </c:numRef>
          </c:val>
        </c:ser>
        <c:ser>
          <c:idx val="2"/>
          <c:order val="2"/>
          <c:tx>
            <c:strRef>
              <c:f>'Annual history'!$A$10</c:f>
              <c:strCache>
                <c:ptCount val="1"/>
                <c:pt idx="0">
                  <c:v>Free cash flow</c:v>
                </c:pt>
              </c:strCache>
            </c:strRef>
          </c:tx>
          <c:spPr>
            <a:solidFill>
              <a:srgbClr val="47627F"/>
            </a:solidFill>
          </c:spPr>
          <c:invertIfNegative val="0"/>
          <c:cat>
            <c:strRef>
              <c:f>'Annual history'!$B$5:$F$5</c:f>
              <c:strCache>
                <c:ptCount val="5"/>
                <c:pt idx="0">
                  <c:v>FY2021</c:v>
                </c:pt>
                <c:pt idx="1">
                  <c:v>FY2022</c:v>
                </c:pt>
                <c:pt idx="2">
                  <c:v>FY2023</c:v>
                </c:pt>
                <c:pt idx="3">
                  <c:v>FY2024</c:v>
                </c:pt>
                <c:pt idx="4">
                  <c:v>FY2025</c:v>
                </c:pt>
              </c:strCache>
            </c:strRef>
          </c:cat>
          <c:val>
            <c:numRef>
              <c:f>'Annual history'!$B$10:$F$10</c:f>
              <c:numCache>
                <c:formatCode>#,##0,,;(#,##0,,)</c:formatCode>
                <c:ptCount val="5"/>
                <c:pt idx="0">
                  <c:v>6056100000</c:v>
                </c:pt>
                <c:pt idx="1">
                  <c:v>5731400000</c:v>
                </c:pt>
                <c:pt idx="2">
                  <c:v>792500000</c:v>
                </c:pt>
                <c:pt idx="3">
                  <c:v>3760100000</c:v>
                </c:pt>
                <c:pt idx="4">
                  <c:v>8972000000</c:v>
                </c:pt>
              </c:numCache>
            </c:numRef>
          </c:val>
        </c:ser>
        <c:gapWidth val="80"/>
        <c:axId val="5001"/>
        <c:axId val="5002"/>
      </c:barChart>
      <c:catAx>
        <c:axId val="5001"/>
        <c:scaling>
          <c:orientation val="minMax"/>
        </c:scaling>
        <c:delete val="0"/>
        <c:axPos val="b"/>
        <c:numFmt formatCode="General" sourceLinked="0"/>
        <c:majorTickMark val="none"/>
        <c:minorTickMark val="none"/>
        <c:tickLblPos val="low"/>
        <c:txPr>
          <a:bodyPr/>
          <a:lstStyle/>
          <a:p>
            <a:pPr>
              <a:defRPr sz="1000" b="0">
                <a:latin typeface="Arial"/>
                <a:cs typeface="Arial"/>
              </a:defRPr>
            </a:pPr>
            <a:endParaRPr lang="en-US"/>
          </a:p>
        </c:txPr>
        <c:crossAx val="5002"/>
        <c:crosses val="autoZero"/>
        <c:auto val="1"/>
        <c:lblAlgn val="ctr"/>
        <c:lblOffset val="100"/>
        <c:noMultiLvlLbl val="0"/>
      </c:catAx>
      <c:valAx>
        <c:axId val="5002"/>
        <c:scaling>
          <c:orientation val="minMax"/>
        </c:scaling>
        <c:delete val="0"/>
        <c:axPos val="l"/>
        <c:majorGridlines>
          <c:spPr>
            <a:ln w="6350">
              <a:solidFill>
                <a:srgbClr val="D9D9D9"/>
              </a:solidFill>
            </a:ln>
          </c:spPr>
        </c:majorGridlines>
        <c:title>
          <c:tx>
            <c:rich>
              <a:bodyPr rot="-5400000" vert="horz"/>
              <a:lstStyle/>
              <a:p>
                <a:pPr>
                  <a:defRPr sz="1000">
                    <a:latin typeface="Arial"/>
                  </a:defRPr>
                </a:pPr>
                <a:r>
                  <a:rPr lang="en-US" sz="1000">
                    <a:latin typeface="Arial"/>
                  </a:rPr>
                  <a:t>USD millions</a:t>
                </a:r>
              </a:p>
            </c:rich>
          </c:tx>
          <c:overlay val="0"/>
        </c:title>
        <c:numFmt formatCode="#,##0,,;(#,##0,,)" sourceLinked="0"/>
        <c:majorTickMark val="out"/>
        <c:minorTickMark val="none"/>
        <c:tickLblPos val="nextTo"/>
        <c:txPr>
          <a:bodyPr/>
          <a:lstStyle/>
          <a:p>
            <a:pPr>
              <a:defRPr sz="1000" b="0">
                <a:latin typeface="Arial"/>
                <a:cs typeface="Arial"/>
              </a:defRPr>
            </a:pPr>
            <a:endParaRPr lang="en-US"/>
          </a:p>
        </c:txPr>
        <c:crossAx val="5001"/>
        <c:crosses val="autoZero"/>
        <c:crossBetween val="between"/>
      </c:valAx>
    </c:plotArea>
    <c:legend>
      <c:legendPos val="b"/>
      <c:overlay val="0"/>
      <c:txPr>
        <a:bodyPr/>
        <a:lstStyle/>
        <a:p>
          <a:pPr>
            <a:defRPr sz="1000" b="0">
              <a:latin typeface="Arial"/>
              <a:cs typeface="Arial"/>
            </a:defRPr>
          </a:pPr>
          <a:endParaRPr lang="en-US"/>
        </a:p>
      </c:txPr>
    </c:legend>
    <c:plotVisOnly val="1"/>
    <c:dispBlanksAs val="gap"/>
  </c:chart>
  <c:txPr>
    <a:bodyPr/>
    <a:lstStyle/>
    <a:p>
      <a:pPr>
        <a:defRPr sz="1000" b="0">
          <a:latin typeface="Arial"/>
          <a:cs typeface="Arial"/>
        </a:defRPr>
      </a:pPr>
      <a:endParaRPr lang="en-US"/>
    </a:p>
  </c:tx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cfae7a6dcce464b"/>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30913a246744b55"/>
        </a:graphicData>
      </a:graphic>
    </xdr:graphicFrame>
    <xdr:clientData/>
  </xdr:twoCellAnchor>
</xdr:wsDr>
</file>

<file path=xl/drawings/drawing2.xml><?xml version="1.0" encoding="utf-8"?>
<xdr:wsDr xmlns:xdr="http://schemas.openxmlformats.org/drawingml/2006/spreadsheetDrawing">
  <xdr:twoCellAnchor>
    <xdr:from>
      <xdr:col>5</xdr:col>
      <xdr:colOff>0</xdr:colOff>
      <xdr:row>5</xdr:row>
      <xdr:rowOff>0</xdr:rowOff>
    </xdr:from>
    <xdr:to>
      <xdr:col>16</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b2c78017318491a"/>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23</xdr:row>
      <xdr:rowOff>0</xdr:rowOff>
    </xdr:from>
    <xdr:to>
      <xdr:col>6</xdr:col>
      <xdr:colOff>0</xdr:colOff>
      <xdr:row>40</xdr:row>
      <xdr:rowOff>0</xdr:rowOff>
    </xdr:to>
    <xdr:graphicFrame macro="">
      <xdr:nvGraphicFramePr>
        <xdr:cNvPr id="2" name="Annual chart 1"/>
        <xdr:cNvGraphicFramePr/>
      </xdr:nvGraphicFramePr>
      <xdr:xfrm>
        <a:off x="0" y="0"/>
        <a:ext cx="0" cy="0"/>
      </xdr:xfrm>
      <a:graphic>
        <a:graphicData uri="http://schemas.openxmlformats.org/drawingml/2006/chart">
          <c:chart xmlns:c="http://schemas.openxmlformats.org/drawingml/2006/chart" r:id="rIdAnnualBalances"/>
        </a:graphicData>
      </a:graphic>
    </xdr:graphicFrame>
    <xdr:clientData/>
  </xdr:twoCellAnchor>
  <xdr:twoCellAnchor editAs="oneCell">
    <xdr:from>
      <xdr:col>0</xdr:col>
      <xdr:colOff>0</xdr:colOff>
      <xdr:row>41</xdr:row>
      <xdr:rowOff>0</xdr:rowOff>
    </xdr:from>
    <xdr:to>
      <xdr:col>6</xdr:col>
      <xdr:colOff>0</xdr:colOff>
      <xdr:row>58</xdr:row>
      <xdr:rowOff>0</xdr:rowOff>
    </xdr:to>
    <xdr:graphicFrame macro="">
      <xdr:nvGraphicFramePr>
        <xdr:cNvPr id="3" name="Annual chart 2"/>
        <xdr:cNvGraphicFramePr/>
      </xdr:nvGraphicFramePr>
      <xdr:xfrm>
        <a:off x="0" y="0"/>
        <a:ext cx="0" cy="0"/>
      </xdr:xfrm>
      <a:graphic>
        <a:graphicData uri="http://schemas.openxmlformats.org/drawingml/2006/chart">
          <c:chart xmlns:c="http://schemas.openxmlformats.org/drawingml/2006/chart" r:id="rIdAnnualFlows"/>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a3cb24b69ae24fc0" /></Relationships>
</file>

<file path=xl/worksheets/_rels/sheet6.xml.rels>&#65279;<?xml version="1.0" encoding="utf-8"?><Relationships xmlns="http://schemas.openxmlformats.org/package/2006/relationships"><Relationship Type="http://schemas.openxmlformats.org/officeDocument/2006/relationships/drawing" Target="/xl/drawings/drawing2.xml" Id="Rf804cb9b07954525" /></Relationships>
</file>

<file path=xl/worksheets/_rels/sheet7.xml.rels><?xml version='1.0' encoding='utf-8'?>
<ns0:Relationships xmlns:ns0="http://schemas.openxmlformats.org/package/2006/relationships"><ns0:Relationship Id="rIdSource1" Type="http://schemas.openxmlformats.org/officeDocument/2006/relationships/hyperlink" Target="https://www.sec.gov/Archives/edgar/data/59478/000005947826000081/lly-20260630.htm" TargetMode="External" /><ns0:Relationship Id="rIdSource2" Type="http://schemas.openxmlformats.org/officeDocument/2006/relationships/hyperlink" Target="https://www.sec.gov/Archives/edgar/data/59478/000005947826000081/lly-20260630.htm" TargetMode="External" /><ns0:Relationship Id="rIdSource3" Type="http://schemas.openxmlformats.org/officeDocument/2006/relationships/hyperlink" Target="https://www.sec.gov/Archives/edgar/data/59478/000005947826000081/lly-20260630.htm" TargetMode="External" /><ns0:Relationship Id="rIdSource4" Type="http://schemas.openxmlformats.org/officeDocument/2006/relationships/hyperlink" Target="https://www.sec.gov/Archives/edgar/data/59478/000005947826000081/lly-20260630.htm" TargetMode="External" /><ns0:Relationship Id="rIdSource5" Type="http://schemas.openxmlformats.org/officeDocument/2006/relationships/hyperlink" Target="https://www.sec.gov/Archives/edgar/data/59478/000005947826000081/lly-20260630.htm" TargetMode="External" /><ns0:Relationship Id="rIdSource6" Type="http://schemas.openxmlformats.org/officeDocument/2006/relationships/hyperlink" Target="https://www.sec.gov/Archives/edgar/data/59478/000005947826000013/lly-20251231.htm" TargetMode="External" /><ns0:Relationship Id="rIdSource7" Type="http://schemas.openxmlformats.org/officeDocument/2006/relationships/hyperlink" Target="https://www.sec.gov/Archives/edgar/data/59478/000005947826000081/lly-20260630.htm" TargetMode="External" /><ns0:Relationship Id="rIdSource8" Type="http://schemas.openxmlformats.org/officeDocument/2006/relationships/hyperlink" Target="https://www.sec.gov/Archives/edgar/data/59478/000005947826000081/lly-20260630.htm" TargetMode="External" /><ns0:Relationship Id="rIdSource9" Type="http://schemas.openxmlformats.org/officeDocument/2006/relationships/hyperlink" Target="https://www.sec.gov/Archives/edgar/data/59478/000005947826000013/lly-20251231.htm" TargetMode="External" /><ns0:Relationship Id="rIdSource10" Type="http://schemas.openxmlformats.org/officeDocument/2006/relationships/hyperlink" Target="https://www.sec.gov/Archives/edgar/data/59478/000005947826000081/lly-20260630.htm" TargetMode="External" /><ns0:Relationship Id="rIdSource11" Type="http://schemas.openxmlformats.org/officeDocument/2006/relationships/hyperlink" Target="https://www.sec.gov/Archives/edgar/data/59478/000005947826000081/lly-20260630.htm" TargetMode="External" /><ns0:Relationship Id="rIdSource12" Type="http://schemas.openxmlformats.org/officeDocument/2006/relationships/hyperlink" Target="https://www.sec.gov/Archives/edgar/data/59478/000005947826000081/lly-20260630.htm" TargetMode="External" /><ns0:Relationship Id="rIdSource13" Type="http://schemas.openxmlformats.org/officeDocument/2006/relationships/hyperlink" Target="https://www.sec.gov/Archives/edgar/data/59478/000005947826000081/lly-20260630.htm" TargetMode="External" /><ns0:Relationship Id="rIdSource14" Type="http://schemas.openxmlformats.org/officeDocument/2006/relationships/hyperlink" Target="https://www.sec.gov/Archives/edgar/data/59478/000005947826000081/lly-20260630.htm" TargetMode="External" /><ns0:Relationship Id="rIdSource15" Type="http://schemas.openxmlformats.org/officeDocument/2006/relationships/hyperlink" Target="https://www.sec.gov/Archives/edgar/data/59478/000005947826000081/lly-20260630.htm" TargetMode="External" /><ns0:Relationship Id="rIdSource16" Type="http://schemas.openxmlformats.org/officeDocument/2006/relationships/hyperlink" Target="https://www.sec.gov/Archives/edgar/data/59478/000005947826000081/lly-20260630.htm" TargetMode="External" /><ns0:Relationship Id="rIdSource17" Type="http://schemas.openxmlformats.org/officeDocument/2006/relationships/hyperlink" Target="https://www.sec.gov/Archives/edgar/data/59478/000005947826000081/lly-20260630.htm" TargetMode="External" /><ns0:Relationship Id="rIdSource18" Type="http://schemas.openxmlformats.org/officeDocument/2006/relationships/hyperlink" Target="https://www.sec.gov/Archives/edgar/data/59478/000005947826000081/lly-20260630.htm" TargetMode="External" /><ns0:Relationship Id="rIdSource19" Type="http://schemas.openxmlformats.org/officeDocument/2006/relationships/hyperlink" Target="https://www.sec.gov/Archives/edgar/data/59478/000005947826000081/lly-20260630.htm" TargetMode="External" /><ns0:Relationship Id="rIdSource20" Type="http://schemas.openxmlformats.org/officeDocument/2006/relationships/hyperlink" Target="https://www.sec.gov/Archives/edgar/data/59478/000005947826000081/lly-20260630.htm" TargetMode="External" /><ns0:Relationship Id="rIdSource21" Type="http://schemas.openxmlformats.org/officeDocument/2006/relationships/hyperlink" Target="https://www.sec.gov/Archives/edgar/data/59478/000005947826000081/lly-20260630.htm" TargetMode="External" /><ns0:Relationship Id="rIdSource22" Type="http://schemas.openxmlformats.org/officeDocument/2006/relationships/hyperlink" Target="https://www.sec.gov/Archives/edgar/data/59478/000005947826000081/lly-20260630.htm" TargetMode="External" /><ns0:Relationship Id="rIdSource23" Type="http://schemas.openxmlformats.org/officeDocument/2006/relationships/hyperlink" Target="https://www.sec.gov/Archives/edgar/data/59478/000005947826000081/lly-20260630.htm" TargetMode="External" /><ns0:Relationship Id="rIdSource24" Type="http://schemas.openxmlformats.org/officeDocument/2006/relationships/hyperlink" Target="https://www.sec.gov/Archives/edgar/data/59478/000005947826000081/lly-20260630.htm" TargetMode="External" /><ns0:Relationship Id="rIdSource25" Type="http://schemas.openxmlformats.org/officeDocument/2006/relationships/hyperlink" Target="https://www.sec.gov/Archives/edgar/data/59478/000005947826000081/lly-20260630.htm" TargetMode="External" /><ns0:Relationship Id="rIdSource26" Type="http://schemas.openxmlformats.org/officeDocument/2006/relationships/hyperlink" Target="https://www.sec.gov/Archives/edgar/data/59478/000005947826000081/lly-20260630.htm" TargetMode="External" /><ns0:Relationship Id="rIdSource27" Type="http://schemas.openxmlformats.org/officeDocument/2006/relationships/hyperlink" Target="https://www.sec.gov/Archives/edgar/data/59478/000005947826000081/lly-20260630.htm" TargetMode="External" /><ns0:Relationship Id="rIdSource28" Type="http://schemas.openxmlformats.org/officeDocument/2006/relationships/hyperlink" Target="https://www.sec.gov/Archives/edgar/data/59478/000005947826000081/lly-20260630.htm" TargetMode="External" /><ns0:Relationship Id="rIdSource29" Type="http://schemas.openxmlformats.org/officeDocument/2006/relationships/hyperlink" Target="https://www.sec.gov/Archives/edgar/data/59478/000005947826000081/lly-20260630.htm" TargetMode="External" /><ns0:Relationship Id="rIdSource30" Type="http://schemas.openxmlformats.org/officeDocument/2006/relationships/hyperlink" Target="https://www.sec.gov/Archives/edgar/data/59478/000005947826000081/lly-20260630.htm" TargetMode="External" /><ns0:Relationship Id="rIdSource31" Type="http://schemas.openxmlformats.org/officeDocument/2006/relationships/hyperlink" Target="https://www.sec.gov/Archives/edgar/data/59478/000005947826000081/lly-20260630.htm" TargetMode="External" /><ns0:Relationship Id="rIdSource32" Type="http://schemas.openxmlformats.org/officeDocument/2006/relationships/hyperlink" Target="https://www.sec.gov/Archives/edgar/data/59478/000005947826000081/lly-20260630.htm" TargetMode="External" /><ns0:Relationship Id="rIdSource33" Type="http://schemas.openxmlformats.org/officeDocument/2006/relationships/hyperlink" Target="https://www.sec.gov/Archives/edgar/data/59478/000005947826000081/lly-20260630.htm" TargetMode="External" /><ns0:Relationship Id="rIdSource34" Type="http://schemas.openxmlformats.org/officeDocument/2006/relationships/hyperlink" Target="https://www.sec.gov/Archives/edgar/data/59478/000005947826000081/lly-20260630.htm" TargetMode="External" /><ns0:Relationship Id="rIdSource35" Type="http://schemas.openxmlformats.org/officeDocument/2006/relationships/hyperlink" Target="https://www.sec.gov/Archives/edgar/data/59478/000005947826000081/lly-20260630.htm" TargetMode="External" /><ns0:Relationship Id="rIdSource36" Type="http://schemas.openxmlformats.org/officeDocument/2006/relationships/hyperlink" Target="https://www.sec.gov/Archives/edgar/data/59478/000005947826000013/lly-20251231.htm" TargetMode="External" /><ns0:Relationship Id="rIdSource37" Type="http://schemas.openxmlformats.org/officeDocument/2006/relationships/hyperlink" Target="https://www.sec.gov/Archives/edgar/data/59478/000005947826000013/lly-20251231.htm" TargetMode="External" /><ns0:Relationship Id="rIdSource38" Type="http://schemas.openxmlformats.org/officeDocument/2006/relationships/hyperlink" Target="https://www.sec.gov/Archives/edgar/data/59478/000005947826000013/lly-20251231.htm" TargetMode="External" /><ns0:Relationship Id="rIdSource39" Type="http://schemas.openxmlformats.org/officeDocument/2006/relationships/hyperlink" Target="https://www.sec.gov/Archives/edgar/data/59478/000005947826000013/lly-20251231.htm" TargetMode="External" /><ns0:Relationship Id="rIdSource40" Type="http://schemas.openxmlformats.org/officeDocument/2006/relationships/hyperlink" Target="https://www.sec.gov/Archives/edgar/data/59478/000005947826000013/lly-20251231.htm" TargetMode="External" /><ns0:Relationship Id="rIdSource41" Type="http://schemas.openxmlformats.org/officeDocument/2006/relationships/hyperlink" Target="https://www.sec.gov/Archives/edgar/data/59478/000005947826000013/lly-20251231.htm" TargetMode="External" /><ns0:Relationship Id="rIdSource42" Type="http://schemas.openxmlformats.org/officeDocument/2006/relationships/hyperlink" Target="https://www.sec.gov/Archives/edgar/data/59478/000005947826000013/lly-20251231.htm" TargetMode="External" /><ns0:Relationship Id="rIdSource43" Type="http://schemas.openxmlformats.org/officeDocument/2006/relationships/hyperlink" Target="https://www.sec.gov/Archives/edgar/data/59478/000005947826000013/lly-20251231.htm" TargetMode="External" /><ns0:Relationship Id="rIdSource44" Type="http://schemas.openxmlformats.org/officeDocument/2006/relationships/hyperlink" Target="https://www.sec.gov/Archives/edgar/data/59478/000005947826000013/lly-20251231.htm" TargetMode="External" /><ns0:Relationship Id="rIdSource45" Type="http://schemas.openxmlformats.org/officeDocument/2006/relationships/hyperlink" Target="https://www.sec.gov/Archives/edgar/data/59478/000005947826000013/lly-20251231.htm" TargetMode="External" /><ns0:Relationship Id="rIdSource46" Type="http://schemas.openxmlformats.org/officeDocument/2006/relationships/hyperlink" Target="https://www.sec.gov/Archives/edgar/data/59478/000005947826000013/lly-20251231.htm" TargetMode="External" /><ns0:Relationship Id="rIdSource47" Type="http://schemas.openxmlformats.org/officeDocument/2006/relationships/hyperlink" Target="https://www.sec.gov/Archives/edgar/data/59478/000005947826000013/lly-20251231.htm" TargetMode="External" /><ns0:Relationship Id="rIdSource48" Type="http://schemas.openxmlformats.org/officeDocument/2006/relationships/hyperlink" Target="https://www.sec.gov/Archives/edgar/data/59478/000005947826000013/lly-20251231.htm" TargetMode="External" /><ns0:Relationship Id="rIdSource49" Type="http://schemas.openxmlformats.org/officeDocument/2006/relationships/hyperlink" Target="https://www.sec.gov/Archives/edgar/data/59478/000005947826000013/lly-20251231.htm" TargetMode="External" /><ns0:Relationship Id="rIdSource50" Type="http://schemas.openxmlformats.org/officeDocument/2006/relationships/hyperlink" Target="https://www.sec.gov/Archives/edgar/data/59478/000005947826000013/lly-20251231.htm" TargetMode="External" /><ns0:Relationship Id="rIdSource51" Type="http://schemas.openxmlformats.org/officeDocument/2006/relationships/hyperlink" Target="https://www.sec.gov/Archives/edgar/data/59478/000005947826000081/lly-20260630.htm" TargetMode="External" /><ns0:Relationship Id="rIdSource52" Type="http://schemas.openxmlformats.org/officeDocument/2006/relationships/hyperlink" Target="https://www.sec.gov/Archives/edgar/data/59478/000005947826000081/lly-20260630.htm" TargetMode="External" /><ns0:Relationship Id="rIdSource53" Type="http://schemas.openxmlformats.org/officeDocument/2006/relationships/hyperlink" Target="https://www.sec.gov/Archives/edgar/data/59478/000005947826000081/lly-20260630.htm" TargetMode="External" /><ns0:Relationship Id="rIdSource54" Type="http://schemas.openxmlformats.org/officeDocument/2006/relationships/hyperlink" Target="https://www.sec.gov/Archives/edgar/data/59478/000005947826000081/lly-20260630.htm" TargetMode="External" /><ns0:Relationship Id="rIdSource55" Type="http://schemas.openxmlformats.org/officeDocument/2006/relationships/hyperlink" Target="https://www.sec.gov/Archives/edgar/data/59478/000005947826000081/lly-20260630.htm" TargetMode="External" /><ns0:Relationship Id="rIdSource56" Type="http://schemas.openxmlformats.org/officeDocument/2006/relationships/hyperlink" Target="https://www.sec.gov/Archives/edgar/data/59478/000005947826000081/lly-20260630.htm" TargetMode="External" /><ns0:Relationship Id="rIdSource57" Type="http://schemas.openxmlformats.org/officeDocument/2006/relationships/hyperlink" Target="https://www.sec.gov/Archives/edgar/data/59478/000005947826000081/lly-20260630.htm" TargetMode="External" /><ns0:Relationship Id="rIdSource58" Type="http://schemas.openxmlformats.org/officeDocument/2006/relationships/hyperlink" Target="https://www.sec.gov/Archives/edgar/data/59478/000005947826000081/lly-20260630.htm" TargetMode="External" /><ns0:Relationship Id="rIdSource59" Type="http://schemas.openxmlformats.org/officeDocument/2006/relationships/hyperlink" Target="https://www.sec.gov/Archives/edgar/data/59478/000005947826000013/lly-20251231.htm" TargetMode="External" /><ns0:Relationship Id="rIdSource60" Type="http://schemas.openxmlformats.org/officeDocument/2006/relationships/hyperlink" Target="https://www.sec.gov/Archives/edgar/data/59478/000005947826000077/q226lillysalesandearningsp.htm" TargetMode="External" /><ns0:Relationship Id="rIdSource61" Type="http://schemas.openxmlformats.org/officeDocument/2006/relationships/hyperlink" Target="https://www.sec.gov/Archives/edgar/data/59478/000005947826000013/lly-20251231.htm" TargetMode="External" /><ns0:Relationship Id="rIdSource62" Type="http://schemas.openxmlformats.org/officeDocument/2006/relationships/hyperlink" Target="https://www.sec.gov/Archives/edgar/data/59478/000005947826000013/lly-20251231.htm" TargetMode="External" /><ns0:Relationship Id="rIdSource63" Type="http://schemas.openxmlformats.org/officeDocument/2006/relationships/hyperlink" Target="https://www.sec.gov/Archives/edgar/data/59478/000005947826000013/lly-20251231.htm" TargetMode="External" /><ns0:Relationship Id="rIdSource64" Type="http://schemas.openxmlformats.org/officeDocument/2006/relationships/hyperlink" Target="https://www.sec.gov/Archives/edgar/data/59478/000005947826000013/lly-20251231.htm" TargetMode="External" /><ns0:Relationship Id="rIdSource65" Type="http://schemas.openxmlformats.org/officeDocument/2006/relationships/hyperlink" Target="https://www.sec.gov/Archives/edgar/data/59478/000005947826000013/lly-20251231.htm" TargetMode="External" /><ns0:Relationship Id="rIdSource66" Type="http://schemas.openxmlformats.org/officeDocument/2006/relationships/hyperlink" Target="https://www.sec.gov/Archives/edgar/data/59478/000005947826000013/lly-20251231.htm" TargetMode="External" /><ns0:Relationship Id="rIdSource67" Type="http://schemas.openxmlformats.org/officeDocument/2006/relationships/hyperlink" Target="https://www.sec.gov/Archives/edgar/data/59478/000005947826000013/lly-20251231.htm" TargetMode="External" /><ns0:Relationship Id="rIdSource68" Type="http://schemas.openxmlformats.org/officeDocument/2006/relationships/hyperlink" Target="https://www.sec.gov/Archives/edgar/data/59478/000005947826000013/lly-20251231.htm" TargetMode="External" /><ns0:Relationship Id="rIdSource69" Type="http://schemas.openxmlformats.org/officeDocument/2006/relationships/hyperlink" Target="https://www.sec.gov/Archives/edgar/data/59478/000005947826000013/lly-20251231.htm" TargetMode="External" /><ns0:Relationship Id="rIdSource70" Type="http://schemas.openxmlformats.org/officeDocument/2006/relationships/hyperlink" Target="https://www.sec.gov/Archives/edgar/data/59478/000005947826000081/lly-20260630.htm" TargetMode="External" /><ns0:Relationship Id="rIdSource71" Type="http://schemas.openxmlformats.org/officeDocument/2006/relationships/hyperlink" Target="https://www.sec.gov/Archives/edgar/data/59478/000005947826000081/lly-20260630.htm" TargetMode="External" /><ns0:Relationship Id="rIdSource72" Type="http://schemas.openxmlformats.org/officeDocument/2006/relationships/hyperlink" Target="https://www.sec.gov/Archives/edgar/data/59478/000005947826000081/lly-20260630.htm" TargetMode="External" /><ns0:Relationship Id="rIdSource73" Type="http://schemas.openxmlformats.org/officeDocument/2006/relationships/hyperlink" Target="https://www.sec.gov/Archives/edgar/data/59478/000005947826000081/lly-20260630.htm" TargetMode="External" /><ns0:Relationship Id="rIdSource74" Type="http://schemas.openxmlformats.org/officeDocument/2006/relationships/hyperlink" Target="https://www.sec.gov/Archives/edgar/data/59478/000005947826000081/lly-20260630.htm" TargetMode="External" /><ns0:Relationship Id="rIdSource75" Type="http://schemas.openxmlformats.org/officeDocument/2006/relationships/hyperlink" Target="https://www.sec.gov/Archives/edgar/data/59478/000005947826000081/lly-20260630.htm" TargetMode="External" /><ns0:Relationship Id="rIdSource76" Type="http://schemas.openxmlformats.org/officeDocument/2006/relationships/hyperlink" Target="https://www.sec.gov/Archives/edgar/data/59478/000005947826000081/lly-20260630.htm" TargetMode="External" /><ns0:Relationship Id="rIdSource77" Type="http://schemas.openxmlformats.org/officeDocument/2006/relationships/hyperlink" Target="https://www.sec.gov/Archives/edgar/data/59478/000005947826000081/lly-20260630.htm" TargetMode="External" /><ns0:Relationship Id="rIdSource78" Type="http://schemas.openxmlformats.org/officeDocument/2006/relationships/hyperlink" Target="https://www.sec.gov/Archives/edgar/data/59478/000005947826000081/lly-20260630.htm" TargetMode="External" /><ns0:Relationship Id="rIdSource79" Type="http://schemas.openxmlformats.org/officeDocument/2006/relationships/hyperlink" Target="https://www.sec.gov/Archives/edgar/data/59478/000005947826000081/lly-20260630.htm" TargetMode="External" /><ns0:Relationship Id="rIdSource80" Type="http://schemas.openxmlformats.org/officeDocument/2006/relationships/hyperlink" Target="https://www.sec.gov/Archives/edgar/data/59478/000005947826000081/lly-20260630.htm" TargetMode="External" /><ns0:Relationship Id="rIdSource81" Type="http://schemas.openxmlformats.org/officeDocument/2006/relationships/hyperlink" Target="https://www.sec.gov/Archives/edgar/data/59478/000005947826000081/lly-20260630.htm" TargetMode="External" /><ns0:Relationship Id="rIdSource82" Type="http://schemas.openxmlformats.org/officeDocument/2006/relationships/hyperlink" Target="https://www.sec.gov/Archives/edgar/data/59478/000005947826000081/lly-20260630.htm" TargetMode="External" /><ns0:Relationship Id="rIdSource83" Type="http://schemas.openxmlformats.org/officeDocument/2006/relationships/hyperlink" Target="https://www.sec.gov/Archives/edgar/data/59478/000005947826000081/lly-20260630.htm" TargetMode="External" /><ns0:Relationship Id="rIdSource84" Type="http://schemas.openxmlformats.org/officeDocument/2006/relationships/hyperlink" Target="https://www.sec.gov/Archives/edgar/data/59478/000005947826000081/lly-20260630.htm" TargetMode="External" /><ns0:Relationship Id="rIdSource85" Type="http://schemas.openxmlformats.org/officeDocument/2006/relationships/hyperlink" Target="https://www.sec.gov/Archives/edgar/data/59478/000005947826000081/lly-20260630.htm" TargetMode="External" /><ns0:Relationship Id="rIdSource86" Type="http://schemas.openxmlformats.org/officeDocument/2006/relationships/hyperlink" Target="https://www.sec.gov/Archives/edgar/data/59478/000005947826000081/lly-20260630.htm" TargetMode="External" /><ns0:Relationship Id="rIdSource87" Type="http://schemas.openxmlformats.org/officeDocument/2006/relationships/hyperlink" Target="https://www.sec.gov/Archives/edgar/data/59478/000005947826000081/lly-20260630.htm" TargetMode="External" /><ns0:Relationship Id="rIdSource88" Type="http://schemas.openxmlformats.org/officeDocument/2006/relationships/hyperlink" Target="https://www.sec.gov/Archives/edgar/data/59478/000119312526232707/d148580dex44.htm" TargetMode="External" /><ns0:Relationship Id="rIdSource89" Type="http://schemas.openxmlformats.org/officeDocument/2006/relationships/hyperlink" Target="https://www.sec.gov/Archives/edgar/data/59478/000119312526232707/d148580dex44.htm" TargetMode="External" /><ns0:Relationship Id="rIdSource90" Type="http://schemas.openxmlformats.org/officeDocument/2006/relationships/hyperlink" Target="https://www.sec.gov/Archives/edgar/data/59478/000119312526232707/d148580dex43.htm" TargetMode="External" /><ns0:Relationship Id="rIdSource91" Type="http://schemas.openxmlformats.org/officeDocument/2006/relationships/hyperlink" Target="https://www.sec.gov/Archives/edgar/data/59478/000119312526232707/d148580dex43.htm" TargetMode="External" /><ns0:Relationship Id="rIdSource92" Type="http://schemas.openxmlformats.org/officeDocument/2006/relationships/hyperlink" Target="https://www.sec.gov/Archives/edgar/data/59478/000119312526232707/d148580dex43.htm" TargetMode="External" /><ns0:Relationship Id="rIdSource93" Type="http://schemas.openxmlformats.org/officeDocument/2006/relationships/hyperlink" Target="https://www.sec.gov/Archives/edgar/data/59478/000119312526232707/d148580dex43.htm" TargetMode="External" /><ns0:Relationship Id="rIdSource94" Type="http://schemas.openxmlformats.org/officeDocument/2006/relationships/hyperlink" Target="https://www.sec.gov/Archives/edgar/data/59478/000119312526232707/d148580dex43.htm" TargetMode="External" /><ns0:Relationship Id="rIdSource95" Type="http://schemas.openxmlformats.org/officeDocument/2006/relationships/hyperlink" Target="https://www.sec.gov/Archives/edgar/data/59478/000119312526232707/d148580dex43.htm" TargetMode="External" /><ns0:Relationship Id="rIdSource96" Type="http://schemas.openxmlformats.org/officeDocument/2006/relationships/hyperlink" Target="https://www.sec.gov/Archives/edgar/data/59478/000119312526232707/d148580d8k.htm" TargetMode="External" /><ns0:Relationship Id="rIdSource97" Type="http://schemas.openxmlformats.org/officeDocument/2006/relationships/hyperlink" Target="https://www.sec.gov/Archives/edgar/data/59478/000005947826000081/lly-20260630.htm" TargetMode="External" /><ns0:Relationship Id="rIdSource98" Type="http://schemas.openxmlformats.org/officeDocument/2006/relationships/hyperlink" Target="https://www.sec.gov/Archives/edgar/data/59478/000005947826000081/lly-20260630.htm" TargetMode="External" /><ns0:Relationship Id="rIdSource99" Type="http://schemas.openxmlformats.org/officeDocument/2006/relationships/hyperlink" Target="https://www.sec.gov/Archives/edgar/data/59478/000005947826000013/lly-20251231.htm" TargetMode="External" /><ns0:Relationship Id="rIdSource100" Type="http://schemas.openxmlformats.org/officeDocument/2006/relationships/hyperlink" Target="https://www.sec.gov/Archives/edgar/data/59478/000005947826000081/lly-20260630.htm" TargetMode="External" /><ns0:Relationship Id="rIdSource101" Type="http://schemas.openxmlformats.org/officeDocument/2006/relationships/hyperlink" Target="https://www.sec.gov/Archives/edgar/data/59478/000005947826000077/q226lillysalesandearningsp.htm" TargetMode="External" /><ns0:Relationship Id="rIdSource102" Type="http://schemas.openxmlformats.org/officeDocument/2006/relationships/hyperlink" Target="https://www.sec.gov/Archives/edgar/data/59478/000005947826000081/lly-20260630.htm" TargetMode="External" /><ns0:Relationship Id="rIdSource103" Type="http://schemas.openxmlformats.org/officeDocument/2006/relationships/hyperlink" Target="https://www.sec.gov/Archives/edgar/data/59478/000005947826000013/lly-20251231.htm" TargetMode="External" /><ns0:Relationship Id="rIdSource104" Type="http://schemas.openxmlformats.org/officeDocument/2006/relationships/hyperlink" Target="https://www.sec.gov/Archives/edgar/data/59478/000005947826000077/q226lillysalesandearningsp.htm" TargetMode="External" /><ns0:Relationship Id="rIdSource105" Type="http://schemas.openxmlformats.org/officeDocument/2006/relationships/hyperlink" Target="https://www.sec.gov/Archives/edgar/data/59478/000005947826000081/lly-20260630.htm" TargetMode="External" /><ns0:Relationship Id="rIdSource106" Type="http://schemas.openxmlformats.org/officeDocument/2006/relationships/hyperlink" Target="https://www.sec.gov/Archives/edgar/data/59478/000005947826000013/lly-20251231.htm" TargetMode="External" /><ns0:Relationship Id="rIdSource107" Type="http://schemas.openxmlformats.org/officeDocument/2006/relationships/hyperlink" Target="https://www.sec.gov/Archives/edgar/data/59478/000005947826000081/lly-20260630.htm" TargetMode="External" /><ns0:Relationship Id="rIdSource108" Type="http://schemas.openxmlformats.org/officeDocument/2006/relationships/hyperlink" Target="https://www.sec.gov/Archives/edgar/data/59478/000005947826000081/lly-20260630.htm" TargetMode="External" /><ns0:Relationship Id="rIdSource109" Type="http://schemas.openxmlformats.org/officeDocument/2006/relationships/hyperlink" Target="https://www.sec.gov/Archives/edgar/data/59478/000005947826000081/lly-20260630.htm" TargetMode="External" /><ns0:Relationship Id="rIdSource110" Type="http://schemas.openxmlformats.org/officeDocument/2006/relationships/hyperlink" Target="https://www.sec.gov/Archives/edgar/data/59478/000005947826000013/lly-20251231.htm" TargetMode="External" /><ns0:Relationship Id="rIdSource111" Type="http://schemas.openxmlformats.org/officeDocument/2006/relationships/hyperlink" Target="https://www.sec.gov/Archives/edgar/data/59478/000005947826000013/lly-20251231.htm" TargetMode="External" /><ns0:Relationship Id="rIdSource112" Type="http://schemas.openxmlformats.org/officeDocument/2006/relationships/hyperlink" Target="https://www.sec.gov/Archives/edgar/data/59478/000005947826000081/lly-20260630.htm" TargetMode="External" /><ns0:Relationship Id="rIdSource113" Type="http://schemas.openxmlformats.org/officeDocument/2006/relationships/hyperlink" Target="https://www.sec.gov/Archives/edgar/data/59478/000005947826000081/lly-20260630.htm" TargetMode="External" /><ns0:Relationship Id="rIdSource114" Type="http://schemas.openxmlformats.org/officeDocument/2006/relationships/hyperlink" Target="https://www.sec.gov/Archives/edgar/data/59478/000005947826000013/lly-20251231.htm" TargetMode="External" /><ns0:Relationship Id="rIdSource115" Type="http://schemas.openxmlformats.org/officeDocument/2006/relationships/hyperlink" Target="https://www.sec.gov/Archives/edgar/data/59478/000005947826000013/lly-20251231.htm" TargetMode="External" /><ns0:Relationship Id="rIdSource116" Type="http://schemas.openxmlformats.org/officeDocument/2006/relationships/hyperlink" Target="https://www.sec.gov/Archives/edgar/data/59478/000005947826000013/lly-20251231.htm" TargetMode="External" /><ns0:Relationship Id="rIdSource117" Type="http://schemas.openxmlformats.org/officeDocument/2006/relationships/hyperlink" Target="https://www.sec.gov/Archives/edgar/data/59478/000005947826000013/lly-20251231.htm" TargetMode="External" /><ns0:Relationship Id="rIdSource118" Type="http://schemas.openxmlformats.org/officeDocument/2006/relationships/hyperlink" Target="https://www.sec.gov/Archives/edgar/data/59478/000005947826000013/lly-20251231.htm" TargetMode="External" /><ns0:Relationship Id="rIdSource119" Type="http://schemas.openxmlformats.org/officeDocument/2006/relationships/hyperlink" Target="https://www.sec.gov/Archives/edgar/data/59478/000005947826000013/lly-20251231.htm" TargetMode="External" /><ns0:Relationship Id="rIdSource120" Type="http://schemas.openxmlformats.org/officeDocument/2006/relationships/hyperlink" Target="https://www.sec.gov/Archives/edgar/data/59478/000005947826000013/lly-20251231.htm" TargetMode="External" /><ns0:Relationship Id="rIdAnnualSource121" Type="http://schemas.openxmlformats.org/officeDocument/2006/relationships/hyperlink" Target="https://www.sec.gov/Archives/edgar/data/59478/000005947822000068/lly-20211231.htm" TargetMode="External" /><ns0:Relationship Id="rIdAnnualSource122" Type="http://schemas.openxmlformats.org/officeDocument/2006/relationships/hyperlink" Target="https://www.sec.gov/Archives/edgar/data/59478/000005947822000068/lly-20211231.htm" TargetMode="External" /><ns0:Relationship Id="rIdAnnualSource123" Type="http://schemas.openxmlformats.org/officeDocument/2006/relationships/hyperlink" Target="https://www.sec.gov/Archives/edgar/data/59478/000005947822000068/lly-20211231.htm" TargetMode="External" /><ns0:Relationship Id="rIdAnnualSource124" Type="http://schemas.openxmlformats.org/officeDocument/2006/relationships/hyperlink" Target="https://www.sec.gov/Archives/edgar/data/59478/000005947824000065/lly-20231231.htm" TargetMode="External" /><ns0:Relationship Id="rIdAnnualSource125" Type="http://schemas.openxmlformats.org/officeDocument/2006/relationships/hyperlink" Target="https://www.sec.gov/Archives/edgar/data/59478/000005947824000065/lly-20231231.htm" TargetMode="External" /><ns0:Relationship Id="rIdAnnualSource126" Type="http://schemas.openxmlformats.org/officeDocument/2006/relationships/hyperlink" Target="https://www.sec.gov/Archives/edgar/data/59478/000005947823000082/lly-20221231.htm" TargetMode="External" /><ns0:Relationship Id="rIdAnnualSource127" Type="http://schemas.openxmlformats.org/officeDocument/2006/relationships/hyperlink" Target="https://www.sec.gov/Archives/edgar/data/59478/000005947823000082/lly-20221231.htm" TargetMode="External" /><ns0:Relationship Id="rIdAnnualSource128" Type="http://schemas.openxmlformats.org/officeDocument/2006/relationships/hyperlink" Target="https://www.sec.gov/Archives/edgar/data/59478/000005947823000082/lly-20221231.htm" TargetMode="External" /><ns0:Relationship Id="rIdAnnualSource129" Type="http://schemas.openxmlformats.org/officeDocument/2006/relationships/hyperlink" Target="https://www.sec.gov/Archives/edgar/data/59478/000005947824000065/lly-20231231.htm" TargetMode="External" /><ns0:Relationship Id="rIdAnnualSource130" Type="http://schemas.openxmlformats.org/officeDocument/2006/relationships/hyperlink" Target="https://www.sec.gov/Archives/edgar/data/59478/000005947824000065/lly-20231231.htm" TargetMode="External" /><ns0:Relationship Id="rIdAnnualSource131" Type="http://schemas.openxmlformats.org/officeDocument/2006/relationships/hyperlink" Target="https://www.sec.gov/Archives/edgar/data/59478/000005947824000065/lly-20231231.htm" TargetMode="External" /><ns0:Relationship Id="rIdAnnualSource132" Type="http://schemas.openxmlformats.org/officeDocument/2006/relationships/hyperlink" Target="https://www.sec.gov/Archives/edgar/data/59478/000005947824000065/lly-20231231.htm" TargetMode="External" /><ns0:Relationship Id="rIdAnnualSource133" Type="http://schemas.openxmlformats.org/officeDocument/2006/relationships/hyperlink" Target="https://www.sec.gov/Archives/edgar/data/59478/000005947824000065/lly-20231231.htm" TargetMode="External" /><ns0:Relationship Id="rIdAnnualSource134" Type="http://schemas.openxmlformats.org/officeDocument/2006/relationships/hyperlink" Target="https://www.sec.gov/Archives/edgar/data/59478/000005947824000065/lly-20231231.htm" TargetMode="External" /><ns0:Relationship Id="rIdAnnualSource135" Type="http://schemas.openxmlformats.org/officeDocument/2006/relationships/hyperlink" Target="https://www.sec.gov/Archives/edgar/data/59478/000005947824000065/lly-20231231.htm" TargetMode="External" /><ns0:Relationship Id="rIdAnnualSource136" Type="http://schemas.openxmlformats.org/officeDocument/2006/relationships/hyperlink" Target="https://www.sec.gov/Archives/edgar/data/59478/000005947825000067/lly-20241231.htm" TargetMode="External" /><ns0:Relationship Id="rIdAnnualSource137" Type="http://schemas.openxmlformats.org/officeDocument/2006/relationships/hyperlink" Target="https://www.sec.gov/Archives/edgar/data/59478/000005947825000067/lly-20241231.htm" TargetMode="External" /><ns0:Relationship Id="rIdAnnualSource138" Type="http://schemas.openxmlformats.org/officeDocument/2006/relationships/hyperlink" Target="https://www.sec.gov/Archives/edgar/data/59478/000005947825000067/lly-20241231.htm" TargetMode="External" /><ns0:Relationship Id="rIdAnnualSource139" Type="http://schemas.openxmlformats.org/officeDocument/2006/relationships/hyperlink" Target="https://www.sec.gov/Archives/edgar/data/59478/000005947825000067/lly-20241231.htm" TargetMode="External" /><ns0:Relationship Id="rIdAnnualSource140" Type="http://schemas.openxmlformats.org/officeDocument/2006/relationships/hyperlink" Target="https://www.sec.gov/Archives/edgar/data/59478/000005947825000067/lly-20241231.htm" TargetMode="External" /><ns0:Relationship Id="rIdAnnualSource141" Type="http://schemas.openxmlformats.org/officeDocument/2006/relationships/hyperlink" Target="https://www.sec.gov/Archives/edgar/data/59478/000005947826000013/lly-20251231.htm" TargetMode="External" /><ns0:Relationship Id="rIdAnnualSource142" Type="http://schemas.openxmlformats.org/officeDocument/2006/relationships/hyperlink" Target="https://www.sec.gov/Archives/edgar/data/59478/000005947826000013/lly-20251231.htm" TargetMode="External" /><ns0:Relationship Id="rIdAnnualSource143" Type="http://schemas.openxmlformats.org/officeDocument/2006/relationships/hyperlink" Target="https://www.sec.gov/Archives/edgar/data/59478/000005947826000013/lly-20251231.htm" TargetMode="External" /><ns0:Relationship Id="rIdAnnualSource144" Type="http://schemas.openxmlformats.org/officeDocument/2006/relationships/hyperlink" Target="https://www.sec.gov/Archives/edgar/data/59478/000005947826000013/lly-20251231.htm" TargetMode="External" /><ns0:Relationship Id="rIdAnnualSource145" Type="http://schemas.openxmlformats.org/officeDocument/2006/relationships/hyperlink" Target="https://www.sec.gov/Archives/edgar/data/59478/000005947826000013/lly-20251231.htm" TargetMode="External" /></ns0:Relationships>
</file>

<file path=xl/worksheets/_rels/sheet8.xml.rels><?xml version='1.0' encoding='utf-8'?>
<ns0:Relationships xmlns:ns0="http://schemas.openxmlformats.org/package/2006/relationships"><ns0:Relationship Id="rIdSource1" Type="http://schemas.openxmlformats.org/officeDocument/2006/relationships/hyperlink" Target="https://www.sec.gov/Archives/edgar/data/59478/000005947826000081/lly-20260630.htm" TargetMode="External" /><ns0:Relationship Id="rIdSource2" Type="http://schemas.openxmlformats.org/officeDocument/2006/relationships/hyperlink" Target="https://github.com/jackconnolly1000-ux/sec-filing-research-terminal/blob/main/docs/pilot_cashflow_reconciliation.md" TargetMode="External" /><ns0:Relationship Id="rIdSource3" Type="http://schemas.openxmlformats.org/officeDocument/2006/relationships/hyperlink" Target="https://github.com/jackconnolly1000-ux/sec-filing-research-terminal/blob/main/docs/pilot_evidence_lly.md" TargetMode="External" /><ns0:Relationship Id="rIdSource4" Type="http://schemas.openxmlformats.org/officeDocument/2006/relationships/hyperlink" Target="https://www.sec.gov/Archives/edgar/data/59478/000005947826000081/lly-20260630.htm" TargetMode="External" /><ns0:Relationship Id="rIdSource5" Type="http://schemas.openxmlformats.org/officeDocument/2006/relationships/hyperlink" Target="https://github.com/jackconnolly1000-ux/sec-filing-research-terminal/blob/main/docs/lly_liquidity_review.md" TargetMode="External" /><ns0:Relationship Id="rIdSource6" Type="http://schemas.openxmlformats.org/officeDocument/2006/relationships/hyperlink" Target="https://www.sec.gov/Archives/edgar/data/59478/000005947826000077/q226lillysalesandearningsp.htm" TargetMode="External" /><ns0:Relationship Id="rIdSource7" Type="http://schemas.openxmlformats.org/officeDocument/2006/relationships/hyperlink" Target="https://data.sec.gov/submissions/CIK0000059478.json" TargetMode="External" /><ns0:Relationship Id="rIdSource8" Type="http://schemas.openxmlformats.org/officeDocument/2006/relationships/hyperlink" Target="https://github.com/jackconnolly1000-ux/sec-filing-research-terminal/blob/main/docs/lly_financing_audit.md" TargetMode="External" /><ns0:Relationship Id="rIdSource9" Type="http://schemas.openxmlformats.org/officeDocument/2006/relationships/hyperlink" Target="https://github.com/jackconnolly1000-ux/sec-filing-research-terminal/blob/main/docs/lly_interest_coverage.md" TargetMode="External" /><ns0:Relationship Id="rIdSource10" Type="http://schemas.openxmlformats.org/officeDocument/2006/relationships/hyperlink" Target="https://github.com/jackconnolly1000-ux/sec-filing-research-terminal/blob/main/docs/ratio_reconciliation.md" TargetMode="External" /><ns0:Relationship Id="rIdSource11" Type="http://schemas.openxmlformats.org/officeDocument/2006/relationships/hyperlink" Target="https://github.com/jackconnolly1000-ux/sec-filing-research-terminal/blob/main/docs/borrowing_lease_presentation.md" TargetMode="External" /><ns0:Relationship Id="rIdSource12" Type="http://schemas.openxmlformats.org/officeDocument/2006/relationships/hyperlink" Target="https://github.com/jackconnolly1000-ux/sec-filing-research-terminal/blob/main/docs/company_history.md" TargetMode="External" /><ns0:Relationship Id="rIdSource13" Type="http://schemas.openxmlformats.org/officeDocument/2006/relationships/hyperlink" Target="https://github.com/jackconnolly1000-ux/sec-filing-research-terminal/blob/main/docs/core_charts.md" TargetMode="External" /><ns0:Relationship Id="rIdSource14" Type="http://schemas.openxmlformats.org/officeDocument/2006/relationships/hyperlink" Target="https://github.com/jackconnolly1000-ux/sec-filing-research-terminal/blob/main/docs/excel_parity.md" TargetMode="External" /><ns0:Relationship Id="rIdAnnualSource15" Type="http://schemas.openxmlformats.org/officeDocument/2006/relationships/hyperlink" Target="https://github.com/jackconnolly1000-ux/sec-filing-research-terminal/blob/main/docs/annual_history_reconciliation.md" TargetMode="External" /></ns0:Relationships>
</file>

<file path=xl/worksheets/_rels/sheet9.xml.rels><?xml version="1.0" encoding="UTF-8" standalone="yes"?><Relationships xmlns="http://schemas.openxmlformats.org/package/2006/relationships"><Relationship Id="rIdAnnualCharts" Type="http://schemas.openxmlformats.org/officeDocument/2006/relationships/drawing" Target="/xl/drawings/drawing3.xml"/></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222"/>
      <x:c r="B1" s="223"/>
    </x:row>
    <x:row r="2" ht="26" customHeight="1">
      <x:c r="A2" s="224" t="str">
        <x:v>Eli Lilly and Company funding conclusion</x:v>
      </x:c>
      <x:c r="B2" s="223"/>
    </x:row>
    <x:row r="3" ht="24" customHeight="1">
      <x:c r="A3" s="225" t="str">
        <x:v>Balance sheet 2026-06-30. Interpretation checked 2026-10-16. Source dates remain historical.</x:v>
      </x:c>
      <x:c r="B3" s="223"/>
    </x:row>
    <x:row r="4">
      <x:c r="A4" s="222"/>
      <x:c r="B4" s="223"/>
    </x:row>
    <x:row r="5">
      <x:c r="A5" s="226" t="str">
        <x:v>Question</x:v>
      </x:c>
      <x:c r="B5" s="227" t="str">
        <x:v>Checked interpretation</x:v>
      </x:c>
    </x:row>
    <x:row r="6" ht="55" customHeight="1">
      <x:c r="A6" s="228" t="str">
        <x:v>Conclusion</x:v>
      </x:c>
      <x:c r="B6" s="229" t="str">
        <x:v>Acquisition and manufacturing spending compete with repayment resources. H1 cash generation after cash PP&amp;E was less than acquisition/IPR&amp;D cash plus shareholder payouts. Incomplete payment dates and unverified post-expiry credit prevent a future funding-surplus conclusion.</x:v>
      </x:c>
    </x:row>
    <x:row r="7" ht="76" customHeight="1">
      <x:c r="A7" s="228" t="str">
        <x:v>Near-term obligations</x:v>
      </x:c>
      <x:c r="B7" s="229" t="str">
        <x:v>At June 30, 2026, current borrowing was $7.050B, a carrying classification without a complete dated principal schedule. Unpaid acquisition cash was $296M with dates unstated. Approximately $2.8B for pending AtaiBeckley was conditional on closing, disclosed August 5.</x:v>
      </x:c>
    </x:row>
    <x:row r="8" ht="76" customHeight="1">
      <x:c r="A8" s="228" t="str">
        <x:v>Resources and access</x:v>
      </x:c>
      <x:c r="B8" s="229" t="str">
        <x:v>$8.950B cash at June 30 excludes restricted cash. H1 2026 OCF less cash PP&amp;E was $10.764B, already reflected in cash. June unused commitments of $10.1B are not verified drawable funds. The $6B facility's August 2026 expiry has no checked renewal.</x:v>
      </x:c>
    </x:row>
    <x:row r="9" ht="76" customHeight="1">
      <x:c r="A9" s="228" t="str">
        <x:v>Competing cash uses</x:v>
      </x:c>
      <x:c r="B9" s="229" t="str">
        <x:v>H1 2026 acquisitions/IPR&amp;D used $13.291B and dividends/buybacks $7.051B, while net borrowing contributed $12.602B. July acquisitions used approximately $2B. August's $4.5B Indiana announcement has no cash schedule. Subsequent uses do not establish an updated cash balance.</x:v>
      </x:c>
    </x:row>
    <x:row r="10" ht="76" customHeight="1">
      <x:c r="A10" s="230" t="str">
        <x:v>Decisive unknowns</x:v>
      </x:c>
      <x:c r="B10" s="231" t="str">
        <x:v>Future funding coverage: Unavailable. Needed: remaining principal dates, current drawable credit and acquisition/manufacturing payment timing. The December 2025 supply/manufacturing ceiling of up to approximately $10B is conditional over generally up to eight years. Its overlap with later investment announcements is unresolved.</x:v>
      </x:c>
    </x:row>
    <x:row r="11">
      <x:c r="A11" s="222"/>
      <x:c r="B11" s="223"/>
    </x:row>
    <x:row r="12" ht="32" customHeight="1">
      <x:c r="A12" s="226" t="str">
        <x:v>Historical interest coverage</x:v>
      </x:c>
      <x:c r="B12" s="227" t="str">
        <x:v>Multiple; historical accrual earnings / interest, not repayment coverage</x:v>
      </x:c>
    </x:row>
    <x:row r="13">
      <x:c r="A13" s="232" t="str">
        <x:v>TTM coverage (x)</x:v>
      </x:c>
      <x:c r="B13" s="233" t="n">
        <x:f>IF(ISNUMBER('Debt and liquidity'!B50),'Debt and liquidity'!B50,NA())</x:f>
        <x:v>31.17052826691381</x:v>
      </x:c>
    </x:row>
    <x:row r="14" ht="72" customHeight="1">
      <x:c r="A14" s="234" t="str">
        <x:v>Company-specific basis</x:v>
      </x:c>
      <x:c r="B14" s="229" t="str">
        <x:v>TTM Jul 2025–Jun 2026: derived operating income $33.633B / reported interest $1.079B. Annual interest is net of capitalization; the interim basis and capitalized amount are unstated. No capitalization adjustment or earnings addback is made.</x:v>
      </x:c>
    </x:row>
    <x:row r="15" ht="88" customHeight="1">
      <x:c r="A15" s="235" t="str">
        <x:v>Interpretation across companies</x:v>
      </x:c>
      <x:c r="B15" s="231"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222"/>
      <x:c r="B16" s="223"/>
    </x:row>
    <x:row r="17" ht="42" customHeight="1">
      <x:c r="A17" s="236" t="str">
        <x:v>Future funding coverage</x:v>
      </x:c>
      <x:c r="B17" s="237" t="str">
        <x:v>Unavailable: payment timing, accessible resources and future cash generation are not jointly established.</x:v>
      </x:c>
    </x:row>
    <x:row r="18" ht="42" customHeight="1">
      <x:c r="A18" s="238" t="str">
        <x:v>Source interpretation</x:v>
      </x:c>
      <x:c r="B18" s="237" t="str">
        <x:v>Narrative reflects the checked source snapshot. Editing workbook inputs updates calculations but requires a new review of the narrative.</x:v>
      </x:c>
    </x:row>
    <x:row r="20" ht="44" customHeight="1">
      <x:c r="A20" s="1454" t="str">
        <x:v>Workbook contents — select the named tab</x:v>
      </x:c>
      <x:c r="B20" s="1456" t="str">
        <x:v>Question / evidence</x:v>
      </x:c>
    </x:row>
    <x:row r="21" ht="44" customHeight="1">
      <x:c r="A21" s="739" t="str">
        <x:v>Funding conclusion</x:v>
      </x:c>
      <x:c r="B21" s="740" t="str">
        <x:v>Start here: obligations, accessible resources, competing uses and decisive unknowns.</x:v>
      </x:c>
    </x:row>
    <x:row r="22" ht="44" customHeight="1">
      <x:c r="A22" s="739" t="str">
        <x:v>Borrowing and leases</x:v>
      </x:c>
      <x:c r="B22" s="740" t="str">
        <x:v>Borrowing components, dated lease liabilities and uncommenced commitments, separately.</x:v>
      </x:c>
    </x:row>
    <x:row r="23" ht="44" customHeight="1">
      <x:c r="A23" s="739" t="str">
        <x:v>Debt and liquidity</x:v>
      </x:c>
      <x:c r="B23" s="740" t="str">
        <x:v>Latest checked ratios, formulas, periods and company-specific limits.</x:v>
      </x:c>
    </x:row>
    <x:row r="24" ht="44" customHeight="1">
      <x:c r="A24" s="739" t="str">
        <x:v>History</x:v>
      </x:c>
      <x:c r="B24" s="740" t="str">
        <x:v>Annual versus latest dated balances; overlapping FY and TTM flows. Unavailable is not zero.</x:v>
      </x:c>
    </x:row>
    <x:row r="25" ht="44" customHeight="1">
      <x:c r="A25" s="739" t="str">
        <x:v>Annual history</x:v>
      </x:c>
      <x:c r="B25" s="740" t="str">
        <x:v>Five completed fiscal years, sourced inputs and FCF formulas; annual history is separate from the latest TTM.</x:v>
      </x:c>
    </x:row>
    <x:row r="26" ht="44" customHeight="1">
      <x:c r="A26" s="739" t="str">
        <x:v>Core charts</x:v>
      </x:c>
      <x:c r="B26" s="740" t="str">
        <x:v>What remained after capital spending, and how checked cash/borrowing balances changed.</x:v>
      </x:c>
    </x:row>
    <x:row r="27" ht="44" customHeight="1">
      <x:c r="A27" s="739" t="str">
        <x:v>Repayment review</x:v>
      </x:c>
      <x:c r="B27" s="740" t="str">
        <x:v>H1 cash uses, conditional commitments, credit evidence and selected May issuance maturities.</x:v>
      </x:c>
    </x:row>
    <x:row r="28" ht="44" customHeight="1">
      <x:c r="A28" s="741" t="str">
        <x:v>Data</x:v>
      </x:c>
      <x:c r="B28" s="742" t="str">
        <x:v>Reported inputs with filing dates, accessions, tags, contexts and source URLs; separate evidence blocks.</x:v>
      </x:c>
    </x:row>
    <x:row r="29" ht="44" customHeight="1">
      <x:c r="A29" s="741" t="str">
        <x:v>About</x:v>
      </x:c>
      <x:c r="B29" s="742" t="str">
        <x:v>Definitions, source scope, missing values, colors and methodology references.</x:v>
      </x:c>
    </x:row>
    <x:row r="30" ht="12" customHeight="1">
      <x:c r="A30" s="963"/>
      <x:c r="B30" s="964"/>
    </x:row>
    <x:row r="31" ht="55" customHeight="1">
      <x:c r="A31" s="796" t="str">
        <x:v>Units and dates</x:v>
      </x:c>
      <x:c r="B31" s="798" t="str">
        <x:v>Whole USD, displayed in millions except x and %. Annual history uses five full fiscal years. The separate FY-versus-TTM comparison overlaps.</x:v>
      </x:c>
    </x:row>
    <x:row r="32" ht="55" customHeight="1">
      <x:c r="A32" s="749" t="str">
        <x:v>Colors</x:v>
      </x:c>
      <x:c r="B32" s="740" t="str">
        <x:v>Blue numeric cells are reported inputs; green formulas link to another sheet; black formulas calculate within a sheet.</x:v>
      </x:c>
    </x:row>
    <x:row r="33" ht="55" customHeight="1">
      <x:c r="A33" s="750" t="str">
        <x:v>Evidence and uncertainty</x:v>
      </x:c>
      <x:c r="B33" s="742" t="str">
        <x:v>Data retains source URLs, periods, accessions, tags and contexts. Select a source URL to open it in a browser. Unavailable is never zero.</x:v>
      </x:c>
    </x:row>
    <x:row r="34" ht="55" customHeight="1">
      <x:c r="A34" s="1467" t="str">
        <x:v>Reading the charts</x:v>
      </x:c>
      <x:c r="B34" s="1468" t="str">
        <x:v>FCF is OCF less capex, not another cash flow. Annual charts and the latest TTM keep their own periods and bases.</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222"/>
      <x:c r="B1" s="241"/>
      <x:c r="C1" s="241"/>
      <x:c r="D1" s="241"/>
      <x:c r="E1" s="223"/>
    </x:row>
    <x:row r="2" ht="25" customHeight="1">
      <x:c r="A2" s="224" t="str">
        <x:v>Eli Lilly and Company borrowing and leases</x:v>
      </x:c>
      <x:c r="B2" s="241"/>
      <x:c r="C2" s="241"/>
      <x:c r="D2" s="241"/>
      <x:c r="E2" s="223"/>
    </x:row>
    <x:row r="3" ht="25" customHeight="1">
      <x:c r="A3" s="225" t="str">
        <x:v>Amounts in USD millions. Each balance retains its own date. Baseline borrowing excludes leases.</x:v>
      </x:c>
      <x:c r="B3" s="241"/>
      <x:c r="C3" s="241"/>
      <x:c r="D3" s="241"/>
      <x:c r="E3" s="223"/>
    </x:row>
    <x:row r="4" ht="12" customHeight="1">
      <x:c r="A4" s="222"/>
      <x:c r="B4" s="241"/>
      <x:c r="C4" s="241"/>
      <x:c r="D4" s="241"/>
      <x:c r="E4" s="223"/>
    </x:row>
    <x:row r="5" ht="28" customHeight="1">
      <x:c r="A5" s="226" t="str">
        <x:v>Borrowing component</x:v>
      </x:c>
      <x:c r="B5" s="242" t="str">
        <x:v>USD millions</x:v>
      </x:c>
      <x:c r="C5" s="242" t="str">
        <x:v>As of</x:v>
      </x:c>
      <x:c r="D5" s="242" t="str">
        <x:v>Source / filing</x:v>
      </x:c>
      <x:c r="E5" s="227" t="str">
        <x:v>Basis</x:v>
      </x:c>
    </x:row>
    <x:row r="6" ht="42" customHeight="1">
      <x:c r="A6" s="234" t="str">
        <x:v>Current borrowing</x:v>
      </x:c>
      <x:c r="B6" s="243" t="n">
        <x:f>IF(ISNUMBER('Data'!B120),'Data'!B120,NA())</x:f>
        <x:v>7050000000</x:v>
      </x:c>
      <x:c r="C6" s="244" t="d">
        <x:v>2026-06-30T00:00:00.000Z</x:v>
      </x:c>
      <x:c r="D6" s="245" t="str">
        <x:v>10-Q balance sheet, p. 7; filed 2026-08-05</x:v>
      </x:c>
      <x:c r="E6" s="229" t="str">
        <x:v>Short-term borrowings and current maturities of long-term debt</x:v>
      </x:c>
    </x:row>
    <x:row r="7" ht="42" customHeight="1">
      <x:c r="A7" s="234" t="str">
        <x:v>Noncurrent borrowing</x:v>
      </x:c>
      <x:c r="B7" s="243" t="n">
        <x:f>IF(ISNUMBER('Data'!B121),'Data'!B121,NA())</x:f>
        <x:v>47858000000</x:v>
      </x:c>
      <x:c r="C7" s="244" t="d">
        <x:v>2026-06-30T00:00:00.000Z</x:v>
      </x:c>
      <x:c r="D7" s="245" t="str">
        <x:v>10-Q balance sheet, p. 7; filed 2026-08-05</x:v>
      </x:c>
      <x:c r="E7" s="229" t="str">
        <x:v>Long-term debt</x:v>
      </x:c>
    </x:row>
    <x:row r="8" ht="42" customHeight="1">
      <x:c r="A8" s="246" t="str">
        <x:v>Baseline gross debt</x:v>
      </x:c>
      <x:c r="B8" s="247" t="n">
        <x:f>SUM(B6:B7)</x:f>
        <x:v>54908000000</x:v>
      </x:c>
      <x:c r="C8" s="248" t="d">
        <x:v>2026-06-30T00:00:00.000Z</x:v>
      </x:c>
      <x:c r="D8" s="249" t="str">
        <x:v>Derived from the components above</x:v>
      </x:c>
      <x:c r="E8" s="250" t="str">
        <x:v>Carrying amount; excludes leases.</x:v>
      </x:c>
    </x:row>
    <x:row r="9" ht="12" customHeight="1">
      <x:c r="A9" s="222"/>
      <x:c r="B9" s="251"/>
      <x:c r="C9" s="252"/>
      <x:c r="D9" s="241"/>
      <x:c r="E9" s="223"/>
    </x:row>
    <x:row r="10" ht="58" customHeight="1">
      <x:c r="A10" s="238" t="str">
        <x:v>Borrowing scope</x:v>
      </x:c>
      <x:c r="B10" s="251"/>
      <x:c r="C10" s="252"/>
      <x:c r="D10" s="241"/>
      <x:c r="E10" s="237" t="str">
        <x:v>Current borrowing includes short-term borrowings and current maturities. The Note 8 fair-value carrying amounts describe the same debt and are not added.</x:v>
      </x:c>
    </x:row>
    <x:row r="11" ht="12" customHeight="1">
      <x:c r="A11" s="222"/>
      <x:c r="B11" s="251"/>
      <x:c r="C11" s="252"/>
      <x:c r="D11" s="241"/>
      <x:c r="E11" s="223"/>
    </x:row>
    <x:row r="12" ht="12" customHeight="1">
      <x:c r="A12" s="222"/>
      <x:c r="B12" s="251"/>
      <x:c r="C12" s="252"/>
      <x:c r="D12" s="241"/>
      <x:c r="E12" s="223"/>
    </x:row>
    <x:row r="13" ht="28" customHeight="1">
      <x:c r="A13" s="226" t="str">
        <x:v>Lease liability / commitment</x:v>
      </x:c>
      <x:c r="B13" s="253" t="str">
        <x:v>USD millions</x:v>
      </x:c>
      <x:c r="C13" s="254" t="str">
        <x:v>As of</x:v>
      </x:c>
      <x:c r="D13" s="242" t="str">
        <x:v>Source / filing</x:v>
      </x:c>
      <x:c r="E13" s="227" t="str">
        <x:v>Basis / Unavailable reason</x:v>
      </x:c>
    </x:row>
    <x:row r="14" ht="42" customHeight="1">
      <x:c r="A14" s="234" t="str">
        <x:v>Lease liabilities at latest balance sheet</x:v>
      </x:c>
      <x:c r="B14" s="255" t="str">
        <x:v>Unavailable</x:v>
      </x:c>
      <x:c r="C14" s="244" t="d">
        <x:v>2026-06-30T00:00:00.000Z</x:v>
      </x:c>
      <x:c r="D14" s="245" t="str">
        <x:v>Checked 10-Q review</x:v>
      </x:c>
      <x:c r="E14" s="229" t="str">
        <x:v>No lease liability amounts established in this 10-Q. Older amounts below are not substituted.</x:v>
      </x:c>
    </x:row>
    <x:row r="15" ht="42" customHeight="1">
      <x:c r="A15" s="234" t="str">
        <x:v>Operating lease liabilities — current</x:v>
      </x:c>
      <x:c r="B15" s="243" t="n">
        <x:f>IF(ISNUMBER('Data'!B123),'Data'!B123,NA())</x:f>
        <x:v>222000000</x:v>
      </x:c>
      <x:c r="C15" s="244" t="d">
        <x:v>2025-12-31T00:00:00.000Z</x:v>
      </x:c>
      <x:c r="D15" s="245" t="str">
        <x:v>10-K Note 10, p. 76; filed 2026-02-12</x:v>
      </x:c>
      <x:c r="E15" s="229" t="str">
        <x:v>Recognized lease liability; excluded from baseline borrowing.</x:v>
      </x:c>
    </x:row>
    <x:row r="16" ht="42" customHeight="1">
      <x:c r="A16" s="234" t="str">
        <x:v>Operating lease liabilities — noncurrent</x:v>
      </x:c>
      <x:c r="B16" s="243" t="n">
        <x:f>IF(ISNUMBER('Data'!B124),'Data'!B124,NA())</x:f>
        <x:v>1140000000</x:v>
      </x:c>
      <x:c r="C16" s="244" t="d">
        <x:v>2025-12-31T00:00:00.000Z</x:v>
      </x:c>
      <x:c r="D16" s="245" t="str">
        <x:v>10-K Note 10, p. 76; filed 2026-02-12</x:v>
      </x:c>
      <x:c r="E16" s="229" t="str">
        <x:v>Recognized lease liability; excluded from baseline borrowing.</x:v>
      </x:c>
    </x:row>
    <x:row r="17" ht="42" customHeight="1">
      <x:c r="A17" s="256" t="str">
        <x:v>Operating lease liabilities — total</x:v>
      </x:c>
      <x:c r="B17" s="257" t="n">
        <x:f>B15+B16</x:f>
        <x:v>1362000000</x:v>
      </x:c>
      <x:c r="C17" s="258" t="d">
        <x:v>2025-12-31T00:00:00.000Z</x:v>
      </x:c>
      <x:c r="D17" s="259" t="str">
        <x:v>10-K Note 10, p. 76</x:v>
      </x:c>
      <x:c r="E17" s="260" t="str">
        <x:v>Derived current + noncurrent; no separately tagged total.</x:v>
      </x:c>
    </x:row>
    <x:row r="18" ht="42" customHeight="1">
      <x:c r="A18" s="235" t="str">
        <x:v>Finance lease liabilities</x:v>
      </x:c>
      <x:c r="B18" s="261" t="str">
        <x:v>Unavailable</x:v>
      </x:c>
      <x:c r="C18" s="262" t="d">
        <x:v>2026-06-30T00:00:00.000Z</x:v>
      </x:c>
      <x:c r="D18" s="263" t="str">
        <x:v>10-Q review; June amount not established</x:v>
      </x:c>
      <x:c r="E18" s="231" t="str">
        <x:v>No checked June amount. The 10-K describes operating leases only; finance leases are not reported, which is not zero.</x:v>
      </x:c>
    </x:row>
    <x:row r="19" ht="12" customHeight="1">
      <x:c r="A19" s="222"/>
      <x:c r="B19" s="251"/>
      <x:c r="C19" s="252"/>
      <x:c r="D19" s="241"/>
      <x:c r="E19" s="223"/>
    </x:row>
    <x:row r="20" ht="54" customHeight="1">
      <x:c r="A20" s="264" t="str">
        <x:v>Leases not yet commenced</x:v>
      </x:c>
      <x:c r="B20" s="265" t="str">
        <x:v>Unavailable</x:v>
      </x:c>
      <x:c r="C20" s="266" t="d">
        <x:v>2026-06-30T00:00:00.000Z</x:v>
      </x:c>
      <x:c r="D20" s="267" t="str">
        <x:v>Saved pilot evidence; 10-Q review</x:v>
      </x:c>
      <x:c r="E20" s="268" t="str">
        <x:v>No checked amount for leases not yet commenced is established in the saved pilot evidence. Unavailable does not mean zero.</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ht="30" customHeight="1">
      <x:c r="A2" s="269" t="str">
        <x:v>Eli Lilly and Company</x:v>
      </x:c>
      <x:c r="B2" s="241"/>
      <x:c r="C2" s="241"/>
      <x:c r="D2" s="223"/>
    </x:row>
    <x:row r="3" ht="30" customHeight="1">
      <x:c r="A3" s="225" t="str">
        <x:v>Balance sheet June 30, 2026. TTM July 2025–June 2026. USD millions unless ratio or %.</x:v>
      </x:c>
      <x:c r="B3" s="241"/>
      <x:c r="C3" s="241"/>
      <x:c r="D3" s="223"/>
    </x:row>
    <x:row r="4" ht="30" customHeight="1">
      <x:c r="A4" s="222"/>
      <x:c r="B4" s="241"/>
      <x:c r="C4" s="241"/>
      <x:c r="D4" s="223"/>
    </x:row>
    <x:row r="5" ht="30" customHeight="1">
      <x:c r="A5" s="226" t="str">
        <x:v>Measure</x:v>
      </x:c>
      <x:c r="B5" s="242" t="str">
        <x:v>Value (USD millions / x / %)</x:v>
      </x:c>
      <x:c r="C5" s="242" t="str">
        <x:v>Period end</x:v>
      </x:c>
      <x:c r="D5" s="227" t="str">
        <x:v>Formula / basis / limitation</x:v>
      </x:c>
    </x:row>
    <x:row r="6" ht="50" customHeight="1">
      <x:c r="A6" s="234" t="str">
        <x:v>Cash and cash equivalents</x:v>
      </x:c>
      <x:c r="B6" s="243" t="n">
        <x:f>IF(ISNUMBER('Data'!B2),'Data'!B2,NA())</x:f>
        <x:v>8950000000</x:v>
      </x:c>
      <x:c r="C6" s="244" t="d">
        <x:v>2026-06-30T00:00:00.000Z</x:v>
      </x:c>
      <x:c r="D6" s="270" t="str">
        <x:v>Cash and cash equivalents excluding restricted cash. Investments are not substituted.</x:v>
      </x:c>
    </x:row>
    <x:row r="7" ht="66" customHeight="1">
      <x:c r="A7" s="256" t="str">
        <x:v>Baseline gross debt</x:v>
      </x:c>
      <x:c r="B7" s="271" t="n">
        <x:f>IF(AND(IF(ISNUMBER('Data'!B3),'Data'!B3,NA())&gt;=0,IF(ISNUMBER('Data'!B4),'Data'!B4,NA())&gt;=0),IF(ISNUMBER('Data'!B3),'Data'!B3,NA())+IF(ISNUMBER('Data'!B4),'Data'!B4,NA()),NA())</x:f>
        <x:v>54908000000</x:v>
      </x:c>
      <x:c r="C7" s="258" t="d">
        <x:v>2026-06-30T00:00:00.000Z</x:v>
      </x:c>
      <x:c r="D7" s="272" t="str">
        <x:v>Carrying amount of borrowing. Operating/finance leases and commitments are excluded. In this 10-Q, the Note 8 fair-value table's carrying amounts (commercial paper 5,284M plus long-term debt including current portion 49,624M) present the same 54,908M; they are not added.</x:v>
      </x:c>
    </x:row>
    <x:row r="8" ht="50" customHeight="1">
      <x:c r="A8" s="256" t="str">
        <x:v>Net debt</x:v>
      </x:c>
      <x:c r="B8" s="257" t="n">
        <x:f>B7-B6</x:f>
        <x:v>45958000000</x:v>
      </x:c>
      <x:c r="C8" s="258" t="d">
        <x:v>2026-06-30T00:00:00.000Z</x:v>
      </x:c>
      <x:c r="D8" s="272" t="str">
        <x:v>Baseline borrowing less cash excluding restricted cash. Same date and filing. Negative net debt is retained.</x:v>
      </x:c>
    </x:row>
    <x:row r="9" ht="53" customHeight="1">
      <x:c r="A9" s="234" t="str">
        <x:v>Current ratio</x:v>
      </x:c>
      <x:c r="B9" s="273" t="n">
        <x:f>IF(IF(ISNUMBER('Data'!B5),'Data'!B5,NA())&gt;0,IF(ISNUMBER('Data'!B6),'Data'!B6,NA())/IF(ISNUMBER('Data'!B5),'Data'!B5,NA()),NA())</x:f>
        <x:v>1.3546427598919168</x:v>
      </x:c>
      <x:c r="C9" s="244" t="d">
        <x:v>2026-06-30T00:00:00.000Z</x:v>
      </x:c>
      <x:c r="D9" s="270" t="str">
        <x:v>Total current assets / total current liabilities from one balance sheet. Liabilities include more than borrowing; assets include more than cash.</x:v>
      </x:c>
    </x:row>
    <x:row r="10" ht="50" customHeight="1">
      <x:c r="A10" s="234" t="str">
        <x:v>Operating cash flow</x:v>
      </x:c>
      <x:c r="B10" s="243" t="n">
        <x:f>(1*IF(ISNUMBER('Data'!B7),'Data'!B7,NA()))+(1*IF(ISNUMBER('Data'!B8),'Data'!B8,NA()))+(-1*IF(ISNUMBER('Data'!B9),'Data'!B9,NA()))</x:f>
        <x:v>28083000000</x:v>
      </x:c>
      <x:c r="C10" s="244" t="d">
        <x:v>2026-06-30T00:00:00.000Z</x:v>
      </x:c>
      <x:c r="D10" s="270" t="str">
        <x:v>Reported historical OCF; recurrence is not established. Uses FY + current YTD - prior YTD.</x:v>
      </x:c>
    </x:row>
    <x:row r="11" ht="50" customHeight="1">
      <x:c r="A11" s="234" t="str">
        <x:v>Purchases of property and equipment</x:v>
      </x:c>
      <x:c r="B11" s="243" t="n">
        <x:f>(1*IF(ISNUMBER('Data'!B10),'Data'!B10,NA()))+(1*IF(ISNUMBER('Data'!B11),'Data'!B11,NA()))+(-1*IF(ISNUMBER('Data'!B12),'Data'!B12,NA()))</x:f>
        <x:v>9893000000</x:v>
      </x:c>
      <x:c r="C11" s="244" t="d">
        <x:v>2026-06-30T00:00:00.000Z</x:v>
      </x:c>
      <x:c r="D11" s="270" t="str">
        <x:v>Reported purchases of property and equipment; excludes acquisitions and other investing cash flows.</x:v>
      </x:c>
    </x:row>
    <x:row r="12" ht="50" customHeight="1">
      <x:c r="A12" s="256" t="str">
        <x:v>Free cash flow</x:v>
      </x:c>
      <x:c r="B12" s="257" t="n">
        <x:f>B10-B11</x:f>
        <x:v>18190000000</x:v>
      </x:c>
      <x:c r="C12" s="258" t="d">
        <x:v>2026-06-30T00:00:00.000Z</x:v>
      </x:c>
      <x:c r="D12" s="272" t="str">
        <x:v>OCF less reported capital spending. Uses the spending basis above; excludes acquisitions, dividends and other cash uses.</x:v>
      </x:c>
    </x:row>
    <x:row r="13" ht="50" customHeight="1">
      <x:c r="A13" s="234" t="str">
        <x:v>Operating cash flow / debt</x:v>
      </x:c>
      <x:c r="B13" s="274" t="n">
        <x:f>IF(B7&gt;0,B10/B7,NA())</x:f>
        <x:v>0.511455525606469</x:v>
      </x:c>
      <x:c r="C13" s="244" t="d">
        <x:v>2026-06-30T00:00:00.000Z</x:v>
      </x:c>
      <x:c r="D13" s="270" t="str">
        <x:v>Historical TTM OCF / period-end baseline borrowing, not average debt or repayment coverage. The reported OCF basis above is retained.</x:v>
      </x:c>
    </x:row>
    <x:row r="14" ht="50" customHeight="1">
      <x:c r="A14" s="234" t="str">
        <x:v>Free cash flow / debt</x:v>
      </x:c>
      <x:c r="B14" s="274" t="n">
        <x:f>IF(B7&gt;0,B12/B7,NA())</x:f>
        <x:v>0.33128141618707657</x:v>
      </x:c>
      <x:c r="C14" s="244" t="d">
        <x:v>2026-06-30T00:00:00.000Z</x:v>
      </x:c>
      <x:c r="D14" s="270" t="str">
        <x:v>Historical TTM FCF / period-end baseline borrowing. Uses the spending basis above; not repayment coverage.</x:v>
      </x:c>
    </x:row>
    <x:row r="15" ht="105" customHeight="1">
      <x:c r="A15" s="235" t="str">
        <x:v>Historical interest coverage</x:v>
      </x:c>
      <x:c r="B15" s="275" t="n">
        <x:f>B50</x:f>
        <x:v>31.17052826691381</x:v>
      </x:c>
      <x:c r="C15" s="262" t="d">
        <x:v>2026-06-30T00:00:00.000Z</x:v>
      </x:c>
      <x:c r="D15" s="276"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 See the detailed interest build for composition and limitations.</x:v>
      </x:c>
    </x:row>
    <x:row r="16" ht="30" customHeight="1">
      <x:c r="A16" s="222"/>
      <x:c r="B16" s="241"/>
      <x:c r="C16" s="241"/>
      <x:c r="D16" s="223"/>
    </x:row>
    <x:row r="17" ht="30" customHeight="1">
      <x:c r="A17" s="238" t="str">
        <x:v>Selected obligations, separate from borrowing</x:v>
      </x:c>
      <x:c r="B17" s="241"/>
      <x:c r="C17" s="241"/>
      <x:c r="D17" s="223"/>
    </x:row>
    <x:row r="18" ht="30" customHeight="1">
      <x:c r="A18" s="226" t="str">
        <x:v>Item</x:v>
      </x:c>
      <x:c r="B18" s="242" t="str">
        <x:v>Disclosed amount / timing</x:v>
      </x:c>
      <x:c r="C18" s="277" t="str">
        <x:v>Basis</x:v>
      </x:c>
      <x:c r="D18" s="223"/>
    </x:row>
    <x:row r="19" ht="62" customHeight="1">
      <x:c r="A19" s="278" t="str">
        <x:f>'Data'!A16</x:f>
        <x:v>Pending AtaiBeckley acquisition</x:v>
      </x:c>
      <x:c r="B19" s="279" t="str">
        <x:f>'Data'!B16</x:f>
        <x:v>Approximately $2.8B</x:v>
      </x:c>
      <x:c r="C19" s="280" t="str">
        <x:f>'Data'!I16</x:f>
        <x:v>Potential payment at closing, subject to closing conditions. Not recognized as borrowing.</x:v>
      </x:c>
      <x:c r="D19" s="223"/>
    </x:row>
    <x:row r="20" ht="62" customHeight="1">
      <x:c r="A20" s="281" t="str">
        <x:f>'Data'!A17</x:f>
        <x:v>Venture fund commitments</x:v>
      </x:c>
      <x:c r="B20" s="282" t="str">
        <x:f>'Data'!B17</x:f>
        <x:v>Approximately $806M</x:v>
      </x:c>
      <x:c r="C20" s="283" t="str">
        <x:f>'Data'!I17</x:f>
        <x:v>Expected to be paid over up to ten years. Not recognized as borrowing.</x:v>
      </x:c>
      <x:c r="D20" s="223"/>
    </x:row>
    <x:row r="21" ht="30" customHeight="1">
      <x:c r="A21" s="222"/>
      <x:c r="B21" s="241"/>
      <x:c r="C21" s="241"/>
      <x:c r="D21" s="223"/>
    </x:row>
    <x:row r="22" ht="30" customHeight="1">
      <x:c r="A22" s="222"/>
      <x:c r="B22" s="241"/>
      <x:c r="C22" s="241"/>
      <x:c r="D22" s="223"/>
    </x:row>
    <x:row r="23" ht="30" customHeight="1">
      <x:c r="A23" s="238" t="str">
        <x:v>Remaining gaps</x:v>
      </x:c>
      <x:c r="B23" s="241"/>
      <x:c r="C23" s="241"/>
      <x:c r="D23" s="223"/>
    </x:row>
    <x:row r="24" ht="30" customHeight="1">
      <x:c r="A24" s="225" t="str">
        <x:v>June lease liabilities and a complete updated principal schedule are Unavailable. Historical interest coverage is built below.</x:v>
      </x:c>
      <x:c r="B24" s="241"/>
      <x:c r="C24" s="241"/>
      <x:c r="D24" s="223"/>
    </x:row>
    <x:row r="25" ht="30" customHeight="1">
      <x:c r="A25" s="225" t="str">
        <x:v>See Repayment review for dated cash flows, facilities, acquisitions and manufacturing commitments.</x:v>
      </x:c>
      <x:c r="B25" s="241"/>
      <x:c r="C25" s="241"/>
      <x:c r="D25" s="223"/>
    </x:row>
    <x:row r="26" ht="30" customHeight="1">
      <x:c r="A26" s="225" t="str">
        <x:v>Financing index checked through October 15, 2026. See Repayment review for May terms; all sources and limits are in Data.</x:v>
      </x:c>
      <x:c r="B26" s="241"/>
      <x:c r="C26" s="241"/>
      <x:c r="D26" s="223"/>
    </x:row>
    <x:row r="27" ht="30" customHeight="1">
      <x:c r="A27" s="222"/>
      <x:c r="B27" s="241"/>
      <x:c r="C27" s="241"/>
      <x:c r="D27" s="223"/>
    </x:row>
    <x:row r="28" ht="30" customHeight="1">
      <x:c r="A28" s="222"/>
      <x:c r="B28" s="241"/>
      <x:c r="C28" s="241"/>
      <x:c r="D28" s="223"/>
    </x:row>
    <x:row r="29" ht="30" customHeight="1">
      <x:c r="A29" s="222"/>
      <x:c r="B29" s="241"/>
      <x:c r="C29" s="241"/>
      <x:c r="D29" s="223"/>
    </x:row>
    <x:row r="30" ht="30" customHeight="1">
      <x:c r="A30" s="284" t="str">
        <x:v>Historical operating-income interest coverage</x:v>
      </x:c>
      <x:c r="B30" s="241"/>
      <x:c r="C30" s="241"/>
      <x:c r="D30" s="223"/>
    </x:row>
    <x:row r="31" ht="36" customHeight="1">
      <x:c r="A31" s="238" t="str">
        <x:v>TTM July 1, 2025–June 30, 2026. Derived operating income / reported interest expense on borrowings. USD millions unless ratio.</x:v>
      </x:c>
      <x:c r="B31" s="241"/>
      <x:c r="C31" s="241"/>
      <x:c r="D31" s="223"/>
    </x:row>
    <x:row r="32" ht="30" customHeight="1">
      <x:c r="A32" s="222"/>
      <x:c r="B32" s="241"/>
      <x:c r="C32" s="241"/>
      <x:c r="D32" s="223"/>
    </x:row>
    <x:row r="33" ht="44" customHeight="1">
      <x:c r="A33" s="226" t="str">
        <x:v>Calculation component</x:v>
      </x:c>
      <x:c r="B33" s="242" t="str">
        <x:v>FY2025</x:v>
      </x:c>
      <x:c r="C33" s="242" t="str">
        <x:v>+ H1 2026</x:v>
      </x:c>
      <x:c r="D33" s="227" t="str">
        <x:v>− H1 2025</x:v>
      </x:c>
    </x:row>
    <x:row r="34" ht="44" customHeight="1">
      <x:c r="A34" s="234" t="str">
        <x:v>Revenue</x:v>
      </x:c>
      <x:c r="B34" s="243" t="n">
        <x:f>IF(ISNUMBER('Data'!B68),'Data'!B68,NA())</x:f>
        <x:v>65179000000</x:v>
      </x:c>
      <x:c r="C34" s="243" t="n">
        <x:f>IF(ISNUMBER('Data'!B77),'Data'!B77,NA())</x:f>
        <x:v>42773000000</x:v>
      </x:c>
      <x:c r="D34" s="285" t="n">
        <x:f>IF(ISNUMBER('Data'!B86),'Data'!B86,NA())</x:f>
        <x:v>28286000000</x:v>
      </x:c>
    </x:row>
    <x:row r="35" ht="44" customHeight="1">
      <x:c r="A35" s="234" t="str">
        <x:v>Cost of sales</x:v>
      </x:c>
      <x:c r="B35" s="243" t="n">
        <x:f>IF(ISNUMBER('Data'!B69),'Data'!B69,NA())</x:f>
        <x:v>11052000000</x:v>
      </x:c>
      <x:c r="C35" s="243" t="n">
        <x:f>IF(ISNUMBER('Data'!B78),'Data'!B78,NA())</x:f>
        <x:v>6845000000</x:v>
      </x:c>
      <x:c r="D35" s="285" t="n">
        <x:f>IF(ISNUMBER('Data'!B87),'Data'!B87,NA())</x:f>
        <x:v>4672000000</x:v>
      </x:c>
    </x:row>
    <x:row r="36" ht="44" customHeight="1">
      <x:c r="A36" s="234" t="str">
        <x:v>R&amp;D</x:v>
      </x:c>
      <x:c r="B36" s="243" t="n">
        <x:f>IF(ISNUMBER('Data'!B70),'Data'!B70,NA())</x:f>
        <x:v>13337000000</x:v>
      </x:c>
      <x:c r="C36" s="243" t="n">
        <x:f>IF(ISNUMBER('Data'!B79),'Data'!B79,NA())</x:f>
        <x:v>7329000000</x:v>
      </x:c>
      <x:c r="D36" s="285" t="n">
        <x:f>IF(ISNUMBER('Data'!B88),'Data'!B88,NA())</x:f>
        <x:v>6070000000</x:v>
      </x:c>
    </x:row>
    <x:row r="37" ht="44" customHeight="1">
      <x:c r="A37" s="234" t="str">
        <x:v>SG&amp;A</x:v>
      </x:c>
      <x:c r="B37" s="243" t="n">
        <x:f>IF(ISNUMBER('Data'!B71),'Data'!B71,NA())</x:f>
        <x:v>11094000000</x:v>
      </x:c>
      <x:c r="C37" s="243" t="n">
        <x:f>IF(ISNUMBER('Data'!B80),'Data'!B80,NA())</x:f>
        <x:v>6364000000</x:v>
      </x:c>
      <x:c r="D37" s="285" t="n">
        <x:f>IF(ISNUMBER('Data'!B89),'Data'!B89,NA())</x:f>
        <x:v>5221000000</x:v>
      </x:c>
    </x:row>
    <x:row r="38" ht="44" customHeight="1">
      <x:c r="A38" s="234" t="str">
        <x:v>Acquired IPR&amp;D, expense</x:v>
      </x:c>
      <x:c r="B38" s="243" t="n">
        <x:f>IF(ISNUMBER('Data'!B72),'Data'!B72,NA())</x:f>
        <x:v>2910000000</x:v>
      </x:c>
      <x:c r="C38" s="243" t="n">
        <x:f>IF(ISNUMBER('Data'!B81),'Data'!B81,NA())</x:f>
        <x:v>3360000000</x:v>
      </x:c>
      <x:c r="D38" s="285" t="n">
        <x:f>IF(ISNUMBER('Data'!B90),'Data'!B90,NA())</x:f>
        <x:v>1726000000</x:v>
      </x:c>
    </x:row>
    <x:row r="39" ht="44" customHeight="1">
      <x:c r="A39" s="234" t="str">
        <x:v>Impairment, restructuring and special charges</x:v>
      </x:c>
      <x:c r="B39" s="243" t="n">
        <x:f>IF(ISNUMBER('Data'!B73),'Data'!B73,NA())</x:f>
        <x:v>484000000</x:v>
      </x:c>
      <x:c r="C39" s="243" t="n">
        <x:f>IF(ISNUMBER('Data'!B82),'Data'!B82,NA())</x:f>
        <x:v>982000000</x:v>
      </x:c>
      <x:c r="D39" s="285" t="n">
        <x:f>IF(ISNUMBER('Data'!B91),'Data'!B91,NA())</x:f>
        <x:v>35000000</x:v>
      </x:c>
    </x:row>
    <x:row r="40" ht="44" customHeight="1">
      <x:c r="A40" s="256" t="str">
        <x:v>Derived operating income</x:v>
      </x:c>
      <x:c r="B40" s="286" t="n">
        <x:f>B34-SUM(B35:B39)</x:f>
        <x:v>26302000000</x:v>
      </x:c>
      <x:c r="C40" s="286" t="n">
        <x:f>C34-SUM(C35:C39)</x:f>
        <x:v>17893000000</x:v>
      </x:c>
      <x:c r="D40" s="287" t="n">
        <x:f>D34-SUM(D35:D39)</x:f>
        <x:v>10562000000</x:v>
      </x:c>
    </x:row>
    <x:row r="41" ht="44" customHeight="1">
      <x:c r="A41" s="234" t="str">
        <x:v>Pretax income, reported</x:v>
      </x:c>
      <x:c r="B41" s="243" t="n">
        <x:f>IF(ISNUMBER('Data'!B75),'Data'!B75,NA())</x:f>
        <x:v>25731000000</x:v>
      </x:c>
      <x:c r="C41" s="243" t="n">
        <x:f>IF(ISNUMBER('Data'!B84),'Data'!B84,NA())</x:f>
        <x:v>18097000000</x:v>
      </x:c>
      <x:c r="D41" s="285" t="n">
        <x:f>IF(ISNUMBER('Data'!B93),'Data'!B93,NA())</x:f>
        <x:v>10233000000</x:v>
      </x:c>
    </x:row>
    <x:row r="42" ht="44" customHeight="1">
      <x:c r="A42" s="234" t="str">
        <x:v>Nonoperating income (expense), tagged sign</x:v>
      </x:c>
      <x:c r="B42" s="243" t="n">
        <x:f>IF(ISNUMBER('Data'!B74),'Data'!B74,NA())</x:f>
        <x:v>-571000000</x:v>
      </x:c>
      <x:c r="C42" s="243" t="n">
        <x:f>IF(ISNUMBER('Data'!B83),'Data'!B83,NA())</x:f>
        <x:v>204000000</x:v>
      </x:c>
      <x:c r="D42" s="285" t="n">
        <x:f>IF(ISNUMBER('Data'!B92),'Data'!B92,NA())</x:f>
        <x:v>-329000000</x:v>
      </x:c>
    </x:row>
    <x:row r="43" ht="44" customHeight="1">
      <x:c r="A43" s="234" t="str">
        <x:v>Control: pretax − tagged nonoperating</x:v>
      </x:c>
      <x:c r="B43" s="288" t="n">
        <x:f>B41-B42</x:f>
        <x:v>26302000000</x:v>
      </x:c>
      <x:c r="C43" s="288" t="n">
        <x:f>C41-C42</x:f>
        <x:v>17893000000</x:v>
      </x:c>
      <x:c r="D43" s="289" t="n">
        <x:f>D41-D42</x:f>
        <x:v>10562000000</x:v>
      </x:c>
    </x:row>
    <x:row r="44" ht="44" customHeight="1">
      <x:c r="A44" s="246" t="str">
        <x:v>Reconciliation difference, zero = matched</x:v>
      </x:c>
      <x:c r="B44" s="290" t="n">
        <x:f>B40-B43</x:f>
        <x:v>0</x:v>
      </x:c>
      <x:c r="C44" s="290" t="n">
        <x:f>C40-C43</x:f>
        <x:v>0</x:v>
      </x:c>
      <x:c r="D44" s="291" t="n">
        <x:f>D40-D43</x:f>
        <x:v>0</x:v>
      </x:c>
    </x:row>
    <x:row r="45" ht="44" customHeight="1">
      <x:c r="A45" s="222"/>
      <x:c r="B45" s="251"/>
      <x:c r="C45" s="251"/>
      <x:c r="D45" s="292"/>
    </x:row>
    <x:row r="46" ht="44" customHeight="1">
      <x:c r="A46" s="264" t="str">
        <x:v>Reported interest expense on borrowings</x:v>
      </x:c>
      <x:c r="B46" s="293" t="n">
        <x:f>IF(ISNUMBER('Data'!B76),'Data'!B76,NA())</x:f>
        <x:v>895000000</x:v>
      </x:c>
      <x:c r="C46" s="293" t="n">
        <x:f>IF(ISNUMBER('Data'!B85),'Data'!B85,NA())</x:f>
        <x:v>677000000</x:v>
      </x:c>
      <x:c r="D46" s="294" t="n">
        <x:f>IF(ISNUMBER('Data'!B94),'Data'!B94,NA())</x:f>
        <x:v>493000000</x:v>
      </x:c>
    </x:row>
    <x:row r="47" ht="44" customHeight="1">
      <x:c r="A47" s="222"/>
      <x:c r="B47" s="251"/>
      <x:c r="C47" s="251"/>
      <x:c r="D47" s="292"/>
    </x:row>
    <x:row r="48" ht="44" customHeight="1">
      <x:c r="A48" s="256" t="str">
        <x:v>TTM derived operating income</x:v>
      </x:c>
      <x:c r="B48" s="286" t="n">
        <x:f>B40+C40-D40</x:f>
        <x:v>33633000000</x:v>
      </x:c>
      <x:c r="C48" s="295" t="str">
        <x:v>FY + current H1 − prior H1</x:v>
      </x:c>
      <x:c r="D48" s="296" t="str">
        <x:v>Acquired IPR&amp;D and special charges are retained; no adjusted earnings addbacks.</x:v>
      </x:c>
    </x:row>
    <x:row r="49" ht="44" customHeight="1">
      <x:c r="A49" s="256" t="str">
        <x:v>TTM reported interest expense</x:v>
      </x:c>
      <x:c r="B49" s="286" t="n">
        <x:f>B46+C46-D46</x:f>
        <x:v>1079000000</x:v>
      </x:c>
      <x:c r="C49" s="295" t="str">
        <x:v>FY + current H1 − prior H1</x:v>
      </x:c>
      <x:c r="D49" s="296" t="str">
        <x:v>Annual 895 + H1 2026 677 − H1 2025 493. No capitalized-interest adjustment or interest-income offset.</x:v>
      </x:c>
    </x:row>
    <x:row r="50" ht="44" customHeight="1">
      <x:c r="A50" s="246" t="str">
        <x:v>Historical interest coverage</x:v>
      </x:c>
      <x:c r="B50" s="297" t="n">
        <x:f>IF(AND(B44=0,C44=0,D44=0,B49&gt;0),B48/B49,NA())</x:f>
        <x:v>31.17052826691381</x:v>
      </x:c>
      <x:c r="C50" s="249" t="str">
        <x:v>Operating income / interest</x:v>
      </x:c>
      <x:c r="D50" s="250" t="str">
        <x:v>Accrual earnings measure. Not cash interest coverage, covenant headroom, drawable credit or a repayment forecast.</x:v>
      </x:c>
    </x:row>
    <x:row r="51" ht="30" customHeight="1">
      <x:c r="A51" s="222"/>
      <x:c r="B51" s="241"/>
      <x:c r="C51" s="241"/>
      <x:c r="D51" s="223"/>
    </x:row>
    <x:row r="52" ht="65" customHeight="1">
      <x:c r="A52" s="238"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B52" s="241"/>
      <x:c r="C52" s="241"/>
      <x:c r="D52" s="223"/>
    </x:row>
    <x:row r="53" ht="65" customHeight="1">
      <x:c r="A53" s="238" t="str">
        <x:v>Historical accrual-based earnings coverage, not cash interest coverage, a repayment forecast, a covenant calculation or proof of drawable credit. Operating income is derived, not a reported Lilly subtotal. Acquired IPR&amp;D and impairment/restructuring charges remain included; no adjusted earnings addbacks. Interim capitalization basis and future interest are not inferred.</x:v>
      </x:c>
      <x:c r="B53" s="241"/>
      <x:c r="C53" s="241"/>
      <x:c r="D53" s="223"/>
    </x:row>
    <x:row r="54" ht="65" customHeight="1">
      <x:c r="A54" s="238" t="str">
        <x:v>Operating income is derived, not a reported subtotal. Statement-table selection excludes rounded MD&amp;A repeats. Other–net XBRL values are positive income / negative expense; the control preserves and subtracts that sign.</x:v>
      </x:c>
      <x:c r="B54" s="241"/>
      <x:c r="C54" s="241"/>
      <x:c r="D54" s="223"/>
    </x:row>
    <x:row r="55" ht="65" customHeight="1">
      <x:c r="A55" s="238" t="str">
        <x:v>Interest uses the exact six-month single-segment contexts in the quarterly filing; three-month amounts are not added. Source tags, dates, dimensions and selection rules are in Data.</x:v>
      </x:c>
      <x:c r="B55" s="241"/>
      <x:c r="C55" s="241"/>
      <x:c r="D55" s="223"/>
    </x:row>
  </x:sheetData>
  <x:mergeCells>
    <x:mergeCell ref="A31:D31"/>
    <x:mergeCell ref="A52:D52"/>
    <x:mergeCell ref="A53:D53"/>
    <x:mergeCell ref="A54:D54"/>
    <x:mergeCell ref="A55:D55"/>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222"/>
      <x:c r="B1" s="241"/>
      <x:c r="C1" s="241"/>
      <x:c r="D1" s="223"/>
    </x:row>
    <x:row r="2">
      <x:c r="A2" s="224" t="str">
        <x:v>Eli Lilly and Company — dated history</x:v>
      </x:c>
      <x:c r="B2" s="241"/>
      <x:c r="C2" s="241"/>
      <x:c r="D2" s="223"/>
    </x:row>
    <x:row r="3">
      <x:c r="A3" s="225" t="str">
        <x:v>USD millions, except ratios (x) and percentages (%). Fiscal year and later TTM both span twelve months and overlap.</x:v>
      </x:c>
      <x:c r="B3" s="241"/>
      <x:c r="C3" s="241"/>
      <x:c r="D3" s="223"/>
    </x:row>
    <x:row r="4">
      <x:c r="A4" s="222"/>
      <x:c r="B4" s="241"/>
      <x:c r="C4" s="241"/>
      <x:c r="D4" s="223"/>
    </x:row>
    <x:row r="5" ht="32" customHeight="1">
      <x:c r="A5" s="226" t="str">
        <x:v>Measure</x:v>
      </x:c>
      <x:c r="B5" s="242" t="str">
        <x:v>As of / FY ended 2025-12-31</x:v>
      </x:c>
      <x:c r="C5" s="242" t="str">
        <x:v>As of / TTM ended 2026-06-30</x:v>
      </x:c>
      <x:c r="D5" s="227" t="str">
        <x:v>Basis / limits</x:v>
      </x:c>
    </x:row>
    <x:row r="6" ht="45" customHeight="1">
      <x:c r="A6" s="234" t="str">
        <x:v>Cash and cash equivalents</x:v>
      </x:c>
      <x:c r="B6" s="243" t="n">
        <x:f>IF(ISNUMBER('Data'!B130),'Data'!B130,NA())</x:f>
        <x:v>7268000000</x:v>
      </x:c>
      <x:c r="C6" s="243" t="n">
        <x:f>'Debt and liquidity'!B6</x:f>
        <x:v>8950000000</x:v>
      </x:c>
      <x:c r="D6" s="229" t="str">
        <x:v>Cash and cash equivalents excluding restricted cash. Investments are not substituted.</x:v>
      </x:c>
    </x:row>
    <x:row r="7" ht="62" customHeight="1">
      <x:c r="A7" s="234" t="str">
        <x:v>Baseline gross debt</x:v>
      </x:c>
      <x:c r="B7" s="243" t="n">
        <x:f>IF(ISNUMBER('Data'!B133),'Data'!B133,NA())+IF(ISNUMBER('Data'!B134),'Data'!B134,NA())</x:f>
        <x:v>42503000000</x:v>
      </x:c>
      <x:c r="C7" s="243" t="n">
        <x:f>'Debt and liquidity'!B7</x:f>
        <x:v>54908000000</x:v>
      </x:c>
      <x:c r="D7" s="229" t="str">
        <x:v>Carrying borrowing; leases and commitments excluded. Latest column only: In this 10-Q, the Note 8 fair-value table's carrying amounts (commercial paper 5,284M plus long-term debt including current portion 49,624M) present the same 54,908M; they are not added.</x:v>
      </x:c>
    </x:row>
    <x:row r="8" ht="45" customHeight="1">
      <x:c r="A8" s="234" t="str">
        <x:v>Net debt</x:v>
      </x:c>
      <x:c r="B8" s="298" t="n">
        <x:f>B7-B6</x:f>
        <x:v>35235000000</x:v>
      </x:c>
      <x:c r="C8" s="243" t="n">
        <x:f>'Debt and liquidity'!B8</x:f>
        <x:v>45958000000</x:v>
      </x:c>
      <x:c r="D8" s="229" t="str">
        <x:v>Baseline borrowing less cash excluding restricted cash. Same date and filing. Negative net debt is retained.</x:v>
      </x:c>
    </x:row>
    <x:row r="9" ht="49" customHeight="1">
      <x:c r="A9" s="234" t="str">
        <x:v>Current ratio</x:v>
      </x:c>
      <x:c r="B9" s="273" t="n">
        <x:f>IF(IF(ISNUMBER('Data'!B132),'Data'!B132,NA())&gt;0,IF(ISNUMBER('Data'!B131),'Data'!B131,NA())/IF(ISNUMBER('Data'!B132),'Data'!B132,NA()),NA())</x:f>
        <x:v>1.5791132054047916</x:v>
      </x:c>
      <x:c r="C9" s="273" t="n">
        <x:f>'Debt and liquidity'!B9</x:f>
        <x:v>1.3546427598919168</x:v>
      </x:c>
      <x:c r="D9" s="229" t="str">
        <x:v>Total current assets / total current liabilities from one balance sheet. Liabilities include more than borrowing; assets include more than cash.</x:v>
      </x:c>
    </x:row>
    <x:row r="10" ht="49" customHeight="1">
      <x:c r="A10" s="234" t="str">
        <x:v>Operating cash flow</x:v>
      </x:c>
      <x:c r="B10" s="243" t="n">
        <x:f>IF(ISNUMBER('Data'!B135),'Data'!B135,NA())</x:f>
        <x:v>16813000000</x:v>
      </x:c>
      <x:c r="C10" s="243" t="n">
        <x:f>'Debt and liquidity'!B10</x:f>
        <x:v>28083000000</x:v>
      </x:c>
      <x:c r="D10" s="229" t="str">
        <x:v>Annual column: reported fiscal-year OCF. Latest column only: Reported historical OCF; recurrence is not established. Uses FY + current YTD - prior YTD.</x:v>
      </x:c>
    </x:row>
    <x:row r="11" ht="45" customHeight="1">
      <x:c r="A11" s="234" t="str">
        <x:v>Purchases of property and equipment</x:v>
      </x:c>
      <x:c r="B11" s="243" t="n">
        <x:f>IF(ISNUMBER('Data'!B136),'Data'!B136,NA())</x:f>
        <x:v>7841000000</x:v>
      </x:c>
      <x:c r="C11" s="243" t="n">
        <x:f>'Debt and liquidity'!B11</x:f>
        <x:v>9893000000</x:v>
      </x:c>
      <x:c r="D11" s="229" t="str">
        <x:v>Reported purchases of property and equipment; excludes acquisitions and other investing cash flows.</x:v>
      </x:c>
    </x:row>
    <x:row r="12" ht="45" customHeight="1">
      <x:c r="A12" s="234" t="str">
        <x:v>Free cash flow</x:v>
      </x:c>
      <x:c r="B12" s="298" t="n">
        <x:f>B10-B11</x:f>
        <x:v>8972000000</x:v>
      </x:c>
      <x:c r="C12" s="243" t="n">
        <x:f>'Debt and liquidity'!B12</x:f>
        <x:v>18190000000</x:v>
      </x:c>
      <x:c r="D12" s="229" t="str">
        <x:v>OCF less reported capital spending. Uses the spending basis above; excludes acquisitions, dividends and other cash uses.</x:v>
      </x:c>
    </x:row>
    <x:row r="13" ht="45" customHeight="1">
      <x:c r="A13" s="234" t="str">
        <x:v>Operating cash flow / debt</x:v>
      </x:c>
      <x:c r="B13" s="274" t="n">
        <x:f>IF(B7&gt;0,B10/B7,NA())</x:f>
        <x:v>0.3955720772651342</x:v>
      </x:c>
      <x:c r="C13" s="299" t="n">
        <x:f>'Debt and liquidity'!B13</x:f>
        <x:v>0.511455525606469</x:v>
      </x:c>
      <x:c r="D13" s="229" t="str">
        <x:v>Twelve-month flow / borrowing at each period end. Annual column uses FY; latest column uses TTM. Not repayment coverage.</x:v>
      </x:c>
    </x:row>
    <x:row r="14" ht="45" customHeight="1">
      <x:c r="A14" s="234" t="str">
        <x:v>Free cash flow / debt</x:v>
      </x:c>
      <x:c r="B14" s="274" t="n">
        <x:f>IF(B7&gt;0,B12/B7,NA())</x:f>
        <x:v>0.2110909818130485</x:v>
      </x:c>
      <x:c r="C14" s="299" t="n">
        <x:f>'Debt and liquidity'!B14</x:f>
        <x:v>0.33128141618707657</x:v>
      </x:c>
      <x:c r="D14" s="229" t="str">
        <x:v>Twelve-month flow / borrowing at each period end. Annual column uses FY; latest column uses TTM. Not repayment coverage.</x:v>
      </x:c>
    </x:row>
    <x:row r="15" ht="49" customHeight="1">
      <x:c r="A15" s="235" t="str">
        <x:v>Historical interest coverage</x:v>
      </x:c>
      <x:c r="B15" s="300" t="n">
        <x:f>IF(AND('Debt and liquidity'!B46&gt;0,'Debt and liquidity'!B44=0),'Debt and liquidity'!B40/'Debt and liquidity'!B46,NA())</x:f>
        <x:v>29.387709497206703</x:v>
      </x:c>
      <x:c r="C15" s="300" t="n">
        <x:f>'Debt and liquidity'!B15</x:f>
        <x:v>31.17052826691381</x:v>
      </x:c>
      <x:c r="D15" s="231" t="str">
        <x:v>Annual interest is reported net of capitalized interest; the later TTM includes interim expense whose capitalization basis is unstated. Amounts remain as reported.</x:v>
      </x:c>
    </x:row>
    <x:row r="16">
      <x:c r="A16" s="222"/>
      <x:c r="B16" s="241"/>
      <x:c r="C16" s="241"/>
      <x:c r="D16" s="223"/>
    </x:row>
    <x:row r="17" ht="70" customHeight="1">
      <x:c r="A17" s="238" t="str">
        <x:v>Period definitions</x:v>
      </x:c>
      <x:c r="B17" s="241"/>
      <x:c r="C17" s="241"/>
      <x:c r="D17" s="237"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238" t="str">
        <x:v>Fiscal-year flows</x:v>
      </x:c>
      <x:c r="B18" s="241"/>
      <x:c r="C18" s="241"/>
      <x:c r="D18" s="237" t="str">
        <x:v>2025-01-01 to 2025-12-31</x:v>
      </x:c>
    </x:row>
    <x:row r="19">
      <x:c r="A19" s="238" t="str">
        <x:v>Later TTM flows</x:v>
      </x:c>
      <x:c r="B19" s="241"/>
      <x:c r="C19" s="241"/>
      <x:c r="D19" s="237" t="str">
        <x:v>2025-07-01 to 2026-06-30</x:v>
      </x:c>
    </x:row>
  </x:sheetData>
  <x:pageMargins left="0.7" right="0.7" top="0.75" bottom="0.75" header="0.3" footer="0.3"/>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222"/>
      <x:c r="B1" s="241"/>
      <x:c r="C1" s="241"/>
      <x:c r="D1" s="223"/>
      <x:c r="E1" s="301"/>
      <x:c r="F1" s="301"/>
      <x:c r="G1" s="301"/>
      <x:c r="H1" s="301"/>
      <x:c r="I1" s="301"/>
      <x:c r="J1" s="301"/>
      <x:c r="K1" s="301"/>
      <x:c r="L1" s="301"/>
      <x:c r="M1" s="301"/>
      <x:c r="N1" s="301"/>
      <x:c r="O1" s="301"/>
    </x:row>
    <x:row r="2" ht="35" customHeight="1">
      <x:c r="A2" s="224" t="str">
        <x:v>LLY — two chart questions</x:v>
      </x:c>
      <x:c r="B2" s="241"/>
      <x:c r="C2" s="241"/>
      <x:c r="D2" s="223"/>
      <x:c r="E2" s="301"/>
      <x:c r="F2" s="301"/>
      <x:c r="G2" s="301"/>
      <x:c r="H2" s="301"/>
      <x:c r="I2" s="301"/>
      <x:c r="J2" s="301"/>
      <x:c r="K2" s="301"/>
      <x:c r="L2" s="301"/>
      <x:c r="M2" s="301"/>
      <x:c r="N2" s="301"/>
      <x:c r="O2" s="301"/>
    </x:row>
    <x:row r="3" ht="35" customHeight="1">
      <x:c r="A3" s="225" t="str">
        <x:v>TTM 2025-07-01 to 2026-06-30. Values stored in USD, displayed in millions.</x:v>
      </x:c>
      <x:c r="B3" s="241"/>
      <x:c r="C3" s="241"/>
      <x:c r="D3" s="223"/>
      <x:c r="E3" s="301"/>
      <x:c r="F3" s="301"/>
      <x:c r="G3" s="301"/>
      <x:c r="H3" s="301"/>
      <x:c r="I3" s="301"/>
      <x:c r="J3" s="301"/>
      <x:c r="K3" s="301"/>
      <x:c r="L3" s="301"/>
      <x:c r="M3" s="301"/>
      <x:c r="N3" s="301"/>
      <x:c r="O3" s="301"/>
    </x:row>
    <x:row r="4" ht="35" customHeight="1">
      <x:c r="A4" s="222"/>
      <x:c r="B4" s="241"/>
      <x:c r="C4" s="241"/>
      <x:c r="D4" s="223"/>
      <x:c r="E4" s="301"/>
      <x:c r="F4" s="301"/>
      <x:c r="G4" s="301"/>
      <x:c r="H4" s="301"/>
      <x:c r="I4" s="301"/>
      <x:c r="J4" s="301"/>
      <x:c r="K4" s="301"/>
      <x:c r="L4" s="301"/>
      <x:c r="M4" s="301"/>
      <x:c r="N4" s="301"/>
      <x:c r="O4" s="301"/>
    </x:row>
    <x:row r="5" ht="35" customHeight="1">
      <x:c r="A5" s="226" t="str">
        <x:v>TTM measure</x:v>
      </x:c>
      <x:c r="B5" s="277" t="str">
        <x:v>USD millions</x:v>
      </x:c>
      <x:c r="C5" s="241"/>
      <x:c r="D5" s="223"/>
      <x:c r="E5" s="301"/>
      <x:c r="F5" s="301"/>
      <x:c r="G5" s="301"/>
      <x:c r="H5" s="301"/>
      <x:c r="I5" s="301"/>
      <x:c r="J5" s="301"/>
      <x:c r="K5" s="301"/>
      <x:c r="L5" s="301"/>
      <x:c r="M5" s="301"/>
      <x:c r="N5" s="301"/>
      <x:c r="O5" s="301"/>
    </x:row>
    <x:row r="6" ht="35" customHeight="1">
      <x:c r="A6" s="234" t="str">
        <x:v>Operating cash flow</x:v>
      </x:c>
      <x:c r="B6" s="302" t="n">
        <x:f>'Debt and liquidity'!B10</x:f>
        <x:v>28083000000</x:v>
      </x:c>
      <x:c r="C6" s="241"/>
      <x:c r="D6" s="223"/>
      <x:c r="E6" s="301"/>
      <x:c r="F6" s="301"/>
      <x:c r="G6" s="301"/>
      <x:c r="H6" s="301"/>
      <x:c r="I6" s="301"/>
      <x:c r="J6" s="301"/>
      <x:c r="K6" s="301"/>
      <x:c r="L6" s="301"/>
      <x:c r="M6" s="301"/>
      <x:c r="N6" s="301"/>
      <x:c r="O6" s="301"/>
    </x:row>
    <x:row r="7" ht="35" customHeight="1">
      <x:c r="A7" s="234" t="str">
        <x:v>Capital spending</x:v>
      </x:c>
      <x:c r="B7" s="302" t="n">
        <x:f>-'Debt and liquidity'!B11</x:f>
        <x:v>-9893000000</x:v>
      </x:c>
      <x:c r="C7" s="241"/>
      <x:c r="D7" s="223"/>
      <x:c r="E7" s="301"/>
      <x:c r="F7" s="301"/>
      <x:c r="G7" s="301"/>
      <x:c r="H7" s="301"/>
      <x:c r="I7" s="301"/>
      <x:c r="J7" s="301"/>
      <x:c r="K7" s="301"/>
      <x:c r="L7" s="301"/>
      <x:c r="M7" s="301"/>
      <x:c r="N7" s="301"/>
      <x:c r="O7" s="301"/>
    </x:row>
    <x:row r="8" ht="35" customHeight="1">
      <x:c r="A8" s="235" t="str">
        <x:v>Free cash flow</x:v>
      </x:c>
      <x:c r="B8" s="303" t="n">
        <x:f>'Debt and liquidity'!B12</x:f>
        <x:v>18190000000</x:v>
      </x:c>
      <x:c r="C8" s="241"/>
      <x:c r="D8" s="223"/>
      <x:c r="E8" s="301"/>
      <x:c r="F8" s="301"/>
      <x:c r="G8" s="301"/>
      <x:c r="H8" s="301"/>
      <x:c r="I8" s="301"/>
      <x:c r="J8" s="301"/>
      <x:c r="K8" s="301"/>
      <x:c r="L8" s="301"/>
      <x:c r="M8" s="301"/>
      <x:c r="N8" s="301"/>
      <x:c r="O8" s="301"/>
    </x:row>
    <x:row r="9" ht="35" customHeight="1">
      <x:c r="A9" s="222"/>
      <x:c r="B9" s="241"/>
      <x:c r="C9" s="241"/>
      <x:c r="D9" s="223"/>
      <x:c r="E9" s="301"/>
      <x:c r="F9" s="301"/>
      <x:c r="G9" s="301"/>
      <x:c r="H9" s="301"/>
      <x:c r="I9" s="301"/>
      <x:c r="J9" s="301"/>
      <x:c r="K9" s="301"/>
      <x:c r="L9" s="301"/>
      <x:c r="M9" s="301"/>
      <x:c r="N9" s="301"/>
      <x:c r="O9" s="301"/>
    </x:row>
    <x:row r="10" ht="80" customHeight="1">
      <x:c r="A10" s="238" t="str">
        <x:v>Calculation basis</x:v>
      </x:c>
      <x:c r="B10" s="241"/>
      <x:c r="C10" s="241"/>
      <x:c r="D10" s="237" t="str">
        <x:v>FCF = OCF − capital spending. FCF is a result, not an additional cash flow. Capital spending is shown negative.</x:v>
      </x:c>
      <x:c r="E10" s="301"/>
      <x:c r="F10" s="301"/>
      <x:c r="G10" s="301"/>
      <x:c r="H10" s="301"/>
      <x:c r="I10" s="301"/>
      <x:c r="J10" s="301"/>
      <x:c r="K10" s="301"/>
      <x:c r="L10" s="301"/>
      <x:c r="M10" s="301"/>
      <x:c r="N10" s="301"/>
      <x:c r="O10" s="301"/>
    </x:row>
    <x:row r="11" ht="35" customHeight="1">
      <x:c r="A11" s="222"/>
      <x:c r="B11" s="241"/>
      <x:c r="C11" s="241"/>
      <x:c r="D11" s="223"/>
      <x:c r="E11" s="301"/>
      <x:c r="F11" s="301"/>
      <x:c r="G11" s="301"/>
      <x:c r="H11" s="301"/>
      <x:c r="I11" s="301"/>
      <x:c r="J11" s="301"/>
      <x:c r="K11" s="301"/>
      <x:c r="L11" s="301"/>
      <x:c r="M11" s="301"/>
      <x:c r="N11" s="301"/>
      <x:c r="O11" s="301"/>
    </x:row>
    <x:row r="12" ht="35" customHeight="1">
      <x:c r="A12" s="222"/>
      <x:c r="B12" s="241"/>
      <x:c r="C12" s="241"/>
      <x:c r="D12" s="223"/>
      <x:c r="E12" s="301"/>
      <x:c r="F12" s="301"/>
      <x:c r="G12" s="301"/>
      <x:c r="H12" s="301"/>
      <x:c r="I12" s="301"/>
      <x:c r="J12" s="301"/>
      <x:c r="K12" s="301"/>
      <x:c r="L12" s="301"/>
      <x:c r="M12" s="301"/>
      <x:c r="N12" s="301"/>
      <x:c r="O12" s="301"/>
    </x:row>
    <x:row r="13" ht="35" customHeight="1">
      <x:c r="A13" s="222"/>
      <x:c r="B13" s="241"/>
      <x:c r="C13" s="241"/>
      <x:c r="D13" s="223"/>
      <x:c r="E13" s="301"/>
      <x:c r="F13" s="301"/>
      <x:c r="G13" s="301"/>
      <x:c r="H13" s="301"/>
      <x:c r="I13" s="301"/>
      <x:c r="J13" s="301"/>
      <x:c r="K13" s="301"/>
      <x:c r="L13" s="301"/>
      <x:c r="M13" s="301"/>
      <x:c r="N13" s="301"/>
      <x:c r="O13" s="301"/>
    </x:row>
    <x:row r="14" ht="35" customHeight="1">
      <x:c r="A14" s="222"/>
      <x:c r="B14" s="241"/>
      <x:c r="C14" s="241"/>
      <x:c r="D14" s="223"/>
      <x:c r="E14" s="301"/>
      <x:c r="F14" s="301"/>
      <x:c r="G14" s="301"/>
      <x:c r="H14" s="301"/>
      <x:c r="I14" s="301"/>
      <x:c r="J14" s="301"/>
      <x:c r="K14" s="301"/>
      <x:c r="L14" s="301"/>
      <x:c r="M14" s="301"/>
      <x:c r="N14" s="301"/>
      <x:c r="O14" s="301"/>
    </x:row>
    <x:row r="15" ht="35" customHeight="1">
      <x:c r="A15" s="222"/>
      <x:c r="B15" s="241"/>
      <x:c r="C15" s="241"/>
      <x:c r="D15" s="223"/>
      <x:c r="E15" s="301"/>
      <x:c r="F15" s="301"/>
      <x:c r="G15" s="301"/>
      <x:c r="H15" s="301"/>
      <x:c r="I15" s="301"/>
      <x:c r="J15" s="301"/>
      <x:c r="K15" s="301"/>
      <x:c r="L15" s="301"/>
      <x:c r="M15" s="301"/>
      <x:c r="N15" s="301"/>
      <x:c r="O15" s="301"/>
    </x:row>
    <x:row r="16" ht="35" customHeight="1">
      <x:c r="A16" s="222"/>
      <x:c r="B16" s="241"/>
      <x:c r="C16" s="241"/>
      <x:c r="D16" s="223"/>
      <x:c r="E16" s="301"/>
      <x:c r="F16" s="301"/>
      <x:c r="G16" s="301"/>
      <x:c r="H16" s="301"/>
      <x:c r="I16" s="301"/>
      <x:c r="J16" s="301"/>
      <x:c r="K16" s="301"/>
      <x:c r="L16" s="301"/>
      <x:c r="M16" s="301"/>
      <x:c r="N16" s="301"/>
      <x:c r="O16" s="301"/>
    </x:row>
    <x:row r="17" ht="35" customHeight="1">
      <x:c r="A17" s="222"/>
      <x:c r="B17" s="241"/>
      <x:c r="C17" s="241"/>
      <x:c r="D17" s="223"/>
      <x:c r="E17" s="301"/>
      <x:c r="F17" s="301"/>
      <x:c r="G17" s="301"/>
      <x:c r="H17" s="301"/>
      <x:c r="I17" s="301"/>
      <x:c r="J17" s="301"/>
      <x:c r="K17" s="301"/>
      <x:c r="L17" s="301"/>
      <x:c r="M17" s="301"/>
      <x:c r="N17" s="301"/>
      <x:c r="O17" s="301"/>
    </x:row>
    <x:row r="18" ht="35" customHeight="1">
      <x:c r="A18" s="222"/>
      <x:c r="B18" s="241"/>
      <x:c r="C18" s="241"/>
      <x:c r="D18" s="223"/>
      <x:c r="E18" s="301"/>
      <x:c r="F18" s="301"/>
      <x:c r="G18" s="301"/>
      <x:c r="H18" s="301"/>
      <x:c r="I18" s="301"/>
      <x:c r="J18" s="301"/>
      <x:c r="K18" s="301"/>
      <x:c r="L18" s="301"/>
      <x:c r="M18" s="301"/>
      <x:c r="N18" s="301"/>
      <x:c r="O18" s="301"/>
    </x:row>
    <x:row r="19" ht="35" customHeight="1">
      <x:c r="A19" s="222"/>
      <x:c r="B19" s="241"/>
      <x:c r="C19" s="241"/>
      <x:c r="D19" s="223"/>
      <x:c r="E19" s="301"/>
      <x:c r="F19" s="301"/>
      <x:c r="G19" s="301"/>
      <x:c r="H19" s="301"/>
      <x:c r="I19" s="301"/>
      <x:c r="J19" s="301"/>
      <x:c r="K19" s="301"/>
      <x:c r="L19" s="301"/>
      <x:c r="M19" s="301"/>
      <x:c r="N19" s="301"/>
      <x:c r="O19" s="301"/>
    </x:row>
    <x:row r="20" ht="35" customHeight="1">
      <x:c r="A20" s="222"/>
      <x:c r="B20" s="241"/>
      <x:c r="C20" s="241"/>
      <x:c r="D20" s="223"/>
      <x:c r="E20" s="301"/>
      <x:c r="F20" s="301"/>
      <x:c r="G20" s="301"/>
      <x:c r="H20" s="301"/>
      <x:c r="I20" s="301"/>
      <x:c r="J20" s="301"/>
      <x:c r="K20" s="301"/>
      <x:c r="L20" s="301"/>
      <x:c r="M20" s="301"/>
      <x:c r="N20" s="301"/>
      <x:c r="O20" s="301"/>
    </x:row>
    <x:row r="21" ht="35" customHeight="1">
      <x:c r="A21" s="222"/>
      <x:c r="B21" s="241"/>
      <x:c r="C21" s="241"/>
      <x:c r="D21" s="223"/>
      <x:c r="E21" s="301"/>
      <x:c r="F21" s="301"/>
      <x:c r="G21" s="301"/>
      <x:c r="H21" s="301"/>
      <x:c r="I21" s="301"/>
      <x:c r="J21" s="301"/>
      <x:c r="K21" s="301"/>
      <x:c r="L21" s="301"/>
      <x:c r="M21" s="301"/>
      <x:c r="N21" s="301"/>
      <x:c r="O21" s="301"/>
    </x:row>
    <x:row r="22" ht="35" customHeight="1">
      <x:c r="A22" s="222"/>
      <x:c r="B22" s="241"/>
      <x:c r="C22" s="241"/>
      <x:c r="D22" s="223"/>
      <x:c r="E22" s="301"/>
      <x:c r="F22" s="301"/>
      <x:c r="G22" s="301"/>
      <x:c r="H22" s="301"/>
      <x:c r="I22" s="301"/>
      <x:c r="J22" s="301"/>
      <x:c r="K22" s="301"/>
      <x:c r="L22" s="301"/>
      <x:c r="M22" s="301"/>
      <x:c r="N22" s="301"/>
      <x:c r="O22" s="301"/>
    </x:row>
    <x:row r="23" ht="35" customHeight="1">
      <x:c r="A23" s="222"/>
      <x:c r="B23" s="241"/>
      <x:c r="C23" s="241"/>
      <x:c r="D23" s="223"/>
      <x:c r="E23" s="301"/>
      <x:c r="F23" s="301"/>
      <x:c r="G23" s="301"/>
      <x:c r="H23" s="301"/>
      <x:c r="I23" s="301"/>
      <x:c r="J23" s="301"/>
      <x:c r="K23" s="301"/>
      <x:c r="L23" s="301"/>
      <x:c r="M23" s="301"/>
      <x:c r="N23" s="301"/>
      <x:c r="O23" s="301"/>
    </x:row>
    <x:row r="24" ht="35" customHeight="1">
      <x:c r="A24" s="226" t="str">
        <x:v>Balance-sheet date</x:v>
      </x:c>
      <x:c r="B24" s="242" t="str">
        <x:v>Cash and equivalents</x:v>
      </x:c>
      <x:c r="C24" s="277" t="str">
        <x:v>Baseline borrowing</x:v>
      </x:c>
      <x:c r="D24" s="223"/>
      <x:c r="E24" s="301"/>
      <x:c r="F24" s="301"/>
      <x:c r="G24" s="301"/>
      <x:c r="H24" s="301"/>
      <x:c r="I24" s="301"/>
      <x:c r="J24" s="301"/>
      <x:c r="K24" s="301"/>
      <x:c r="L24" s="301"/>
      <x:c r="M24" s="301"/>
      <x:c r="N24" s="301"/>
      <x:c r="O24" s="301"/>
    </x:row>
    <x:row r="25" ht="35" customHeight="1">
      <x:c r="A25" s="234" t="str">
        <x:v>2025-12-31</x:v>
      </x:c>
      <x:c r="B25" s="243" t="n">
        <x:f>'History'!B6</x:f>
        <x:v>7268000000</x:v>
      </x:c>
      <x:c r="C25" s="302" t="n">
        <x:f>'History'!B7</x:f>
        <x:v>42503000000</x:v>
      </x:c>
      <x:c r="D25" s="223"/>
      <x:c r="E25" s="301"/>
      <x:c r="F25" s="301"/>
      <x:c r="G25" s="301"/>
      <x:c r="H25" s="301"/>
      <x:c r="I25" s="301"/>
      <x:c r="J25" s="301"/>
      <x:c r="K25" s="301"/>
      <x:c r="L25" s="301"/>
      <x:c r="M25" s="301"/>
      <x:c r="N25" s="301"/>
      <x:c r="O25" s="301"/>
    </x:row>
    <x:row r="26" ht="35" customHeight="1">
      <x:c r="A26" s="235" t="str">
        <x:v>2026-06-30</x:v>
      </x:c>
      <x:c r="B26" s="304" t="n">
        <x:f>'History'!C6</x:f>
        <x:v>8950000000</x:v>
      </x:c>
      <x:c r="C26" s="303" t="n">
        <x:f>'History'!C7</x:f>
        <x:v>54908000000</x:v>
      </x:c>
      <x:c r="D26" s="223"/>
      <x:c r="E26" s="301"/>
      <x:c r="F26" s="301"/>
      <x:c r="G26" s="301"/>
      <x:c r="H26" s="301"/>
      <x:c r="I26" s="301"/>
      <x:c r="J26" s="301"/>
      <x:c r="K26" s="301"/>
      <x:c r="L26" s="301"/>
      <x:c r="M26" s="301"/>
      <x:c r="N26" s="301"/>
      <x:c r="O26" s="301"/>
    </x:row>
    <x:row r="27" ht="35" customHeight="1">
      <x:c r="A27" s="222"/>
      <x:c r="B27" s="241"/>
      <x:c r="C27" s="241"/>
      <x:c r="D27" s="223"/>
      <x:c r="E27" s="301"/>
      <x:c r="F27" s="301"/>
      <x:c r="G27" s="301"/>
      <x:c r="H27" s="301"/>
      <x:c r="I27" s="301"/>
      <x:c r="J27" s="301"/>
      <x:c r="K27" s="301"/>
      <x:c r="L27" s="301"/>
      <x:c r="M27" s="301"/>
      <x:c r="N27" s="301"/>
      <x:c r="O27" s="301"/>
    </x:row>
    <x:row r="28" ht="35" customHeight="1">
      <x:c r="A28" s="222"/>
      <x:c r="B28" s="241"/>
      <x:c r="C28" s="241"/>
      <x:c r="D28" s="223"/>
      <x:c r="E28" s="301"/>
      <x:c r="F28" s="301"/>
      <x:c r="G28" s="301"/>
      <x:c r="H28" s="301"/>
      <x:c r="I28" s="301"/>
      <x:c r="J28" s="301"/>
      <x:c r="K28" s="301"/>
      <x:c r="L28" s="301"/>
      <x:c r="M28" s="301"/>
      <x:c r="N28" s="301"/>
      <x:c r="O28" s="301"/>
    </x:row>
    <x:row r="29" ht="95" customHeight="1">
      <x:c r="A29" s="238" t="str">
        <x:v>Scope / missing history</x:v>
      </x:c>
      <x:c r="B29" s="241"/>
      <x:c r="C29" s="241"/>
      <x:c r="D29" s="237" t="str">
        <x:v>Baseline borrowing excludes leases; cash excludes restricted cash and investments. These balances do not establish repayment coverage.</x:v>
      </x:c>
      <x:c r="E29" s="301"/>
      <x:c r="F29" s="301"/>
      <x:c r="G29" s="301"/>
      <x:c r="H29" s="301"/>
      <x:c r="I29" s="301"/>
      <x:c r="J29" s="301"/>
      <x:c r="K29" s="301"/>
      <x:c r="L29" s="301"/>
      <x:c r="M29" s="301"/>
      <x:c r="N29" s="301"/>
      <x:c r="O29" s="301"/>
    </x:row>
    <x:row r="30" ht="35" customHeight="1">
      <x:c r="A30" s="222"/>
      <x:c r="B30" s="241"/>
      <x:c r="C30" s="241"/>
      <x:c r="D30" s="223"/>
      <x:c r="E30" s="301"/>
      <x:c r="F30" s="301"/>
      <x:c r="G30" s="301"/>
      <x:c r="H30" s="301"/>
      <x:c r="I30" s="301"/>
      <x:c r="J30" s="301"/>
      <x:c r="K30" s="301"/>
      <x:c r="L30" s="301"/>
      <x:c r="M30" s="301"/>
      <x:c r="N30" s="301"/>
      <x:c r="O30" s="301"/>
    </x:row>
    <x:row r="31" ht="35" customHeight="1">
      <x:c r="A31" s="222"/>
      <x:c r="B31" s="241"/>
      <x:c r="C31" s="241"/>
      <x:c r="D31" s="223"/>
      <x:c r="E31" s="301"/>
      <x:c r="F31" s="301"/>
      <x:c r="G31" s="301"/>
      <x:c r="H31" s="301"/>
      <x:c r="I31" s="301"/>
      <x:c r="J31" s="301"/>
      <x:c r="K31" s="301"/>
      <x:c r="L31" s="301"/>
      <x:c r="M31" s="301"/>
      <x:c r="N31" s="301"/>
      <x:c r="O31" s="301"/>
    </x:row>
    <x:row r="32" ht="35" customHeight="1">
      <x:c r="A32" s="222"/>
      <x:c r="B32" s="241"/>
      <x:c r="C32" s="241"/>
      <x:c r="D32" s="223"/>
      <x:c r="E32" s="301"/>
      <x:c r="F32" s="301"/>
      <x:c r="G32" s="301"/>
      <x:c r="H32" s="301"/>
      <x:c r="I32" s="301"/>
      <x:c r="J32" s="301"/>
      <x:c r="K32" s="301"/>
      <x:c r="L32" s="301"/>
      <x:c r="M32" s="301"/>
      <x:c r="N32" s="301"/>
      <x:c r="O32" s="301"/>
    </x:row>
    <x:row r="33" ht="35" customHeight="1">
      <x:c r="A33" s="222"/>
      <x:c r="B33" s="241"/>
      <x:c r="C33" s="241"/>
      <x:c r="D33" s="223"/>
      <x:c r="E33" s="301"/>
      <x:c r="F33" s="301"/>
      <x:c r="G33" s="301"/>
      <x:c r="H33" s="301"/>
      <x:c r="I33" s="301"/>
      <x:c r="J33" s="301"/>
      <x:c r="K33" s="301"/>
      <x:c r="L33" s="301"/>
      <x:c r="M33" s="301"/>
      <x:c r="N33" s="301"/>
      <x:c r="O33" s="301"/>
    </x:row>
    <x:row r="34" ht="35" customHeight="1">
      <x:c r="A34" s="222"/>
      <x:c r="B34" s="241"/>
      <x:c r="C34" s="241"/>
      <x:c r="D34" s="223"/>
      <x:c r="E34" s="301"/>
      <x:c r="F34" s="301"/>
      <x:c r="G34" s="301"/>
      <x:c r="H34" s="301"/>
      <x:c r="I34" s="301"/>
      <x:c r="J34" s="301"/>
      <x:c r="K34" s="301"/>
      <x:c r="L34" s="301"/>
      <x:c r="M34" s="301"/>
      <x:c r="N34" s="301"/>
      <x:c r="O34" s="301"/>
    </x:row>
    <x:row r="35" ht="35" customHeight="1">
      <x:c r="A35" s="222"/>
      <x:c r="B35" s="241"/>
      <x:c r="C35" s="241"/>
      <x:c r="D35" s="223"/>
      <x:c r="E35" s="301"/>
      <x:c r="F35" s="301"/>
      <x:c r="G35" s="301"/>
      <x:c r="H35" s="301"/>
      <x:c r="I35" s="301"/>
      <x:c r="J35" s="301"/>
      <x:c r="K35" s="301"/>
      <x:c r="L35" s="301"/>
      <x:c r="M35" s="301"/>
      <x:c r="N35" s="301"/>
      <x:c r="O35" s="301"/>
    </x:row>
    <x:row r="36" ht="35" customHeight="1">
      <x:c r="A36" s="222"/>
      <x:c r="B36" s="241"/>
      <x:c r="C36" s="241"/>
      <x:c r="D36" s="223"/>
      <x:c r="E36" s="301"/>
      <x:c r="F36" s="301"/>
      <x:c r="G36" s="301"/>
      <x:c r="H36" s="301"/>
      <x:c r="I36" s="301"/>
      <x:c r="J36" s="301"/>
      <x:c r="K36" s="301"/>
      <x:c r="L36" s="301"/>
      <x:c r="M36" s="301"/>
      <x:c r="N36" s="301"/>
      <x:c r="O36" s="301"/>
    </x:row>
    <x:row r="37" ht="35" customHeight="1">
      <x:c r="A37" s="222"/>
      <x:c r="B37" s="241"/>
      <x:c r="C37" s="241"/>
      <x:c r="D37" s="223"/>
      <x:c r="E37" s="301"/>
      <x:c r="F37" s="301"/>
      <x:c r="G37" s="301"/>
      <x:c r="H37" s="301"/>
      <x:c r="I37" s="301"/>
      <x:c r="J37" s="301"/>
      <x:c r="K37" s="301"/>
      <x:c r="L37" s="301"/>
      <x:c r="M37" s="301"/>
      <x:c r="N37" s="301"/>
      <x:c r="O37" s="301"/>
    </x:row>
    <x:row r="38" ht="35" customHeight="1">
      <x:c r="A38" s="222"/>
      <x:c r="B38" s="241"/>
      <x:c r="C38" s="241"/>
      <x:c r="D38" s="223"/>
      <x:c r="E38" s="301"/>
      <x:c r="F38" s="301"/>
      <x:c r="G38" s="301"/>
      <x:c r="H38" s="301"/>
      <x:c r="I38" s="301"/>
      <x:c r="J38" s="301"/>
      <x:c r="K38" s="301"/>
      <x:c r="L38" s="301"/>
      <x:c r="M38" s="301"/>
      <x:c r="N38" s="301"/>
      <x:c r="O38" s="301"/>
    </x:row>
    <x:row r="39" ht="35" customHeight="1">
      <x:c r="A39" s="222"/>
      <x:c r="B39" s="241"/>
      <x:c r="C39" s="241"/>
      <x:c r="D39" s="223"/>
      <x:c r="E39" s="301"/>
      <x:c r="F39" s="301"/>
      <x:c r="G39" s="301"/>
      <x:c r="H39" s="301"/>
      <x:c r="I39" s="301"/>
      <x:c r="J39" s="301"/>
      <x:c r="K39" s="301"/>
      <x:c r="L39" s="301"/>
      <x:c r="M39" s="301"/>
      <x:c r="N39" s="301"/>
      <x:c r="O39" s="301"/>
    </x:row>
    <x:row r="40" ht="35" customHeight="1">
      <x:c r="A40" s="222"/>
      <x:c r="B40" s="241"/>
      <x:c r="C40" s="241"/>
      <x:c r="D40" s="223"/>
      <x:c r="E40" s="301"/>
      <x:c r="F40" s="301"/>
      <x:c r="G40" s="301"/>
      <x:c r="H40" s="301"/>
      <x:c r="I40" s="301"/>
      <x:c r="J40" s="301"/>
      <x:c r="K40" s="301"/>
      <x:c r="L40" s="301"/>
      <x:c r="M40" s="301"/>
      <x:c r="N40" s="301"/>
      <x:c r="O40" s="301"/>
    </x:row>
    <x:row r="41" ht="65" customHeight="1">
      <x:c r="A41" s="238" t="str">
        <x:v>Evidence trail</x:v>
      </x:c>
      <x:c r="B41" s="241"/>
      <x:c r="C41" s="241"/>
      <x:c r="D41" s="237" t="str">
        <x:v>Chart values link to Debt and liquidity and History. Data retains the exact input periods, tags, accessions and source URLs.</x:v>
      </x:c>
      <x:c r="E41" s="301"/>
      <x:c r="F41" s="301"/>
      <x:c r="G41" s="301"/>
      <x:c r="H41" s="301"/>
      <x:c r="I41" s="301"/>
      <x:c r="J41" s="301"/>
      <x:c r="K41" s="301"/>
      <x:c r="L41" s="301"/>
      <x:c r="M41" s="301"/>
      <x:c r="N41" s="301"/>
      <x:c r="O41" s="301"/>
    </x:row>
    <x:row r="42" ht="35" customHeight="1">
      <x:c r="A42" s="222"/>
      <x:c r="B42" s="241"/>
      <x:c r="C42" s="241"/>
      <x:c r="D42" s="223"/>
      <x:c r="E42" s="301"/>
      <x:c r="F42" s="301"/>
      <x:c r="G42" s="301"/>
      <x:c r="H42" s="301"/>
      <x:c r="I42" s="301"/>
      <x:c r="J42" s="301"/>
      <x:c r="K42" s="301"/>
      <x:c r="L42" s="301"/>
      <x:c r="M42" s="301"/>
      <x:c r="N42" s="301"/>
      <x:c r="O42" s="301"/>
    </x:row>
    <x:row r="43" ht="35" customHeight="1">
      <x:c r="A43" s="222"/>
      <x:c r="B43" s="241"/>
      <x:c r="C43" s="241"/>
      <x:c r="D43" s="223"/>
      <x:c r="E43" s="301"/>
      <x:c r="F43" s="301"/>
      <x:c r="G43" s="301"/>
      <x:c r="H43" s="301"/>
      <x:c r="I43" s="301"/>
      <x:c r="J43" s="301"/>
      <x:c r="K43" s="301"/>
      <x:c r="L43" s="301"/>
      <x:c r="M43" s="301"/>
      <x:c r="N43" s="301"/>
      <x:c r="O43" s="301"/>
    </x:row>
  </x:sheetData>
  <x:pageMargins left="0.7" right="0.7" top="0.75" bottom="0.75" header="0.3" footer="0.3"/>
  <x:drawing ns1:id="Ra3cb24b69ae24fc0"/>
</x:worksheet>
</file>

<file path=xl/worksheets/sheet6.xml><?xml version="1.0" encoding="utf-8"?>
<x:worksheet xmlns:ns1="http://schemas.openxmlformats.org/officeDocument/2006/relationships" xmlns:x="http://schemas.openxmlformats.org/spreadsheetml/2006/main">
  <x:sheetViews>
    <x:sheetView showGridLines="0" workbookViewId="0">
      <x:pane ySplit="6" topLeftCell="A7" activePane="bottomLeft" state="frozen"/>
    </x:sheetView>
  </x:sheetViews>
  <x:sheetFormatPr defaultRowHeight="15"/>
  <x:cols>
    <x:col min="1" max="1" width="46" hidden="0" customWidth="1"/>
    <x:col min="2" max="2" width="23" hidden="0" customWidth="1"/>
    <x:col min="3" max="3" width="34" hidden="0" customWidth="1"/>
    <x:col min="4" max="4" width="99" hidden="0" customWidth="1"/>
    <x:col min="5" max="5" width="3"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s>
  <x:sheetData>
    <x:row r="2" ht="30" customHeight="1">
      <x:c r="A2" s="269" t="str">
        <x:v>Lilly — dated liquidity and repayment review</x:v>
      </x:c>
      <x:c r="B2" s="241"/>
      <x:c r="C2" s="241"/>
      <x:c r="D2" s="241"/>
      <x:c r="E2" s="241"/>
      <x:c r="F2" s="241"/>
      <x:c r="G2" s="223"/>
    </x:row>
    <x:row r="3" ht="30" customHeight="1">
      <x:c r="A3" s="225" t="str">
        <x:v>Saved filings reviewed October 15, 2026. Cash flows: January–June 2026. USD millions.</x:v>
      </x:c>
      <x:c r="B3" s="241"/>
      <x:c r="C3" s="241"/>
      <x:c r="D3" s="241"/>
      <x:c r="E3" s="241"/>
      <x:c r="F3" s="241"/>
      <x:c r="G3" s="223"/>
    </x:row>
    <x:row r="4" ht="43" customHeight="1">
      <x:c r="A4" s="238" t="str">
        <x:v>H1 cash generation after PP&amp;E was positive; acquisitions and payouts competed for it. Net borrowing contributed to cash growth. Future funding coverage: Unavailable.</x:v>
      </x:c>
      <x:c r="B4" s="241"/>
      <x:c r="C4" s="241"/>
      <x:c r="D4" s="241"/>
      <x:c r="E4" s="241"/>
      <x:c r="F4" s="241"/>
      <x:c r="G4" s="223"/>
    </x:row>
    <x:row r="5" ht="30" customHeight="1">
      <x:c r="A5" s="222"/>
      <x:c r="B5" s="241"/>
      <x:c r="C5" s="241"/>
      <x:c r="D5" s="241"/>
      <x:c r="E5" s="241"/>
      <x:c r="F5" s="241"/>
      <x:c r="G5" s="223"/>
    </x:row>
    <x:row r="6" ht="30" customHeight="1">
      <x:c r="A6" s="226" t="str">
        <x:v>Half-year cash build</x:v>
      </x:c>
      <x:c r="B6" s="242" t="str">
        <x:v>USD millions</x:v>
      </x:c>
      <x:c r="C6" s="242" t="str">
        <x:v>Period / basis</x:v>
      </x:c>
      <x:c r="D6" s="277" t="str">
        <x:v>Interpretation</x:v>
      </x:c>
      <x:c r="E6" s="241"/>
      <x:c r="F6" s="241"/>
      <x:c r="G6" s="223"/>
    </x:row>
    <x:row r="7" ht="43" customHeight="1">
      <x:c r="A7" s="234" t="str">
        <x:v>Opening cash</x:v>
      </x:c>
      <x:c r="B7" s="243" t="n">
        <x:f>IF(ISNUMBER('Data'!B37),'Data'!B37,NA())</x:f>
        <x:v>7268000000</x:v>
      </x:c>
      <x:c r="C7" s="245" t="str">
        <x:v>December 31, 2025</x:v>
      </x:c>
      <x:c r="D7" s="305" t="str">
        <x:v>Excludes restricted cash. Not an additional half-year flow.</x:v>
      </x:c>
      <x:c r="E7" s="241"/>
      <x:c r="F7" s="241"/>
      <x:c r="G7" s="223"/>
    </x:row>
    <x:row r="8" ht="43" customHeight="1">
      <x:c r="A8" s="234" t="str">
        <x:v>Operating cash flow</x:v>
      </x:c>
      <x:c r="B8" s="243" t="n">
        <x:f>IF(ISNUMBER('Data'!B21),'Data'!B21,NA())</x:f>
        <x:v>16023000000</x:v>
      </x:c>
      <x:c r="C8" s="245" t="str">
        <x:v>January–June 2026</x:v>
      </x:c>
      <x:c r="D8" s="305" t="str">
        <x:v>Historical; includes working capital. Future recurrence not established.</x:v>
      </x:c>
      <x:c r="E8" s="241"/>
      <x:c r="F8" s="241"/>
      <x:c r="G8" s="223"/>
    </x:row>
    <x:row r="9" ht="43" customHeight="1">
      <x:c r="A9" s="234" t="str">
        <x:v>Cash PP&amp;E spending</x:v>
      </x:c>
      <x:c r="B9" s="243" t="n">
        <x:f>-IF(ISNUMBER('Data'!B22),'Data'!B22,NA())</x:f>
        <x:v>-5259000000</x:v>
      </x:c>
      <x:c r="C9" s="245" t="str">
        <x:v>January–June 2026</x:v>
      </x:c>
      <x:c r="D9" s="305" t="str">
        <x:v>Cash use, not a forecast of manufacturing investment.</x:v>
      </x:c>
      <x:c r="E9" s="241"/>
      <x:c r="F9" s="241"/>
      <x:c r="G9" s="223"/>
    </x:row>
    <x:row r="10" ht="43" customHeight="1">
      <x:c r="A10" s="234" t="str">
        <x:v>Cash acquisitions, net of cash acquired</x:v>
      </x:c>
      <x:c r="B10" s="243" t="n">
        <x:f>-IF(ISNUMBER('Data'!B25),'Data'!B25,NA())</x:f>
        <x:v>-9805000000</x:v>
      </x:c>
      <x:c r="C10" s="245" t="str">
        <x:v>January–June 2026</x:v>
      </x:c>
      <x:c r="D10" s="305" t="str">
        <x:v>Not added again to the approximately $13.3B business-development disclosure.</x:v>
      </x:c>
      <x:c r="E10" s="241"/>
      <x:c r="F10" s="241"/>
      <x:c r="G10" s="223"/>
    </x:row>
    <x:row r="11" ht="43" customHeight="1">
      <x:c r="A11" s="234" t="str">
        <x:v>Purchased in-process R&amp;D</x:v>
      </x:c>
      <x:c r="B11" s="243" t="n">
        <x:f>-IF(ISNUMBER('Data'!B24),'Data'!B24,NA())</x:f>
        <x:v>-3486000000</x:v>
      </x:c>
      <x:c r="C11" s="245" t="str">
        <x:v>January–June 2026</x:v>
      </x:c>
      <x:c r="D11" s="305" t="str">
        <x:v>Separate cash use; not all acquisition-related expense is cash.</x:v>
      </x:c>
      <x:c r="E11" s="241"/>
      <x:c r="F11" s="241"/>
      <x:c r="G11" s="223"/>
    </x:row>
    <x:row r="12" ht="43" customHeight="1">
      <x:c r="A12" s="234" t="str">
        <x:v>Cash dividends</x:v>
      </x:c>
      <x:c r="B12" s="243" t="n">
        <x:f>-IF(ISNUMBER('Data'!B28),'Data'!B28,NA())</x:f>
        <x:v>-3094000000</x:v>
      </x:c>
      <x:c r="C12" s="245" t="str">
        <x:v>January–June 2026</x:v>
      </x:c>
      <x:c r="D12" s="305" t="str">
        <x:v>Competes with repayments for cash.</x:v>
      </x:c>
      <x:c r="E12" s="241"/>
      <x:c r="F12" s="241"/>
      <x:c r="G12" s="223"/>
    </x:row>
    <x:row r="13" ht="43" customHeight="1">
      <x:c r="A13" s="234" t="str">
        <x:v>Share repurchases</x:v>
      </x:c>
      <x:c r="B13" s="243" t="n">
        <x:f>-IF(ISNUMBER('Data'!B32),'Data'!B32,NA())</x:f>
        <x:v>-3957000000</x:v>
      </x:c>
      <x:c r="C13" s="245" t="str">
        <x:v>January–June 2026</x:v>
      </x:c>
      <x:c r="D13" s="305" t="str">
        <x:v>Historical spending; no future pace assumed.</x:v>
      </x:c>
      <x:c r="E13" s="241"/>
      <x:c r="F13" s="241"/>
      <x:c r="G13" s="223"/>
    </x:row>
    <x:row r="14" ht="43" customHeight="1">
      <x:c r="A14" s="234" t="str">
        <x:v>Short-term borrowing, net</x:v>
      </x:c>
      <x:c r="B14" s="243" t="n">
        <x:f>IF(ISNUMBER('Data'!B29),'Data'!B29,NA())</x:f>
        <x:v>5284000000</x:v>
      </x:c>
      <x:c r="C14" s="245" t="str">
        <x:v>January–June 2026</x:v>
      </x:c>
      <x:c r="D14" s="305" t="str">
        <x:v>Financing inflow, not recurring operating generation.</x:v>
      </x:c>
      <x:c r="E14" s="241"/>
      <x:c r="F14" s="241"/>
      <x:c r="G14" s="223"/>
    </x:row>
    <x:row r="15" ht="43" customHeight="1">
      <x:c r="A15" s="234" t="str">
        <x:v>Long-term debt proceeds, net</x:v>
      </x:c>
      <x:c r="B15" s="243" t="n">
        <x:f>IF(ISNUMBER('Data'!B30),'Data'!B30,NA())</x:f>
        <x:v>8941000000</x:v>
      </x:c>
      <x:c r="C15" s="245" t="str">
        <x:v>January–June 2026</x:v>
      </x:c>
      <x:c r="D15" s="305" t="str">
        <x:v>May $9B issue is already included here; net cash differs from face amount.</x:v>
      </x:c>
      <x:c r="E15" s="241"/>
      <x:c r="F15" s="241"/>
      <x:c r="G15" s="223"/>
    </x:row>
    <x:row r="16" ht="43" customHeight="1">
      <x:c r="A16" s="234" t="str">
        <x:v>Long-term debt repaid</x:v>
      </x:c>
      <x:c r="B16" s="243" t="n">
        <x:f>-IF(ISNUMBER('Data'!B31),'Data'!B31,NA())</x:f>
        <x:v>-1623000000</x:v>
      </x:c>
      <x:c r="C16" s="245" t="str">
        <x:v>January–June 2026</x:v>
      </x:c>
      <x:c r="D16" s="305" t="str">
        <x:v>Already paid; not a future maturity schedule.</x:v>
      </x:c>
      <x:c r="E16" s="241"/>
      <x:c r="F16" s="241"/>
      <x:c r="G16" s="223"/>
    </x:row>
    <x:row r="17" ht="43" customHeight="1">
      <x:c r="A17" s="234" t="str">
        <x:v>Other investing and financing</x:v>
      </x:c>
      <x:c r="B17" s="243" t="n">
        <x:f>-IF(ISNUMBER('Data'!B23),'Data'!B23,NA())-IF(ISNUMBER('Data'!B26),'Data'!B26,NA())+IF(ISNUMBER('Data'!B33),'Data'!B33,NA())</x:f>
        <x:v>-1357000000</x:v>
      </x:c>
      <x:c r="C17" s="245" t="str">
        <x:v>January–June 2026</x:v>
      </x:c>
      <x:c r="D17" s="305" t="str">
        <x:v>Investment purchases, other investing and other financing.</x:v>
      </x:c>
      <x:c r="E17" s="241"/>
      <x:c r="F17" s="241"/>
      <x:c r="G17" s="223"/>
    </x:row>
    <x:row r="18" ht="43" customHeight="1">
      <x:c r="A18" s="234" t="str">
        <x:v>Exchange-rate effect</x:v>
      </x:c>
      <x:c r="B18" s="243" t="n">
        <x:f>IF(ISNUMBER('Data'!B35),'Data'!B35,NA())</x:f>
        <x:v>15000000</x:v>
      </x:c>
      <x:c r="C18" s="245" t="str">
        <x:v>January–June 2026</x:v>
      </x:c>
      <x:c r="D18" s="305" t="str">
        <x:v>Reconciles the cash balance.</x:v>
      </x:c>
      <x:c r="E18" s="241"/>
      <x:c r="F18" s="241"/>
      <x:c r="G18" s="223"/>
    </x:row>
    <x:row r="19" ht="43" customHeight="1">
      <x:c r="A19" s="256" t="str">
        <x:v>Calculated cash change</x:v>
      </x:c>
      <x:c r="B19" s="257" t="n">
        <x:f>SUM(B8:B18)</x:f>
        <x:v>1682000000</x:v>
      </x:c>
      <x:c r="C19" s="259" t="str">
        <x:v>January–June 2026</x:v>
      </x:c>
      <x:c r="D19" s="306" t="str">
        <x:v>All signed flows counted once.</x:v>
      </x:c>
      <x:c r="E19" s="241"/>
      <x:c r="F19" s="241"/>
      <x:c r="G19" s="223"/>
    </x:row>
    <x:row r="20" ht="43" customHeight="1">
      <x:c r="A20" s="256" t="str">
        <x:v>Calculated closing cash</x:v>
      </x:c>
      <x:c r="B20" s="257" t="n">
        <x:f>B7+B19</x:f>
        <x:v>8950000000</x:v>
      </x:c>
      <x:c r="C20" s="259" t="str">
        <x:v>June 30, 2026</x:v>
      </x:c>
      <x:c r="D20" s="306" t="str">
        <x:v>Opening cash plus change.</x:v>
      </x:c>
      <x:c r="E20" s="241"/>
      <x:c r="F20" s="241"/>
      <x:c r="G20" s="223"/>
    </x:row>
    <x:row r="21" ht="43" customHeight="1">
      <x:c r="A21" s="234" t="str">
        <x:v>Reported closing cash</x:v>
      </x:c>
      <x:c r="B21" s="243" t="n">
        <x:f>IF(ISNUMBER('Data'!B38),'Data'!B38,NA())</x:f>
        <x:v>8950000000</x:v>
      </x:c>
      <x:c r="C21" s="245" t="str">
        <x:v>June 30, 2026</x:v>
      </x:c>
      <x:c r="D21" s="305" t="str">
        <x:v>Not a current cash balance after subsequent payments.</x:v>
      </x:c>
      <x:c r="E21" s="241"/>
      <x:c r="F21" s="241"/>
      <x:c r="G21" s="223"/>
    </x:row>
    <x:row r="22" ht="43" customHeight="1">
      <x:c r="A22" s="256" t="str">
        <x:v>Cash reconciliation difference</x:v>
      </x:c>
      <x:c r="B22" s="257" t="n">
        <x:f>B20-B21</x:f>
        <x:v>0</x:v>
      </x:c>
      <x:c r="C22" s="259" t="str">
        <x:v>Zero = reconciled</x:v>
      </x:c>
      <x:c r="D22" s="306" t="str">
        <x:v>No cash forecast or unrestricted-funding total.</x:v>
      </x:c>
      <x:c r="E22" s="241"/>
      <x:c r="F22" s="241"/>
      <x:c r="G22" s="223"/>
    </x:row>
    <x:row r="23" ht="43" customHeight="1">
      <x:c r="A23" s="256" t="str">
        <x:v>OCF less cash PP&amp;E spending</x:v>
      </x:c>
      <x:c r="B23" s="257" t="n">
        <x:f>B8+B9</x:f>
        <x:v>10764000000</x:v>
      </x:c>
      <x:c r="C23" s="259" t="str">
        <x:v>Historical H1 only</x:v>
      </x:c>
      <x:c r="D23" s="306" t="str">
        <x:v>Excludes acquisitions, payouts and other cash uses.</x:v>
      </x:c>
      <x:c r="E23" s="241"/>
      <x:c r="F23" s="241"/>
      <x:c r="G23" s="223"/>
    </x:row>
    <x:row r="24" ht="43" customHeight="1">
      <x:c r="A24" s="256" t="str">
        <x:v>Net borrowing cash flow</x:v>
      </x:c>
      <x:c r="B24" s="257" t="n">
        <x:f>SUM(B14:B16)</x:f>
        <x:v>12602000000</x:v>
      </x:c>
      <x:c r="C24" s="259" t="str">
        <x:v>Historical H1 only</x:v>
      </x:c>
      <x:c r="D24" s="306" t="str">
        <x:v>Borrowing contributed to closing cash.</x:v>
      </x:c>
      <x:c r="E24" s="241"/>
      <x:c r="F24" s="241"/>
      <x:c r="G24" s="223"/>
    </x:row>
    <x:row r="25" ht="43" customHeight="1">
      <x:c r="A25" s="256" t="str">
        <x:v>Acquisitions + purchased IPR&amp;D</x:v>
      </x:c>
      <x:c r="B25" s="257" t="n">
        <x:f>-SUM(B10:B11)</x:f>
        <x:v>13291000000</x:v>
      </x:c>
      <x:c r="C25" s="259" t="str">
        <x:v>Historical H1 only</x:v>
      </x:c>
      <x:c r="D25" s="306" t="str">
        <x:v>Approximately $13.3B, already spent.</x:v>
      </x:c>
      <x:c r="E25" s="241"/>
      <x:c r="F25" s="241"/>
      <x:c r="G25" s="223"/>
    </x:row>
    <x:row r="26" ht="43" customHeight="1">
      <x:c r="A26" s="246" t="str">
        <x:v>Dividends + buybacks</x:v>
      </x:c>
      <x:c r="B26" s="247" t="n">
        <x:f>-SUM(B12:B13)</x:f>
        <x:v>7051000000</x:v>
      </x:c>
      <x:c r="C26" s="249" t="str">
        <x:v>Historical H1 only</x:v>
      </x:c>
      <x:c r="D26" s="307" t="str">
        <x:v>Not automatically recurring future obligations.</x:v>
      </x:c>
      <x:c r="E26" s="241"/>
      <x:c r="F26" s="241"/>
      <x:c r="G26" s="223"/>
    </x:row>
    <x:row r="27" ht="30" customHeight="1">
      <x:c r="A27" s="222"/>
      <x:c r="B27" s="251"/>
      <x:c r="C27" s="241"/>
      <x:c r="D27" s="241"/>
      <x:c r="E27" s="241"/>
      <x:c r="F27" s="308" t="str">
        <x:v>H1 cash contribution</x:v>
      </x:c>
      <x:c r="G27" s="237" t="str">
        <x:v>USD millions</x:v>
      </x:c>
    </x:row>
    <x:row r="28" ht="30" customHeight="1">
      <x:c r="A28" s="222"/>
      <x:c r="B28" s="251"/>
      <x:c r="C28" s="241"/>
      <x:c r="D28" s="241"/>
      <x:c r="E28" s="241"/>
      <x:c r="F28" s="308" t="str">
        <x:v>Operating cash flow</x:v>
      </x:c>
      <x:c r="G28" s="309" t="n">
        <x:f>B8</x:f>
        <x:v>16023000000</x:v>
      </x:c>
    </x:row>
    <x:row r="29" ht="30" customHeight="1">
      <x:c r="A29" s="226" t="str">
        <x:v>Credit capacity, dates kept separate</x:v>
      </x:c>
      <x:c r="B29" s="253" t="str">
        <x:v>USD millions</x:v>
      </x:c>
      <x:c r="C29" s="242" t="str">
        <x:v>Date / expiry</x:v>
      </x:c>
      <x:c r="D29" s="277" t="str">
        <x:v>Availability limitation</x:v>
      </x:c>
      <x:c r="E29" s="241"/>
      <x:c r="F29" s="308" t="str">
        <x:v>Cash PP&amp;E spending</x:v>
      </x:c>
      <x:c r="G29" s="309" t="n">
        <x:f>B9</x:f>
        <x:v>-5259000000</x:v>
      </x:c>
    </x:row>
    <x:row r="30" ht="70" customHeight="1">
      <x:c r="A30" s="234" t="str">
        <x:v>Unused committed facilities</x:v>
      </x:c>
      <x:c r="B30" s="243" t="n">
        <x:f>IF(ISNUMBER('Data'!B58),'Data'!B58,NA())</x:f>
        <x:v>10100000000</x:v>
      </x:c>
      <x:c r="C30" s="245" t="str">
        <x:v>June 30, 2026</x:v>
      </x:c>
      <x:c r="D30" s="305" t="str">
        <x:v>Reported unused, not cash or verified drawable. $10B supports CP and is not added again.</x:v>
      </x:c>
      <x:c r="E30" s="241"/>
      <x:c r="F30" s="308" t="str">
        <x:v>Acquisitions + purchased IPR&amp;D</x:v>
      </x:c>
      <x:c r="G30" s="309" t="n">
        <x:f>-B25</x:f>
        <x:v>-13291000000</x:v>
      </x:c>
    </x:row>
    <x:row r="31" ht="70" customHeight="1">
      <x:c r="A31" s="234" t="str">
        <x:v>364-day facility expires August 2026</x:v>
      </x:c>
      <x:c r="B31" s="243" t="n">
        <x:f>IF(ISNUMBER('Data'!B56),'Data'!B56,NA())</x:f>
        <x:v>6000000000</x:v>
      </x:c>
      <x:c r="C31" s="245" t="str">
        <x:v>August 2026 expiry</x:v>
      </x:c>
      <x:c r="D31" s="305" t="str">
        <x:v>Annual terms: 364-day facility. Exact expiry day and renewal Unavailable; do not carry June capacity past expiry.</x:v>
      </x:c>
      <x:c r="E31" s="241"/>
      <x:c r="F31" s="308" t="str">
        <x:v>Dividends + buybacks</x:v>
      </x:c>
      <x:c r="G31" s="309" t="n">
        <x:f>-B26</x:f>
        <x:v>-7051000000</x:v>
      </x:c>
    </x:row>
    <x:row r="32" ht="70" customHeight="1">
      <x:c r="A32" s="234" t="str">
        <x:v>Facility expires December 2029</x:v>
      </x:c>
      <x:c r="B32" s="243" t="n">
        <x:f>IF(ISNUMBER('Data'!B57),'Data'!B57,NA())</x:f>
        <x:v>4000000000</x:v>
      </x:c>
      <x:c r="C32" s="245" t="str">
        <x:v>December 2029 expiry</x:v>
      </x:c>
      <x:c r="D32" s="305" t="str">
        <x:v>Annual terms only. Exact day, June facility composition, contract conditions and current draws Unavailable.</x:v>
      </x:c>
      <x:c r="E32" s="241"/>
      <x:c r="F32" s="308" t="str">
        <x:v>Net borrowing</x:v>
      </x:c>
      <x:c r="G32" s="309" t="n">
        <x:f>B24</x:f>
        <x:v>12602000000</x:v>
      </x:c>
    </x:row>
    <x:row r="33" ht="70" customHeight="1">
      <x:c r="A33" s="310"/>
      <x:c r="B33" s="311"/>
      <x:c r="C33" s="312"/>
      <x:c r="D33" s="313"/>
      <x:c r="E33" s="241"/>
      <x:c r="F33" s="308" t="str">
        <x:v>Other cash flows including FX</x:v>
      </x:c>
      <x:c r="G33" s="309" t="n">
        <x:f>B17+B18</x:f>
        <x:v>-1342000000</x:v>
      </x:c>
    </x:row>
    <x:row r="34" ht="70" customHeight="1">
      <x:c r="A34" s="234" t="str">
        <x:v>Drawable credit</x:v>
      </x:c>
      <x:c r="B34" s="255" t="str">
        <x:v>Unavailable</x:v>
      </x:c>
      <x:c r="C34" s="245" t="str">
        <x:v>No saved credit agreement</x:v>
      </x:c>
      <x:c r="D34" s="305" t="str">
        <x:v>Draw conditions, covenants, permitted uses and post-August renewal not established. Cash + commitments is not a verified funding total.</x:v>
      </x:c>
      <x:c r="E34" s="241"/>
      <x:c r="F34" s="241"/>
      <x:c r="G34" s="223"/>
    </x:row>
    <x:row r="35" ht="70" customHeight="1">
      <x:c r="A35" s="235" t="str">
        <x:v>December unused capacity</x:v>
      </x:c>
      <x:c r="B35" s="304" t="n">
        <x:f>IF(ISNUMBER('Data'!B55),'Data'!B55,NA())</x:f>
        <x:v>10100000000</x:v>
      </x:c>
      <x:c r="C35" s="263" t="str">
        <x:v>December 31, 2025</x:v>
      </x:c>
      <x:c r="D35" s="314" t="str">
        <x:v>Annual unused total is $10.1B, primarily the $6B and $4B facilities. The residual $0.1B is not separately described.</x:v>
      </x:c>
      <x:c r="E35" s="241"/>
      <x:c r="F35" s="241"/>
      <x:c r="G35" s="223"/>
    </x:row>
    <x:row r="36" ht="30" customHeight="1">
      <x:c r="A36" s="222"/>
      <x:c r="B36" s="251"/>
      <x:c r="C36" s="241"/>
      <x:c r="D36" s="241"/>
      <x:c r="E36" s="241"/>
      <x:c r="F36" s="241"/>
      <x:c r="G36" s="223"/>
    </x:row>
    <x:row r="37" ht="30" customHeight="1">
      <x:c r="A37" s="222"/>
      <x:c r="B37" s="251"/>
      <x:c r="C37" s="241"/>
      <x:c r="D37" s="241"/>
      <x:c r="E37" s="241"/>
      <x:c r="F37" s="241"/>
      <x:c r="G37" s="223"/>
    </x:row>
    <x:row r="38" ht="30" customHeight="1">
      <x:c r="A38" s="226" t="str">
        <x:v>Acquisitions / manufacturing</x:v>
      </x:c>
      <x:c r="B38" s="253" t="str">
        <x:v>USD millions</x:v>
      </x:c>
      <x:c r="C38" s="242" t="str">
        <x:v>Date and classification</x:v>
      </x:c>
      <x:c r="D38" s="277" t="str">
        <x:v>Timing, overlap and funding limitation</x:v>
      </x:c>
      <x:c r="E38" s="241"/>
      <x:c r="F38" s="241"/>
      <x:c r="G38" s="223"/>
    </x:row>
    <x:row r="39" ht="96" customHeight="1">
      <x:c r="A39" s="234" t="str">
        <x:v>Pending AtaiBeckley acquisition</x:v>
      </x:c>
      <x:c r="B39" s="243" t="n">
        <x:f>IF(ISNUMBER('Data'!B60),'Data'!B60,NA())</x:f>
        <x:v>2800000000</x:v>
      </x:c>
      <x:c r="C39" s="245" t="str">
        <x:v>Disclosed August 5, 2026 · Approximate conditional closing payment</x:v>
      </x:c>
      <x:c r="D39" s="305" t="str">
        <x:v>Payable at closing, subject to conditions. Disclosed after quarter end; closing date, completion and funding allocation are not established here.</x:v>
      </x:c>
      <x:c r="E39" s="241"/>
      <x:c r="F39" s="241"/>
      <x:c r="G39" s="223"/>
    </x:row>
    <x:row r="40" ht="96" customHeight="1">
      <x:c r="A40" s="234" t="str">
        <x:v>Unpaid Kelonia cash consideration</x:v>
      </x:c>
      <x:c r="B40" s="243" t="n">
        <x:f>IF(ISNUMBER('Data'!B61),'Data'!B61,NA())</x:f>
        <x:v>208000000</x:v>
      </x:c>
      <x:c r="C40" s="245" t="str">
        <x:v>2026-06-30 · Unpaid acquisition consideration</x:v>
      </x:c>
      <x:c r="D40" s="305" t="str">
        <x:v>Payment date Unavailable. Separate from cash already paid and from contingent-consideration fair value.</x:v>
      </x:c>
      <x:c r="E40" s="241"/>
      <x:c r="F40" s="241"/>
      <x:c r="G40" s="223"/>
    </x:row>
    <x:row r="41" ht="96" customHeight="1">
      <x:c r="A41" s="234" t="str">
        <x:v>Unpaid Centessa cash consideration</x:v>
      </x:c>
      <x:c r="B41" s="243" t="n">
        <x:f>IF(ISNUMBER('Data'!B62),'Data'!B62,NA())</x:f>
        <x:v>88000000</x:v>
      </x:c>
      <x:c r="C41" s="245" t="str">
        <x:v>2026-06-30 · Unpaid acquisition consideration</x:v>
      </x:c>
      <x:c r="D41" s="305" t="str">
        <x:v>Payment date Unavailable. Do not add to paid acquisition cash or contingent-consideration fair value.</x:v>
      </x:c>
      <x:c r="E41" s="241"/>
      <x:c r="F41" s="241"/>
      <x:c r="G41" s="223"/>
    </x:row>
    <x:row r="42" ht="96" customHeight="1">
      <x:c r="A42" s="234" t="str">
        <x:v>July infectious-disease acquisitions: cash paid</x:v>
      </x:c>
      <x:c r="B42" s="243" t="n">
        <x:f>IF(ISNUMBER('Data'!B63),'Data'!B63,NA())</x:f>
        <x:v>2000000000</x:v>
      </x:c>
      <x:c r="C42" s="245" t="str">
        <x:v>July 2026 · Approximate subsequent cash use</x:v>
      </x:c>
      <x:c r="D42" s="305" t="str">
        <x:v>Already paid after June. Other July cash flows are unknown; June cash less this payment is not a current cash balance.</x:v>
      </x:c>
      <x:c r="E42" s="241"/>
      <x:c r="F42" s="241"/>
      <x:c r="G42" s="223"/>
    </x:row>
    <x:row r="43" ht="96" customHeight="1">
      <x:c r="A43" s="234" t="str">
        <x:v>July acquisitions: aggregate consideration up to</x:v>
      </x:c>
      <x:c r="B43" s="243" t="n">
        <x:f>IF(ISNUMBER('Data'!B64),'Data'!B64,NA())</x:f>
        <x:v>3900000000</x:v>
      </x:c>
      <x:c r="C43" s="245" t="str">
        <x:v>July 2026 · Conditional aggregate ceiling</x:v>
      </x:c>
      <x:c r="D43" s="305" t="str">
        <x:v>Includes upfront cash and potential clinical, regulatory and commercial milestones. Includes the approximately $2B paid; do not add the two amounts or infer a precise remaining cash bill.</x:v>
      </x:c>
      <x:c r="E43" s="241"/>
      <x:c r="F43" s="241"/>
      <x:c r="G43" s="223"/>
    </x:row>
    <x:row r="44" ht="96" customHeight="1">
      <x:c r="A44" s="234" t="str">
        <x:v>Unfunded venture fund commitments</x:v>
      </x:c>
      <x:c r="B44" s="243" t="n">
        <x:f>IF(ISNUMBER('Data'!B65),'Data'!B65,NA())</x:f>
        <x:v>806000000</x:v>
      </x:c>
      <x:c r="C44" s="245" t="str">
        <x:v>2026-06-30 · Approximate investment commitment</x:v>
      </x:c>
      <x:c r="D44" s="305" t="str">
        <x:v>Expected to be paid over up to ten years. Individual capital-call dates are Unavailable.</x:v>
      </x:c>
      <x:c r="E44" s="241"/>
      <x:c r="F44" s="241"/>
      <x:c r="G44" s="223"/>
    </x:row>
    <x:row r="45" ht="96" customHeight="1">
      <x:c r="A45" s="234" t="str">
        <x:v>Development-medicine supply arrangements: up to</x:v>
      </x:c>
      <x:c r="B45" s="243" t="n">
        <x:f>IF(ISNUMBER('Data'!B66),'Data'!B66,NA())</x:f>
        <x:v>10000000000</x:v>
      </x:c>
      <x:c r="C45" s="245" t="str">
        <x:v>2025-12-31 · Approximate conditional purchase shortfall ceiling</x:v>
      </x:c>
      <x:c r="D45" s="305" t="str">
        <x:v>Payments if specified purchases are not met under executed manufacturing and supply agreements; durations generally up to eight years. Not an unconditional $10B bill. Updated June ceiling, annual payments and overlap with other spending are Unavailable.</x:v>
      </x:c>
      <x:c r="E45" s="241"/>
      <x:c r="F45" s="241"/>
      <x:c r="G45" s="223"/>
    </x:row>
    <x:row r="46" ht="96" customHeight="1">
      <x:c r="A46" s="235" t="str">
        <x:v>Additional Indiana manufacturing investment</x:v>
      </x:c>
      <x:c r="B46" s="304" t="n">
        <x:f>IF(ISNUMBER('Data'!B67),'Data'!B67,NA())</x:f>
        <x:v>4500000000</x:v>
      </x:c>
      <x:c r="C46" s="263" t="str">
        <x:v>Announced August 5, 2026 · Announced investment commitment</x:v>
      </x:c>
      <x:c r="D46" s="314" t="str">
        <x:v>Release says committed an additional $4.5B. Contractual payment schedule, spending to date and overlap with capex or supply commitments are not established by this release. Not added to debt or the $10B ceiling.</x:v>
      </x:c>
      <x:c r="E46" s="241"/>
      <x:c r="F46" s="241"/>
      <x:c r="G46" s="223"/>
    </x:row>
    <x:row r="47" ht="30" customHeight="1">
      <x:c r="A47" s="222"/>
      <x:c r="B47" s="251"/>
      <x:c r="C47" s="241"/>
      <x:c r="D47" s="241"/>
      <x:c r="E47" s="241"/>
      <x:c r="F47" s="241"/>
      <x:c r="G47" s="223"/>
    </x:row>
    <x:row r="48" ht="68" customHeight="1">
      <x:c r="A48" s="239" t="str">
        <x:v>Contingent consideration fair value</x:v>
      </x:c>
      <x:c r="B48" s="315" t="n">
        <x:f>IF(ISNUMBER('Data'!B41),'Data'!B41,NA())+IF(ISNUMBER('Data'!B42),'Data'!B42,NA())</x:f>
        <x:v>2518000000</x:v>
      </x:c>
      <x:c r="C48" s="316" t="str">
        <x:v>June 30, 2026</x:v>
      </x:c>
      <x:c r="D48" s="317" t="str">
        <x:v>Current $814M + noncurrent $1,704M. Valuation, not dated payment or contractual maximum. Not added to acquisition amounts above.</x:v>
      </x:c>
      <x:c r="E48" s="241"/>
      <x:c r="F48" s="241"/>
      <x:c r="G48" s="223"/>
    </x:row>
    <x:row r="49" ht="68" customHeight="1">
      <x:c r="A49" s="234" t="str">
        <x:v>Future funding coverage</x:v>
      </x:c>
      <x:c r="B49" s="255" t="str">
        <x:v>Unavailable</x:v>
      </x:c>
      <x:c r="C49" s="245" t="str">
        <x:v>Each future obligation</x:v>
      </x:c>
      <x:c r="D49" s="305" t="str">
        <x:v>Future principal dates, future cash generation, payment dates and drawable credit not all established. No coverage ratio calculated.</x:v>
      </x:c>
      <x:c r="E49" s="241"/>
      <x:c r="F49" s="241"/>
      <x:c r="G49" s="223"/>
    </x:row>
    <x:row r="50" ht="68" customHeight="1">
      <x:c r="A50" s="235" t="str">
        <x:v>Scope</x:v>
      </x:c>
      <x:c r="B50" s="261" t="str">
        <x:v>Financing index through Oct 15, 2026</x:v>
      </x:c>
      <x:c r="C50" s="263" t="str">
        <x:v>10-K; 10-Q; earnings and financing documents</x:v>
      </x:c>
      <x:c r="D50" s="314" t="str">
        <x:v>SEC financing candidates screened through October 15. Not a complete review of all liability notes. No combined obligations total.</x:v>
      </x:c>
      <x:c r="E50" s="241"/>
      <x:c r="F50" s="241"/>
      <x:c r="G50" s="223"/>
    </x:row>
    <x:row r="51" ht="30" customHeight="1">
      <x:c r="A51" s="222"/>
      <x:c r="B51" s="251"/>
      <x:c r="C51" s="241"/>
      <x:c r="D51" s="241"/>
      <x:c r="E51" s="241"/>
      <x:c r="F51" s="241"/>
      <x:c r="G51" s="223"/>
    </x:row>
    <x:row r="52" ht="30" customHeight="1">
      <x:c r="A52" s="222"/>
      <x:c r="B52" s="251"/>
      <x:c r="C52" s="241"/>
      <x:c r="D52" s="241"/>
      <x:c r="E52" s="241"/>
      <x:c r="F52" s="241"/>
      <x:c r="G52" s="223"/>
    </x:row>
    <x:row r="53" ht="30" customHeight="1">
      <x:c r="A53" s="226" t="str">
        <x:v>Notes grouped by due year</x:v>
      </x:c>
      <x:c r="B53" s="253" t="str">
        <x:v>USD millions</x:v>
      </x:c>
      <x:c r="C53" s="242" t="str">
        <x:v>Basis date</x:v>
      </x:c>
      <x:c r="D53" s="277" t="str">
        <x:v>Interpretation</x:v>
      </x:c>
      <x:c r="E53" s="241"/>
      <x:c r="F53" s="241"/>
      <x:c r="G53" s="223"/>
    </x:row>
    <x:row r="54" ht="43" customHeight="1">
      <x:c r="A54" s="234" t="str">
        <x:v>Notes due 2026</x:v>
      </x:c>
      <x:c r="B54" s="243" t="n">
        <x:f>IF(ISNUMBER('Data'!B43),'Data'!B43,NA())</x:f>
        <x:v>1632000000</x:v>
      </x:c>
      <x:c r="C54" s="245" t="str">
        <x:v>December 31, 2025</x:v>
      </x:c>
      <x:c r="D54" s="305" t="str">
        <x:v>Historical carrying amount; not principal cash payments. Multi-year groups are combined.</x:v>
      </x:c>
      <x:c r="E54" s="241"/>
      <x:c r="F54" s="241"/>
      <x:c r="G54" s="223"/>
    </x:row>
    <x:row r="55" ht="43" customHeight="1">
      <x:c r="A55" s="234" t="str">
        <x:v>Notes due 2027</x:v>
      </x:c>
      <x:c r="B55" s="243" t="n">
        <x:f>IF(ISNUMBER('Data'!B44),'Data'!B44,NA())</x:f>
        <x:v>2516000000</x:v>
      </x:c>
      <x:c r="C55" s="245" t="str">
        <x:v>December 31, 2025</x:v>
      </x:c>
      <x:c r="D55" s="305" t="str">
        <x:v>Historical carrying amount; not principal cash payments. Multi-year groups are combined.</x:v>
      </x:c>
      <x:c r="E55" s="241"/>
      <x:c r="F55" s="241"/>
      <x:c r="G55" s="223"/>
    </x:row>
    <x:row r="56" ht="43" customHeight="1">
      <x:c r="A56" s="234" t="str">
        <x:v>Notes due 2028</x:v>
      </x:c>
      <x:c r="B56" s="243" t="n">
        <x:f>IF(ISNUMBER('Data'!B45),'Data'!B45,NA())</x:f>
        <x:v>3256000000</x:v>
      </x:c>
      <x:c r="C56" s="245" t="str">
        <x:v>December 31, 2025</x:v>
      </x:c>
      <x:c r="D56" s="305" t="str">
        <x:v>Historical carrying amount; not principal cash payments. Multi-year groups are combined.</x:v>
      </x:c>
      <x:c r="E56" s="241"/>
      <x:c r="F56" s="241"/>
      <x:c r="G56" s="223"/>
    </x:row>
    <x:row r="57" ht="43" customHeight="1">
      <x:c r="A57" s="234" t="str">
        <x:v>Notes due 2029</x:v>
      </x:c>
      <x:c r="B57" s="243" t="n">
        <x:f>IF(ISNUMBER('Data'!B46),'Data'!B46,NA())</x:f>
        <x:v>3077000000</x:v>
      </x:c>
      <x:c r="C57" s="245" t="str">
        <x:v>December 31, 2025</x:v>
      </x:c>
      <x:c r="D57" s="305" t="str">
        <x:v>Historical carrying amount; not principal cash payments. Multi-year groups are combined.</x:v>
      </x:c>
      <x:c r="E57" s="241"/>
      <x:c r="F57" s="241"/>
      <x:c r="G57" s="223"/>
    </x:row>
    <x:row r="58" ht="43" customHeight="1">
      <x:c r="A58" s="234" t="str">
        <x:v>Notes due 2030</x:v>
      </x:c>
      <x:c r="B58" s="243" t="n">
        <x:f>IF(ISNUMBER('Data'!B47),'Data'!B47,NA())</x:f>
        <x:v>2132000000</x:v>
      </x:c>
      <x:c r="C58" s="245" t="str">
        <x:v>December 31, 2025</x:v>
      </x:c>
      <x:c r="D58" s="305" t="str">
        <x:v>Historical carrying amount; not principal cash payments. Multi-year groups are combined.</x:v>
      </x:c>
      <x:c r="E58" s="241"/>
      <x:c r="F58" s="241"/>
      <x:c r="G58" s="223"/>
    </x:row>
    <x:row r="59" ht="43" customHeight="1">
      <x:c r="A59" s="234" t="str">
        <x:v>Notes due 2031–2040</x:v>
      </x:c>
      <x:c r="B59" s="243" t="n">
        <x:f>IF(ISNUMBER('Data'!B48),'Data'!B48,NA())</x:f>
        <x:v>11582000000</x:v>
      </x:c>
      <x:c r="C59" s="245" t="str">
        <x:v>December 31, 2025</x:v>
      </x:c>
      <x:c r="D59" s="305" t="str">
        <x:v>Historical carrying amount; not principal cash payments. Multi-year groups are combined.</x:v>
      </x:c>
      <x:c r="E59" s="241"/>
      <x:c r="F59" s="241"/>
      <x:c r="G59" s="223"/>
    </x:row>
    <x:row r="60" ht="43" customHeight="1">
      <x:c r="A60" s="234" t="str">
        <x:v>Notes due 2041–2050</x:v>
      </x:c>
      <x:c r="B60" s="243" t="n">
        <x:f>IF(ISNUMBER('Data'!B49),'Data'!B49,NA())</x:f>
        <x:v>4543000000</x:v>
      </x:c>
      <x:c r="C60" s="245" t="str">
        <x:v>December 31, 2025</x:v>
      </x:c>
      <x:c r="D60" s="305" t="str">
        <x:v>Historical carrying amount; not principal cash payments. Multi-year groups are combined.</x:v>
      </x:c>
      <x:c r="E60" s="241"/>
      <x:c r="F60" s="241"/>
      <x:c r="G60" s="223"/>
    </x:row>
    <x:row r="61" ht="43" customHeight="1">
      <x:c r="A61" s="234" t="str">
        <x:v>Notes due 2051–2060</x:v>
      </x:c>
      <x:c r="B61" s="243" t="n">
        <x:f>IF(ISNUMBER('Data'!B50),'Data'!B50,NA())</x:f>
        <x:v>8280000000</x:v>
      </x:c>
      <x:c r="C61" s="245" t="str">
        <x:v>December 31, 2025</x:v>
      </x:c>
      <x:c r="D61" s="305" t="str">
        <x:v>Historical carrying amount; not principal cash payments. Multi-year groups are combined.</x:v>
      </x:c>
      <x:c r="E61" s="241"/>
      <x:c r="F61" s="241"/>
      <x:c r="G61" s="223"/>
    </x:row>
    <x:row r="62" ht="43" customHeight="1">
      <x:c r="A62" s="234" t="str">
        <x:v>Notes due 2061–2070</x:v>
      </x:c>
      <x:c r="B62" s="243" t="n">
        <x:f>IF(ISNUMBER('Data'!B51),'Data'!B51,NA())</x:f>
        <x:v>5824000000</x:v>
      </x:c>
      <x:c r="C62" s="245" t="str">
        <x:v>December 31, 2025</x:v>
      </x:c>
      <x:c r="D62" s="305" t="str">
        <x:v>Historical carrying amount; not principal cash payments. Multi-year groups are combined.</x:v>
      </x:c>
      <x:c r="E62" s="241"/>
      <x:c r="F62" s="241"/>
      <x:c r="G62" s="223"/>
    </x:row>
    <x:row r="63" ht="43" customHeight="1">
      <x:c r="A63" s="256" t="str">
        <x:v>Total notes</x:v>
      </x:c>
      <x:c r="B63" s="257" t="n">
        <x:f>SUM(B54:B62)</x:f>
        <x:v>42842000000</x:v>
      </x:c>
      <x:c r="C63" s="259" t="str">
        <x:v>December 31, 2025</x:v>
      </x:c>
      <x:c r="D63" s="306" t="str">
        <x:v>Carrying amount; not payment total.</x:v>
      </x:c>
      <x:c r="E63" s="241"/>
      <x:c r="F63" s="241"/>
      <x:c r="G63" s="223"/>
    </x:row>
    <x:row r="64" ht="43" customHeight="1">
      <x:c r="A64" s="234" t="str">
        <x:v>Other debt and adjustments</x:v>
      </x:c>
      <x:c r="B64" s="243" t="n">
        <x:f>-IF(ISNUMBER('Data'!B52),'Data'!B52,NA())</x:f>
        <x:v>-339000000</x:v>
      </x:c>
      <x:c r="C64" s="245" t="str">
        <x:v>December 31, 2025</x:v>
      </x:c>
      <x:c r="D64" s="305" t="str">
        <x:v>Printed as (339). Tagged +339 source magnitude; presentation coefficient −1.</x:v>
      </x:c>
      <x:c r="E64" s="241"/>
      <x:c r="F64" s="241"/>
      <x:c r="G64" s="223"/>
    </x:row>
    <x:row r="65" ht="43" customHeight="1">
      <x:c r="A65" s="234" t="str">
        <x:v>Commercial paper</x:v>
      </x:c>
      <x:c r="B65" s="243" t="n">
        <x:f>IF(ISNUMBER('Data'!B53),'Data'!B53,NA())</x:f>
        <x:v>0</x:v>
      </x:c>
      <x:c r="C65" s="245" t="str">
        <x:v>December 31, 2025</x:v>
      </x:c>
      <x:c r="D65" s="305" t="str">
        <x:v>Reported zero at December 31, 2025.</x:v>
      </x:c>
      <x:c r="E65" s="241"/>
      <x:c r="F65" s="241"/>
      <x:c r="G65" s="223"/>
    </x:row>
    <x:row r="66" ht="43" customHeight="1">
      <x:c r="A66" s="256" t="str">
        <x:v>Calculated total debt</x:v>
      </x:c>
      <x:c r="B66" s="257" t="n">
        <x:f>SUM(B63:B65)</x:f>
        <x:v>42503000000</x:v>
      </x:c>
      <x:c r="C66" s="259" t="str">
        <x:v>December 31, 2025</x:v>
      </x:c>
      <x:c r="D66" s="306" t="str">
        <x:v>Same annual filing; no roll-forward to June.</x:v>
      </x:c>
      <x:c r="E66" s="241"/>
      <x:c r="F66" s="241"/>
      <x:c r="G66" s="223"/>
    </x:row>
    <x:row r="67" ht="43" customHeight="1">
      <x:c r="A67" s="234" t="str">
        <x:v>Reported total debt</x:v>
      </x:c>
      <x:c r="B67" s="243" t="n">
        <x:f>IF(ISNUMBER('Data'!B54),'Data'!B54,NA())</x:f>
        <x:v>42503000000</x:v>
      </x:c>
      <x:c r="C67" s="245" t="str">
        <x:v>December 31, 2025</x:v>
      </x:c>
      <x:c r="D67" s="305" t="str">
        <x:v>Reconciles to annual balance sheet.</x:v>
      </x:c>
      <x:c r="E67" s="241"/>
      <x:c r="F67" s="241"/>
      <x:c r="G67" s="223"/>
    </x:row>
    <x:row r="68" ht="43" customHeight="1">
      <x:c r="A68" s="246" t="str">
        <x:v>Debt reconciliation difference</x:v>
      </x:c>
      <x:c r="B68" s="247" t="n">
        <x:f>B66-B67</x:f>
        <x:v>0</x:v>
      </x:c>
      <x:c r="C68" s="249" t="str">
        <x:v>December 31, 2025</x:v>
      </x:c>
      <x:c r="D68" s="307" t="str">
        <x:v>Zero = reconciled.</x:v>
      </x:c>
      <x:c r="E68" s="241"/>
      <x:c r="F68" s="241"/>
      <x:c r="G68" s="223"/>
    </x:row>
    <x:row r="69" ht="30" customHeight="1">
      <x:c r="A69" s="222"/>
      <x:c r="B69" s="241"/>
      <x:c r="C69" s="241"/>
      <x:c r="D69" s="241"/>
      <x:c r="E69" s="241"/>
      <x:c r="F69" s="241"/>
      <x:c r="G69" s="223"/>
    </x:row>
    <x:row r="70" ht="80" customHeight="1">
      <x:c r="A70" s="239" t="str">
        <x:v>June 30 principal schedule</x:v>
      </x:c>
      <x:c r="B70" s="316" t="str">
        <x:v>Unavailable</x:v>
      </x:c>
      <x:c r="C70" s="316" t="str">
        <x:v>Updated payment dates missing</x:v>
      </x:c>
      <x:c r="D70" s="317" t="str">
        <x:v>Do not allocate May issuance or H1 repayments to annual buckets. Current borrowing $7.050B is not an instrument-level schedule.</x:v>
      </x:c>
      <x:c r="E70" s="241"/>
      <x:c r="F70" s="241"/>
      <x:c r="G70" s="223"/>
    </x:row>
    <x:row r="71" ht="80" customHeight="1">
      <x:c r="A71" s="235" t="str">
        <x:v>Repayment conclusion</x:v>
      </x:c>
      <x:c r="B71" s="318"/>
      <x:c r="C71" s="263" t="str">
        <x:v>Coverage Unavailable</x:v>
      </x:c>
      <x:c r="D71" s="314" t="str">
        <x:v>H1 cash generation after PP&amp;E was positive; acquisitions and payouts competed for cash. Net borrowing contributed materially. Updated debt dates, draw terms/renewal and payment calendars are needed.</x:v>
      </x:c>
      <x:c r="E71" s="241"/>
      <x:c r="F71" s="241"/>
      <x:c r="G71" s="223"/>
    </x:row>
    <x:row r="72" ht="30" customHeight="1">
      <x:c r="A72" s="222"/>
      <x:c r="B72" s="241"/>
      <x:c r="C72" s="241"/>
      <x:c r="D72" s="241"/>
      <x:c r="E72" s="241"/>
      <x:c r="F72" s="241"/>
      <x:c r="G72" s="223"/>
    </x:row>
    <x:row r="73" ht="30" customHeight="1">
      <x:c r="A73" s="222"/>
      <x:c r="B73" s="241"/>
      <x:c r="C73" s="241"/>
      <x:c r="D73" s="241"/>
      <x:c r="E73" s="241"/>
      <x:c r="F73" s="241"/>
      <x:c r="G73" s="223"/>
    </x:row>
    <x:row r="74" ht="30" customHeight="1">
      <x:c r="A74" s="236" t="str">
        <x:v>May 2026 issue — documented stated maturities</x:v>
      </x:c>
      <x:c r="B74" s="241"/>
      <x:c r="C74" s="241"/>
      <x:c r="D74" s="241"/>
      <x:c r="E74" s="241"/>
      <x:c r="F74" s="241"/>
      <x:c r="G74" s="223"/>
    </x:row>
    <x:row r="75" ht="43" customHeight="1">
      <x:c r="A75" s="238" t="str">
        <x:v>Initial issue principal, not a complete June/October outstanding-debt schedule. Already in June borrowing and H1 proceeds; do not add to either.</x:v>
      </x:c>
      <x:c r="B75" s="241"/>
      <x:c r="C75" s="241"/>
      <x:c r="D75" s="241"/>
      <x:c r="E75" s="241"/>
      <x:c r="F75" s="241"/>
      <x:c r="G75" s="223"/>
    </x:row>
    <x:row r="76" ht="43" customHeight="1">
      <x:c r="A76" s="226" t="str">
        <x:v>Series</x:v>
      </x:c>
      <x:c r="B76" s="242" t="str">
        <x:v>Initial principal, USD millions</x:v>
      </x:c>
      <x:c r="C76" s="242" t="str">
        <x:v>Stated maturity</x:v>
      </x:c>
      <x:c r="D76" s="277" t="str">
        <x:v>Contract rate</x:v>
      </x:c>
      <x:c r="E76" s="241"/>
      <x:c r="F76" s="241"/>
      <x:c r="G76" s="223"/>
    </x:row>
    <x:row r="77" ht="43" customHeight="1">
      <x:c r="A77" s="234" t="str">
        <x:v>Floating 2028</x:v>
      </x:c>
      <x:c r="B77" s="243" t="n">
        <x:f>IF(ISNUMBER('Data'!B95),'Data'!B95,NA())</x:f>
        <x:v>750000000</x:v>
      </x:c>
      <x:c r="C77" s="319" t="n">
        <x:f>'Data'!E95</x:f>
        <x:v>46893</x:v>
      </x:c>
      <x:c r="D77" s="280" t="str">
        <x:f>"Compounded SOFR + "&amp;TEXT('Data'!T95,"0.000%")</x:f>
        <x:v>Compounded SOFR + 0.350%</x:v>
      </x:c>
      <x:c r="E77" s="241"/>
      <x:c r="F77" s="241"/>
      <x:c r="G77" s="223"/>
    </x:row>
    <x:row r="78" ht="43" customHeight="1">
      <x:c r="A78" s="234" t="str">
        <x:v>Floating 2029</x:v>
      </x:c>
      <x:c r="B78" s="243" t="n">
        <x:f>IF(ISNUMBER('Data'!B96),'Data'!B96,NA())</x:f>
        <x:v>500000000</x:v>
      </x:c>
      <x:c r="C78" s="319" t="n">
        <x:f>'Data'!E96</x:f>
        <x:v>47258</x:v>
      </x:c>
      <x:c r="D78" s="280" t="str">
        <x:f>"Compounded SOFR + "&amp;TEXT('Data'!T96,"0.000%")</x:f>
        <x:v>Compounded SOFR + 0.460%</x:v>
      </x:c>
      <x:c r="E78" s="241"/>
      <x:c r="F78" s="241"/>
      <x:c r="G78" s="223"/>
    </x:row>
    <x:row r="79" ht="43" customHeight="1">
      <x:c r="A79" s="234" t="str">
        <x:v>Fixed 2029</x:v>
      </x:c>
      <x:c r="B79" s="243" t="n">
        <x:f>IF(ISNUMBER('Data'!B97),'Data'!B97,NA())</x:f>
        <x:v>750000000</x:v>
      </x:c>
      <x:c r="C79" s="319" t="n">
        <x:f>'Data'!E97</x:f>
        <x:v>47258</x:v>
      </x:c>
      <x:c r="D79" s="320" t="n">
        <x:f>'Data'!S97</x:f>
        <x:v>0.0415</x:v>
      </x:c>
      <x:c r="E79" s="241"/>
      <x:c r="F79" s="241"/>
      <x:c r="G79" s="223"/>
    </x:row>
    <x:row r="80" ht="43" customHeight="1">
      <x:c r="A80" s="234" t="str">
        <x:v>Fixed 2031</x:v>
      </x:c>
      <x:c r="B80" s="243" t="n">
        <x:f>IF(ISNUMBER('Data'!B98),'Data'!B98,NA())</x:f>
        <x:v>1500000000</x:v>
      </x:c>
      <x:c r="C80" s="319" t="n">
        <x:f>'Data'!E98</x:f>
        <x:v>47988</x:v>
      </x:c>
      <x:c r="D80" s="320" t="n">
        <x:f>'Data'!S98</x:f>
        <x:v>0.04375</x:v>
      </x:c>
      <x:c r="E80" s="241"/>
      <x:c r="F80" s="241"/>
      <x:c r="G80" s="223"/>
    </x:row>
    <x:row r="81" ht="43" customHeight="1">
      <x:c r="A81" s="234" t="str">
        <x:v>Fixed 2033</x:v>
      </x:c>
      <x:c r="B81" s="243" t="n">
        <x:f>IF(ISNUMBER('Data'!B99),'Data'!B99,NA())</x:f>
        <x:v>1250000000</x:v>
      </x:c>
      <x:c r="C81" s="319" t="n">
        <x:f>'Data'!E99</x:f>
        <x:v>48719</x:v>
      </x:c>
      <x:c r="D81" s="320" t="n">
        <x:f>'Data'!S99</x:f>
        <x:v>0.0465</x:v>
      </x:c>
      <x:c r="E81" s="241"/>
      <x:c r="F81" s="241"/>
      <x:c r="G81" s="223"/>
    </x:row>
    <x:row r="82" ht="43" customHeight="1">
      <x:c r="A82" s="234" t="str">
        <x:v>Fixed 2036</x:v>
      </x:c>
      <x:c r="B82" s="243" t="n">
        <x:f>IF(ISNUMBER('Data'!B100),'Data'!B100,NA())</x:f>
        <x:v>1500000000</x:v>
      </x:c>
      <x:c r="C82" s="319" t="n">
        <x:f>'Data'!E100</x:f>
        <x:v>49815</x:v>
      </x:c>
      <x:c r="D82" s="320" t="n">
        <x:f>'Data'!S100</x:f>
        <x:v>0.0485</x:v>
      </x:c>
      <x:c r="E82" s="241"/>
      <x:c r="F82" s="241"/>
      <x:c r="G82" s="223"/>
    </x:row>
    <x:row r="83" ht="43" customHeight="1">
      <x:c r="A83" s="234" t="str">
        <x:v>Fixed 2056</x:v>
      </x:c>
      <x:c r="B83" s="243" t="n">
        <x:f>IF(ISNUMBER('Data'!B101),'Data'!B101,NA())</x:f>
        <x:v>1750000000</x:v>
      </x:c>
      <x:c r="C83" s="319" t="n">
        <x:f>'Data'!E101</x:f>
        <x:v>57120</x:v>
      </x:c>
      <x:c r="D83" s="320" t="n">
        <x:f>'Data'!S101</x:f>
        <x:v>0.056</x:v>
      </x:c>
      <x:c r="E83" s="241"/>
      <x:c r="F83" s="241"/>
      <x:c r="G83" s="223"/>
    </x:row>
    <x:row r="84" ht="43" customHeight="1">
      <x:c r="A84" s="234" t="str">
        <x:v>Fixed 2066</x:v>
      </x:c>
      <x:c r="B84" s="243" t="n">
        <x:f>IF(ISNUMBER('Data'!B102),'Data'!B102,NA())</x:f>
        <x:v>1000000000</x:v>
      </x:c>
      <x:c r="C84" s="319" t="n">
        <x:f>'Data'!E102</x:f>
        <x:v>60772</x:v>
      </x:c>
      <x:c r="D84" s="320" t="n">
        <x:f>'Data'!S102</x:f>
        <x:v>0.057</x:v>
      </x:c>
      <x:c r="E84" s="241"/>
      <x:c r="F84" s="241"/>
      <x:c r="G84" s="223"/>
    </x:row>
    <x:row r="85" ht="43" customHeight="1">
      <x:c r="A85" s="256" t="str">
        <x:v>Calculated initial issue total</x:v>
      </x:c>
      <x:c r="B85" s="286" t="n">
        <x:f>SUM(B77:B84)</x:f>
        <x:v>9000000000</x:v>
      </x:c>
      <x:c r="C85" s="259" t="str">
        <x:v>May 20, 2026</x:v>
      </x:c>
      <x:c r="D85" s="306" t="str">
        <x:v>Eight series; not additional June debt.</x:v>
      </x:c>
      <x:c r="E85" s="241"/>
      <x:c r="F85" s="241"/>
      <x:c r="G85" s="223"/>
    </x:row>
    <x:row r="86" ht="43" customHeight="1">
      <x:c r="A86" s="234" t="str">
        <x:v>Reported completed issue total</x:v>
      </x:c>
      <x:c r="B86" s="243" t="n">
        <x:f>IF(ISNUMBER('Data'!B103),'Data'!B103,NA())</x:f>
        <x:v>9000000000</x:v>
      </x:c>
      <x:c r="C86" s="245" t="str">
        <x:v>May 20, 2026</x:v>
      </x:c>
      <x:c r="D86" s="305" t="str">
        <x:v>8-K Item 8.01; face principal differs from net cash proceeds.</x:v>
      </x:c>
      <x:c r="E86" s="241"/>
      <x:c r="F86" s="241"/>
      <x:c r="G86" s="223"/>
    </x:row>
    <x:row r="87" ht="43" customHeight="1">
      <x:c r="A87" s="256" t="str">
        <x:v>Issue reconciliation difference</x:v>
      </x:c>
      <x:c r="B87" s="286" t="n">
        <x:f>B85-B86</x:f>
        <x:v>0</x:v>
      </x:c>
      <x:c r="C87" s="259" t="str">
        <x:v>Zero = reconciled</x:v>
      </x:c>
      <x:c r="D87" s="306" t="str">
        <x:v>No roll-forward to June outstanding principal.</x:v>
      </x:c>
      <x:c r="E87" s="241"/>
      <x:c r="F87" s="241"/>
      <x:c r="G87" s="223"/>
    </x:row>
    <x:row r="88" ht="43" customHeight="1">
      <x:c r="A88" s="234" t="str">
        <x:v>Current outstanding by series</x:v>
      </x:c>
      <x:c r="B88" s="245" t="str">
        <x:v>Unavailable</x:v>
      </x:c>
      <x:c r="C88" s="245" t="str">
        <x:v>June / October 2026</x:v>
      </x:c>
      <x:c r="D88" s="305" t="str">
        <x:v>Initial issue amounts do not establish current balances.</x:v>
      </x:c>
      <x:c r="E88" s="241"/>
      <x:c r="F88" s="241"/>
      <x:c r="G88" s="223"/>
    </x:row>
    <x:row r="89" ht="43" customHeight="1">
      <x:c r="A89" s="235" t="str">
        <x:v>Drawable capacity / future coverage</x:v>
      </x:c>
      <x:c r="B89" s="263" t="str">
        <x:v>Unavailable</x:v>
      </x:c>
      <x:c r="C89" s="263" t="str">
        <x:v>October 15 review</x:v>
      </x:c>
      <x:c r="D89" s="314" t="str">
        <x:v>No new verified facility renewal, drawable credit or complete future funding coverage.</x:v>
      </x:c>
      <x:c r="E89" s="241"/>
      <x:c r="F89" s="241"/>
      <x:c r="G89" s="223"/>
    </x:row>
    <x:row r="90" ht="30" customHeight="1">
      <x:c r="A90" s="222"/>
      <x:c r="B90" s="241"/>
      <x:c r="C90" s="241"/>
      <x:c r="D90" s="241"/>
      <x:c r="E90" s="241"/>
      <x:c r="F90" s="241"/>
      <x:c r="G90" s="223"/>
    </x:row>
    <x:row r="91" ht="70" customHeight="1">
      <x:c r="A91" s="238" t="str">
        <x:v>The May 20 8-K's interest paragraph says 4.650% for the fixed 2029 notes, while its series title, final prospectus and Exhibit 4.3 clauses (i)/(v) agree on 4.150%. This review uses the corroborated contract rate, 4.150%, and retains the conflicting statement here.</x:v>
      </x:c>
      <x:c r="B91" s="241"/>
      <x:c r="C91" s="241"/>
      <x:c r="D91" s="241"/>
      <x:c r="E91" s="241"/>
      <x:c r="F91" s="241"/>
      <x:c r="G91" s="223"/>
    </x:row>
    <x:row r="92" ht="70" customHeight="1">
      <x:c r="A92" s="238" t="str">
        <x:v>The May terms require 101% special redemption of specified series if the Centessa acquisition fails under the stated conditions. The terms cease to apply upon consummation; the June 10-Q Note 4 records acquisition on June 24, 2026. This resolved acquisition-failure condition is not presented as a future 101% cash bill. Optional redemptions and default acceleration remain possible; none is assumed.</x:v>
      </x:c>
      <x:c r="B92" s="241"/>
      <x:c r="C92" s="241"/>
      <x:c r="D92" s="241"/>
      <x:c r="E92" s="241"/>
      <x:c r="F92" s="241"/>
      <x:c r="G92" s="223"/>
    </x:row>
    <x:row r="93" ht="70" customHeight="1">
      <x:c r="A93" s="238" t="str">
        <x:v>SEC submissions contain 1,001 filings, October 15, 2026 back to December 16, 2021; older pages end before the review period. All 2026 form rows were screened, prioritizing periodic reports, amendments, 8-Ks, shelf/prospectus/pricing filings and debt delisting. After June 30, the only 8-K is the saved August 5 earnings report; no later periodic report or amendment, 424B2 or FWP is listed. Ownership filings are not corporate financing capacity.</x:v>
      </x:c>
      <x:c r="B93" s="241"/>
      <x:c r="C93" s="241"/>
      <x:c r="D93" s="241"/>
      <x:c r="E93" s="241"/>
      <x:c r="F93" s="241"/>
      <x:c r="G93" s="223"/>
    </x:row>
    <x:row r="94" ht="70" customHeight="1">
      <x:c r="A94" s="238" t="str">
        <x:v>The retrieved September 2025 10-Q describes the August 2025 renewal to $6B and extension of the $4B facility to December 2029. This is historical, not an August 2026 renewal. The annual and March/June reports and reviewed exhibit lists establish no current credit agreement or post-August 2026 renewal. No relevant bank agreement was identified in the reviewed SEC filing and exhibit references. Draw conditions, current usage, covenant headroom and actual drawable capacity remain Unavailable.</x:v>
      </x:c>
      <x:c r="B94" s="241"/>
      <x:c r="C94" s="241"/>
      <x:c r="D94" s="241"/>
      <x:c r="E94" s="241"/>
      <x:c r="F94" s="241"/>
      <x:c r="G94" s="223"/>
    </x:row>
    <x:row r="95" ht="70" customHeight="1">
      <x:c r="A95" s="238" t="str">
        <x:v>Dates are stated contractual maturities, not calendar-adjusted payment forecasts. Indenture §1.11 and note-specific business-day provisions apply. Future interest amounts, floating-rate resets, actual early redemptions and cash available at maturity are not modeled.</x:v>
      </x:c>
      <x:c r="B95" s="241"/>
      <x:c r="C95" s="241"/>
      <x:c r="D95" s="241"/>
      <x:c r="E95" s="241"/>
      <x:c r="F95" s="241"/>
      <x:c r="G95" s="223"/>
    </x:row>
    <x:row r="96" ht="70" customHeight="1">
      <x:c r="A96" s="238" t="str">
        <x:v>The June 2 Form 25 removes the 1.625% notes due 2026 from listing. It does not establish an instrument-level cash repayment amount and is not used to allocate H1 repayments.</x:v>
      </x:c>
      <x:c r="B96" s="241"/>
      <x:c r="C96" s="241"/>
      <x:c r="D96" s="241"/>
      <x:c r="E96" s="241"/>
      <x:c r="F96" s="241"/>
      <x:c r="G96" s="223"/>
    </x:row>
  </x:sheetData>
  <x:mergeCells>
    <x:mergeCell ref="A4:D4"/>
    <x:mergeCell ref="A75:D75"/>
    <x:mergeCell ref="A91:D91"/>
    <x:mergeCell ref="A92:D92"/>
    <x:mergeCell ref="A93:D93"/>
    <x:mergeCell ref="A94:D94"/>
    <x:mergeCell ref="A95:D95"/>
    <x:mergeCell ref="A96:D96"/>
  </x:mergeCells>
  <x:pageMargins left="0.7" right="0.7" top="0.75" bottom="0.75" header="0.3" footer="0.3"/>
  <x:drawing ns1:id="Rf804cb9b07954525"/>
</x:worksheet>
</file>

<file path=xl/worksheets/sheet7.xml><?xml version="1.0" encoding="utf-8"?>
<x:worksheet xmlns:r="http://schemas.openxmlformats.org/officeDocument/2006/relationships" xmlns:x="http://schemas.openxmlformats.org/spreadsheetml/2006/main">
  <x:sheetViews>
    <x:sheetView showGridLines="0" workbookViewId="0">
      <x:pane ySplit="1" topLeftCell="A2" activePane="bottomLeft" state="frozen"/>
    </x:sheetView>
  </x:sheetViews>
  <x:sheetFormatPr defaultRowHeight="15"/>
  <x:cols>
    <x:col min="1" max="1" width="45" hidden="0" customWidth="1"/>
    <x:col min="2" max="2" width="22" hidden="0" customWidth="1"/>
    <x:col min="3" max="3" width="20" hidden="0" customWidth="1"/>
    <x:col min="4" max="4" width="20" hidden="0" customWidth="1"/>
    <x:col min="5" max="5" width="14" hidden="0" customWidth="1"/>
    <x:col min="6" max="6" width="20" hidden="0" customWidth="1"/>
    <x:col min="7" max="7" width="33" hidden="0" customWidth="1"/>
    <x:col min="8" max="8" width="68" hidden="0" customWidth="1"/>
    <x:col min="9" max="9" width="68" hidden="0" customWidth="1"/>
    <x:col min="10" max="10" width="12" hidden="0" customWidth="1"/>
    <x:col min="11" max="11" width="12" hidden="0" customWidth="1"/>
    <x:col min="12" max="12" width="75" hidden="0" customWidth="1"/>
    <x:col min="13" max="13" width="75" hidden="0" customWidth="1"/>
    <x:col min="14" max="14" width="60" hidden="0" customWidth="1"/>
    <x:col min="15" max="15" width="90" hidden="0" customWidth="1"/>
    <x:col min="16" max="16" width="85" hidden="0" customWidth="1"/>
    <x:col min="17" max="17" width="100" hidden="0" customWidth="1"/>
    <x:col min="18" max="18" width="72" hidden="0" customWidth="1"/>
    <x:col min="19" max="19" width="23" hidden="0" customWidth="1"/>
    <x:col min="20" max="20" width="23" hidden="0" customWidth="1"/>
  </x:cols>
  <x:sheetData>
    <x:row r="1" ht="32" customHeight="1">
      <x:c r="A1" s="226" t="str">
        <x:v>Input</x:v>
      </x:c>
      <x:c r="B1" s="242" t="str">
        <x:v>USD millions</x:v>
      </x:c>
      <x:c r="C1" s="242" t="str">
        <x:v>Period start</x:v>
      </x:c>
      <x:c r="D1" s="242" t="str">
        <x:v>Period end</x:v>
      </x:c>
      <x:c r="E1" s="242" t="str">
        <x:v>Form</x:v>
      </x:c>
      <x:c r="F1" s="242" t="str">
        <x:v>Filed</x:v>
      </x:c>
      <x:c r="G1" s="242" t="str">
        <x:v>Accession</x:v>
      </x:c>
      <x:c r="H1" s="242" t="str">
        <x:v>Tag</x:v>
      </x:c>
      <x:c r="I1" s="242" t="str">
        <x:v>Context</x:v>
      </x:c>
      <x:c r="J1" s="242" t="str">
        <x:v>Scale</x:v>
      </x:c>
      <x:c r="K1" s="242" t="str">
        <x:v>Decimals</x:v>
      </x:c>
      <x:c r="L1" s="242" t="str">
        <x:v>Source</x:v>
      </x:c>
      <x:c r="M1" s="242" t="str">
        <x:v>Selection rule</x:v>
      </x:c>
      <x:c r="N1" s="242" t="str">
        <x:v>Unavailable reason</x:v>
      </x:c>
      <x:c r="O1" s="277" t="str">
        <x:v>Notes</x:v>
      </x:c>
      <x:c r="P1" s="241"/>
      <x:c r="Q1" s="241"/>
      <x:c r="R1" s="241"/>
      <x:c r="S1" s="241"/>
      <x:c r="T1" s="223"/>
    </x:row>
    <x:row r="2" ht="65" customHeight="1">
      <x:c r="A2" s="234" t="str">
        <x:v>Cash and cash equivalents</x:v>
      </x:c>
      <x:c r="B2" s="321" t="n">
        <x:v>8950000000</x:v>
      </x:c>
      <x:c r="C2" s="322"/>
      <x:c r="D2" s="244" t="d">
        <x:v>2026-06-30T00:00:00.000Z</x:v>
      </x:c>
      <x:c r="E2" s="245" t="str">
        <x:v>10-Q</x:v>
      </x:c>
      <x:c r="F2" s="244" t="d">
        <x:v>2026-08-05T00:00:00.000Z</x:v>
      </x:c>
      <x:c r="G2" s="245" t="str">
        <x:v>0000059478-26-000081</x:v>
      </x:c>
      <x:c r="H2" s="245" t="str">
        <x:v>us-gaap:CashAndCashEquivalentsAtCarryingValue</x:v>
      </x:c>
      <x:c r="I2" s="312"/>
      <x:c r="J2" s="312"/>
      <x:c r="K2" s="312"/>
      <x:c r="L2" s="245" t="str">
        <x:v>https://www.sec.gov/Archives/edgar/data/59478/000005947826000081/lly-20260630.htm</x:v>
      </x:c>
      <x:c r="M2" s="245" t="str">
        <x:v>USD instant at the balance-sheet date, from the latest original 10-K or 10-Q itself</x:v>
      </x:c>
      <x:c r="N2" s="312" t="str"/>
      <x:c r="O2" s="313" t="str"/>
      <x:c r="P2" s="241"/>
      <x:c r="Q2" s="241"/>
      <x:c r="R2" s="241"/>
      <x:c r="S2" s="241"/>
      <x:c r="T2" s="223"/>
    </x:row>
    <x:row r="3" ht="65" customHeight="1">
      <x:c r="A3" s="234" t="str">
        <x:v>Short-term borrowings and current maturities of long-term debt</x:v>
      </x:c>
      <x:c r="B3" s="321" t="n">
        <x:v>7050000000</x:v>
      </x:c>
      <x:c r="C3" s="322"/>
      <x:c r="D3" s="244" t="d">
        <x:v>2026-06-30T00:00:00.000Z</x:v>
      </x:c>
      <x:c r="E3" s="245" t="str">
        <x:v>10-Q</x:v>
      </x:c>
      <x:c r="F3" s="244" t="d">
        <x:v>2026-08-05T00:00:00.000Z</x:v>
      </x:c>
      <x:c r="G3" s="245" t="str">
        <x:v>0000059478-26-000081</x:v>
      </x:c>
      <x:c r="H3" s="245" t="str">
        <x:v>us-gaap:DebtCurrent</x:v>
      </x:c>
      <x:c r="I3" s="312"/>
      <x:c r="J3" s="312"/>
      <x:c r="K3" s="312"/>
      <x:c r="L3" s="245" t="str">
        <x:v>https://www.sec.gov/Archives/edgar/data/59478/000005947826000081/lly-20260630.htm</x:v>
      </x:c>
      <x:c r="M3" s="245" t="str">
        <x:v>USD instant at the balance-sheet date, from the latest original 10-K or 10-Q itself</x:v>
      </x:c>
      <x:c r="N3" s="312" t="str"/>
      <x:c r="O3" s="313" t="str"/>
      <x:c r="P3" s="241"/>
      <x:c r="Q3" s="241"/>
      <x:c r="R3" s="241"/>
      <x:c r="S3" s="241"/>
      <x:c r="T3" s="223"/>
    </x:row>
    <x:row r="4" ht="65" customHeight="1">
      <x:c r="A4" s="234" t="str">
        <x:v>Long-term debt</x:v>
      </x:c>
      <x:c r="B4" s="321" t="n">
        <x:v>47858000000</x:v>
      </x:c>
      <x:c r="C4" s="322"/>
      <x:c r="D4" s="244" t="d">
        <x:v>2026-06-30T00:00:00.000Z</x:v>
      </x:c>
      <x:c r="E4" s="245" t="str">
        <x:v>10-Q</x:v>
      </x:c>
      <x:c r="F4" s="244" t="d">
        <x:v>2026-08-05T00:00:00.000Z</x:v>
      </x:c>
      <x:c r="G4" s="245" t="str">
        <x:v>0000059478-26-000081</x:v>
      </x:c>
      <x:c r="H4" s="245" t="str">
        <x:v>us-gaap:LongTermDebtNoncurrent</x:v>
      </x:c>
      <x:c r="I4" s="312"/>
      <x:c r="J4" s="312"/>
      <x:c r="K4" s="312"/>
      <x:c r="L4" s="245" t="str">
        <x:v>https://www.sec.gov/Archives/edgar/data/59478/000005947826000081/lly-20260630.htm</x:v>
      </x:c>
      <x:c r="M4" s="245" t="str">
        <x:v>USD instant at the balance-sheet date, from the latest original 10-K or 10-Q itself</x:v>
      </x:c>
      <x:c r="N4" s="312" t="str"/>
      <x:c r="O4" s="313" t="str"/>
      <x:c r="P4" s="241"/>
      <x:c r="Q4" s="241"/>
      <x:c r="R4" s="241"/>
      <x:c r="S4" s="241"/>
      <x:c r="T4" s="223"/>
    </x:row>
    <x:row r="5" ht="65" customHeight="1">
      <x:c r="A5" s="234" t="str">
        <x:v>Current liabilities</x:v>
      </x:c>
      <x:c r="B5" s="321" t="n">
        <x:v>47741000000</x:v>
      </x:c>
      <x:c r="C5" s="322"/>
      <x:c r="D5" s="244" t="d">
        <x:v>2026-06-30T00:00:00.000Z</x:v>
      </x:c>
      <x:c r="E5" s="245" t="str">
        <x:v>10-Q</x:v>
      </x:c>
      <x:c r="F5" s="244" t="d">
        <x:v>2026-08-05T00:00:00.000Z</x:v>
      </x:c>
      <x:c r="G5" s="245" t="str">
        <x:v>0000059478-26-000081</x:v>
      </x:c>
      <x:c r="H5" s="245" t="str">
        <x:v>us-gaap:LiabilitiesCurrent</x:v>
      </x:c>
      <x:c r="I5" s="312"/>
      <x:c r="J5" s="312"/>
      <x:c r="K5" s="312"/>
      <x:c r="L5" s="245" t="str">
        <x:v>https://www.sec.gov/Archives/edgar/data/59478/000005947826000081/lly-20260630.htm</x:v>
      </x:c>
      <x:c r="M5" s="245" t="str">
        <x:v>USD instant at the balance-sheet date, from the latest original 10-K or 10-Q itself</x:v>
      </x:c>
      <x:c r="N5" s="312" t="str"/>
      <x:c r="O5" s="313" t="str"/>
      <x:c r="P5" s="241"/>
      <x:c r="Q5" s="241"/>
      <x:c r="R5" s="241"/>
      <x:c r="S5" s="241"/>
      <x:c r="T5" s="223"/>
    </x:row>
    <x:row r="6" ht="65" customHeight="1">
      <x:c r="A6" s="234" t="str">
        <x:v>Current assets</x:v>
      </x:c>
      <x:c r="B6" s="321" t="n">
        <x:v>64672000000</x:v>
      </x:c>
      <x:c r="C6" s="322"/>
      <x:c r="D6" s="244" t="d">
        <x:v>2026-06-30T00:00:00.000Z</x:v>
      </x:c>
      <x:c r="E6" s="245" t="str">
        <x:v>10-Q</x:v>
      </x:c>
      <x:c r="F6" s="244" t="d">
        <x:v>2026-08-05T00:00:00.000Z</x:v>
      </x:c>
      <x:c r="G6" s="245" t="str">
        <x:v>0000059478-26-000081</x:v>
      </x:c>
      <x:c r="H6" s="245" t="str">
        <x:v>us-gaap:AssetsCurrent</x:v>
      </x:c>
      <x:c r="I6" s="312"/>
      <x:c r="J6" s="312"/>
      <x:c r="K6" s="312"/>
      <x:c r="L6" s="245" t="str">
        <x:v>https://www.sec.gov/Archives/edgar/data/59478/000005947826000081/lly-20260630.htm</x:v>
      </x:c>
      <x:c r="M6" s="245" t="str">
        <x:v>USD instant at the balance-sheet date, from the latest original 10-K or 10-Q itself</x:v>
      </x:c>
      <x:c r="N6" s="312" t="str"/>
      <x:c r="O6" s="313" t="str"/>
      <x:c r="P6" s="241"/>
      <x:c r="Q6" s="241"/>
      <x:c r="R6" s="241"/>
      <x:c r="S6" s="241"/>
      <x:c r="T6" s="223"/>
    </x:row>
    <x:row r="7" ht="65" customHeight="1">
      <x:c r="A7" s="234" t="str">
        <x:v>Operating cash flow · fiscal year</x:v>
      </x:c>
      <x:c r="B7" s="321" t="n">
        <x:v>16813000000</x:v>
      </x:c>
      <x:c r="C7" s="244" t="d">
        <x:v>2025-01-01T00:00:00.000Z</x:v>
      </x:c>
      <x:c r="D7" s="244" t="d">
        <x:v>2025-12-31T00:00:00.000Z</x:v>
      </x:c>
      <x:c r="E7" s="245" t="str">
        <x:v>10-K</x:v>
      </x:c>
      <x:c r="F7" s="244" t="d">
        <x:v>2026-02-12T00:00:00.000Z</x:v>
      </x:c>
      <x:c r="G7" s="245" t="str">
        <x:v>0000059478-26-000013</x:v>
      </x:c>
      <x:c r="H7" s="245" t="str">
        <x:v>us-gaap:NetCashProvidedByUsedInOperatingActivities</x:v>
      </x:c>
      <x:c r="I7" s="245" t="str">
        <x:v>c-1</x:v>
      </x:c>
      <x:c r="J7" s="323" t="n">
        <x:v>6</x:v>
      </x:c>
      <x:c r="K7" s="245" t="str">
        <x:v>-6</x:v>
      </x:c>
      <x:c r="L7" s="245" t="str">
        <x:v>https://www.sec.gov/Archives/edgar/data/59478/000005947826000013/lly-20251231.htm</x:v>
      </x:c>
      <x:c r="M7" s="245" t="str">
        <x:v>Exact tag, USD duration, exact start and end dates, no dimensions</x:v>
      </x:c>
      <x:c r="N7" s="312" t="str"/>
      <x:c r="O7" s="313" t="str"/>
      <x:c r="P7" s="241"/>
      <x:c r="Q7" s="241"/>
      <x:c r="R7" s="241"/>
      <x:c r="S7" s="241"/>
      <x:c r="T7" s="223"/>
    </x:row>
    <x:row r="8" ht="65" customHeight="1">
      <x:c r="A8" s="234" t="str">
        <x:v>Operating cash flow · current year to date</x:v>
      </x:c>
      <x:c r="B8" s="321" t="n">
        <x:v>16023000000</x:v>
      </x:c>
      <x:c r="C8" s="244" t="d">
        <x:v>2026-01-01T00:00:00.000Z</x:v>
      </x:c>
      <x:c r="D8" s="244" t="d">
        <x:v>2026-06-30T00:00:00.000Z</x:v>
      </x:c>
      <x:c r="E8" s="245" t="str">
        <x:v>10-Q</x:v>
      </x:c>
      <x:c r="F8" s="244" t="d">
        <x:v>2026-08-05T00:00:00.000Z</x:v>
      </x:c>
      <x:c r="G8" s="245" t="str">
        <x:v>0000059478-26-000081</x:v>
      </x:c>
      <x:c r="H8" s="245" t="str">
        <x:v>us-gaap:NetCashProvidedByUsedInOperatingActivities</x:v>
      </x:c>
      <x:c r="I8" s="245" t="str">
        <x:v>c-1</x:v>
      </x:c>
      <x:c r="J8" s="323" t="n">
        <x:v>6</x:v>
      </x:c>
      <x:c r="K8" s="245" t="str">
        <x:v>-6</x:v>
      </x:c>
      <x:c r="L8" s="245" t="str">
        <x:v>https://www.sec.gov/Archives/edgar/data/59478/000005947826000081/lly-20260630.htm</x:v>
      </x:c>
      <x:c r="M8" s="245" t="str">
        <x:v>Exact tag, USD duration, exact start and end dates, no dimensions</x:v>
      </x:c>
      <x:c r="N8" s="312" t="str"/>
      <x:c r="O8" s="313" t="str"/>
      <x:c r="P8" s="241"/>
      <x:c r="Q8" s="241"/>
      <x:c r="R8" s="241"/>
      <x:c r="S8" s="241"/>
      <x:c r="T8" s="223"/>
    </x:row>
    <x:row r="9" ht="65" customHeight="1">
      <x:c r="A9" s="234" t="str">
        <x:v>Operating cash flow · prior year to date</x:v>
      </x:c>
      <x:c r="B9" s="321" t="n">
        <x:v>4753000000</x:v>
      </x:c>
      <x:c r="C9" s="244" t="d">
        <x:v>2025-01-01T00:00:00.000Z</x:v>
      </x:c>
      <x:c r="D9" s="244" t="d">
        <x:v>2025-06-30T00:00:00.000Z</x:v>
      </x:c>
      <x:c r="E9" s="245" t="str">
        <x:v>10-Q</x:v>
      </x:c>
      <x:c r="F9" s="244" t="d">
        <x:v>2026-08-05T00:00:00.000Z</x:v>
      </x:c>
      <x:c r="G9" s="245" t="str">
        <x:v>0000059478-26-000081</x:v>
      </x:c>
      <x:c r="H9" s="245" t="str">
        <x:v>us-gaap:NetCashProvidedByUsedInOperatingActivities</x:v>
      </x:c>
      <x:c r="I9" s="245" t="str">
        <x:v>c-14</x:v>
      </x:c>
      <x:c r="J9" s="323" t="n">
        <x:v>6</x:v>
      </x:c>
      <x:c r="K9" s="245" t="str">
        <x:v>-6</x:v>
      </x:c>
      <x:c r="L9" s="245" t="str">
        <x:v>https://www.sec.gov/Archives/edgar/data/59478/000005947826000081/lly-20260630.htm</x:v>
      </x:c>
      <x:c r="M9" s="245" t="str">
        <x:v>Exact tag, USD duration, exact start and end dates, no dimensions</x:v>
      </x:c>
      <x:c r="N9" s="312" t="str"/>
      <x:c r="O9" s="313" t="str"/>
      <x:c r="P9" s="241"/>
      <x:c r="Q9" s="241"/>
      <x:c r="R9" s="241"/>
      <x:c r="S9" s="241"/>
      <x:c r="T9" s="223"/>
    </x:row>
    <x:row r="10" ht="65" customHeight="1">
      <x:c r="A10" s="234" t="str">
        <x:v>Purchases of property and equipment · fiscal year</x:v>
      </x:c>
      <x:c r="B10" s="321" t="n">
        <x:v>7841000000</x:v>
      </x:c>
      <x:c r="C10" s="244" t="d">
        <x:v>2025-01-01T00:00:00.000Z</x:v>
      </x:c>
      <x:c r="D10" s="244" t="d">
        <x:v>2025-12-31T00:00:00.000Z</x:v>
      </x:c>
      <x:c r="E10" s="245" t="str">
        <x:v>10-K</x:v>
      </x:c>
      <x:c r="F10" s="244" t="d">
        <x:v>2026-02-12T00:00:00.000Z</x:v>
      </x:c>
      <x:c r="G10" s="245" t="str">
        <x:v>0000059478-26-000013</x:v>
      </x:c>
      <x:c r="H10" s="245" t="str">
        <x:v>us-gaap:PaymentsToAcquireOtherPropertyPlantAndEquipment</x:v>
      </x:c>
      <x:c r="I10" s="245" t="str">
        <x:v>c-1</x:v>
      </x:c>
      <x:c r="J10" s="323" t="n">
        <x:v>6</x:v>
      </x:c>
      <x:c r="K10" s="245" t="str">
        <x:v>-6</x:v>
      </x:c>
      <x:c r="L10" s="245" t="str">
        <x:v>https://www.sec.gov/Archives/edgar/data/59478/000005947826000013/lly-20251231.htm</x:v>
      </x:c>
      <x:c r="M10" s="245" t="str">
        <x:v>Exact tag, USD duration, exact start and end dates, no dimensions</x:v>
      </x:c>
      <x:c r="N10" s="312" t="str"/>
      <x:c r="O10" s="313" t="str"/>
      <x:c r="P10" s="241"/>
      <x:c r="Q10" s="241"/>
      <x:c r="R10" s="241"/>
      <x:c r="S10" s="241"/>
      <x:c r="T10" s="223"/>
    </x:row>
    <x:row r="11" ht="65" customHeight="1">
      <x:c r="A11" s="234" t="str">
        <x:v>Purchases of property and equipment · current year to date</x:v>
      </x:c>
      <x:c r="B11" s="321" t="n">
        <x:v>5259000000</x:v>
      </x:c>
      <x:c r="C11" s="244" t="d">
        <x:v>2026-01-01T00:00:00.000Z</x:v>
      </x:c>
      <x:c r="D11" s="244" t="d">
        <x:v>2026-06-30T00:00:00.000Z</x:v>
      </x:c>
      <x:c r="E11" s="245" t="str">
        <x:v>10-Q</x:v>
      </x:c>
      <x:c r="F11" s="244" t="d">
        <x:v>2026-08-05T00:00:00.000Z</x:v>
      </x:c>
      <x:c r="G11" s="245" t="str">
        <x:v>0000059478-26-000081</x:v>
      </x:c>
      <x:c r="H11" s="245" t="str">
        <x:v>us-gaap:PaymentsToAcquireOtherPropertyPlantAndEquipment</x:v>
      </x:c>
      <x:c r="I11" s="245" t="str">
        <x:v>c-1</x:v>
      </x:c>
      <x:c r="J11" s="323" t="n">
        <x:v>6</x:v>
      </x:c>
      <x:c r="K11" s="245" t="str">
        <x:v>-6</x:v>
      </x:c>
      <x:c r="L11" s="245" t="str">
        <x:v>https://www.sec.gov/Archives/edgar/data/59478/000005947826000081/lly-20260630.htm</x:v>
      </x:c>
      <x:c r="M11" s="245" t="str">
        <x:v>Exact tag, USD duration, exact start and end dates, no dimensions</x:v>
      </x:c>
      <x:c r="N11" s="312" t="str"/>
      <x:c r="O11" s="313" t="str"/>
      <x:c r="P11" s="241"/>
      <x:c r="Q11" s="241"/>
      <x:c r="R11" s="241"/>
      <x:c r="S11" s="241"/>
      <x:c r="T11" s="223"/>
    </x:row>
    <x:row r="12" ht="65" customHeight="1">
      <x:c r="A12" s="235" t="str">
        <x:v>Purchases of property and equipment · prior year to date</x:v>
      </x:c>
      <x:c r="B12" s="324" t="n">
        <x:v>3207000000</x:v>
      </x:c>
      <x:c r="C12" s="262" t="d">
        <x:v>2025-01-01T00:00:00.000Z</x:v>
      </x:c>
      <x:c r="D12" s="262" t="d">
        <x:v>2025-06-30T00:00:00.000Z</x:v>
      </x:c>
      <x:c r="E12" s="263" t="str">
        <x:v>10-Q</x:v>
      </x:c>
      <x:c r="F12" s="262" t="d">
        <x:v>2026-08-05T00:00:00.000Z</x:v>
      </x:c>
      <x:c r="G12" s="263" t="str">
        <x:v>0000059478-26-000081</x:v>
      </x:c>
      <x:c r="H12" s="263" t="str">
        <x:v>us-gaap:PaymentsToAcquireOtherPropertyPlantAndEquipment</x:v>
      </x:c>
      <x:c r="I12" s="263" t="str">
        <x:v>c-14</x:v>
      </x:c>
      <x:c r="J12" s="325" t="n">
        <x:v>6</x:v>
      </x:c>
      <x:c r="K12" s="263" t="str">
        <x:v>-6</x:v>
      </x:c>
      <x:c r="L12" s="263" t="str">
        <x:v>https://www.sec.gov/Archives/edgar/data/59478/000005947826000081/lly-20260630.htm</x:v>
      </x:c>
      <x:c r="M12" s="263" t="str">
        <x:v>Exact tag, USD duration, exact start and end dates, no dimensions</x:v>
      </x:c>
      <x:c r="N12" s="318" t="str"/>
      <x:c r="O12" s="326" t="str"/>
      <x:c r="P12" s="241"/>
      <x:c r="Q12" s="241"/>
      <x:c r="R12" s="241"/>
      <x:c r="S12" s="241"/>
      <x:c r="T12" s="223"/>
    </x:row>
    <x:row r="13" ht="65" customHeight="1">
      <x:c r="A13" s="222"/>
      <x:c r="B13" s="241"/>
      <x:c r="C13" s="241"/>
      <x:c r="D13" s="241"/>
      <x:c r="E13" s="241"/>
      <x:c r="F13" s="241"/>
      <x:c r="G13" s="241"/>
      <x:c r="H13" s="241"/>
      <x:c r="I13" s="241"/>
      <x:c r="J13" s="241"/>
      <x:c r="K13" s="241"/>
      <x:c r="L13" s="241"/>
      <x:c r="M13" s="241"/>
      <x:c r="N13" s="241"/>
      <x:c r="O13" s="241"/>
      <x:c r="P13" s="241"/>
      <x:c r="Q13" s="241"/>
      <x:c r="R13" s="241"/>
      <x:c r="S13" s="241"/>
      <x:c r="T13" s="223"/>
    </x:row>
    <x:row r="14" ht="65" customHeight="1">
      <x:c r="A14" s="222"/>
      <x:c r="B14" s="241"/>
      <x:c r="C14" s="241"/>
      <x:c r="D14" s="241"/>
      <x:c r="E14" s="241"/>
      <x:c r="F14" s="241"/>
      <x:c r="G14" s="241"/>
      <x:c r="H14" s="241"/>
      <x:c r="I14" s="241"/>
      <x:c r="J14" s="241"/>
      <x:c r="K14" s="241"/>
      <x:c r="L14" s="241"/>
      <x:c r="M14" s="241"/>
      <x:c r="N14" s="241"/>
      <x:c r="O14" s="241"/>
      <x:c r="P14" s="241"/>
      <x:c r="Q14" s="241"/>
      <x:c r="R14" s="241"/>
      <x:c r="S14" s="241"/>
      <x:c r="T14" s="223"/>
    </x:row>
    <x:row r="15" ht="80" customHeight="1">
      <x:c r="A15" s="226" t="str">
        <x:v>Disclosure</x:v>
      </x:c>
      <x:c r="B15" s="242" t="str">
        <x:v>Amount as disclosed</x:v>
      </x:c>
      <x:c r="C15" s="242" t="str">
        <x:v>As of</x:v>
      </x:c>
      <x:c r="D15" s="242" t="str">
        <x:v>Form</x:v>
      </x:c>
      <x:c r="E15" s="242" t="str">
        <x:v>Filed</x:v>
      </x:c>
      <x:c r="F15" s="242" t="str">
        <x:v>Accession</x:v>
      </x:c>
      <x:c r="G15" s="242" t="str">
        <x:v>Source</x:v>
      </x:c>
      <x:c r="H15" s="242" t="str">
        <x:v>Filing location</x:v>
      </x:c>
      <x:c r="I15" s="277" t="str">
        <x:v>Conditions</x:v>
      </x:c>
      <x:c r="J15" s="241"/>
      <x:c r="K15" s="241"/>
      <x:c r="L15" s="241"/>
      <x:c r="M15" s="241"/>
      <x:c r="N15" s="241"/>
      <x:c r="O15" s="241"/>
      <x:c r="P15" s="241"/>
      <x:c r="Q15" s="241"/>
      <x:c r="R15" s="241"/>
      <x:c r="S15" s="241"/>
      <x:c r="T15" s="223"/>
    </x:row>
    <x:row r="16" ht="80" customHeight="1">
      <x:c r="A16" s="234" t="str">
        <x:v>Pending AtaiBeckley acquisition</x:v>
      </x:c>
      <x:c r="B16" s="245" t="str">
        <x:v>Approximately $2.8B</x:v>
      </x:c>
      <x:c r="C16" s="244" t="d">
        <x:v>2026-08-05T00:00:00.000Z</x:v>
      </x:c>
      <x:c r="D16" s="245" t="str">
        <x:v>10-Q</x:v>
      </x:c>
      <x:c r="E16" s="244" t="d">
        <x:v>2026-08-05T00:00:00.000Z</x:v>
      </x:c>
      <x:c r="F16" s="245" t="str">
        <x:v>0000059478-26-000081</x:v>
      </x:c>
      <x:c r="G16" s="245" t="str">
        <x:v>https://www.sec.gov/Archives/edgar/data/59478/000005947826000081/lly-20260630.htm</x:v>
      </x:c>
      <x:c r="H16" s="245" t="str">
        <x:v>10-Q MD&amp;A, p. 31</x:v>
      </x:c>
      <x:c r="I16" s="305" t="str">
        <x:v>Potential payment at closing, subject to closing conditions. Not recognized as borrowing.</x:v>
      </x:c>
      <x:c r="J16" s="241"/>
      <x:c r="K16" s="241"/>
      <x:c r="L16" s="241"/>
      <x:c r="M16" s="241"/>
      <x:c r="N16" s="241"/>
      <x:c r="O16" s="241"/>
      <x:c r="P16" s="241"/>
      <x:c r="Q16" s="241"/>
      <x:c r="R16" s="241"/>
      <x:c r="S16" s="241"/>
      <x:c r="T16" s="223"/>
    </x:row>
    <x:row r="17" ht="80" customHeight="1">
      <x:c r="A17" s="235" t="str">
        <x:v>Venture fund commitments</x:v>
      </x:c>
      <x:c r="B17" s="263" t="str">
        <x:v>Approximately $806M</x:v>
      </x:c>
      <x:c r="C17" s="262" t="d">
        <x:v>2026-06-30T00:00:00.000Z</x:v>
      </x:c>
      <x:c r="D17" s="263" t="str">
        <x:v>10-Q</x:v>
      </x:c>
      <x:c r="E17" s="262" t="d">
        <x:v>2026-08-05T00:00:00.000Z</x:v>
      </x:c>
      <x:c r="F17" s="263" t="str">
        <x:v>0000059478-26-000081</x:v>
      </x:c>
      <x:c r="G17" s="263" t="str">
        <x:v>https://www.sec.gov/Archives/edgar/data/59478/000005947826000081/lly-20260630.htm</x:v>
      </x:c>
      <x:c r="H17" s="263" t="str">
        <x:v>10-Q MD&amp;A, p. 31; Note 8</x:v>
      </x:c>
      <x:c r="I17" s="314" t="str">
        <x:v>Expected to be paid over up to ten years. Not recognized as borrowing.</x:v>
      </x:c>
      <x:c r="J17" s="241"/>
      <x:c r="K17" s="241"/>
      <x:c r="L17" s="241"/>
      <x:c r="M17" s="241"/>
      <x:c r="N17" s="241"/>
      <x:c r="O17" s="241"/>
      <x:c r="P17" s="241"/>
      <x:c r="Q17" s="241"/>
      <x:c r="R17" s="241"/>
      <x:c r="S17" s="241"/>
      <x:c r="T17" s="223"/>
    </x:row>
    <x:row r="18" ht="65" customHeight="1">
      <x:c r="A18" s="222"/>
      <x:c r="B18" s="241"/>
      <x:c r="C18" s="241"/>
      <x:c r="D18" s="241"/>
      <x:c r="E18" s="241"/>
      <x:c r="F18" s="241"/>
      <x:c r="G18" s="241"/>
      <x:c r="H18" s="241"/>
      <x:c r="I18" s="241"/>
      <x:c r="J18" s="241"/>
      <x:c r="K18" s="241"/>
      <x:c r="L18" s="241"/>
      <x:c r="M18" s="241"/>
      <x:c r="N18" s="241"/>
      <x:c r="O18" s="241"/>
      <x:c r="P18" s="241"/>
      <x:c r="Q18" s="241"/>
      <x:c r="R18" s="241"/>
      <x:c r="S18" s="241"/>
      <x:c r="T18" s="223"/>
    </x:row>
    <x:row r="19" ht="65" customHeight="1">
      <x:c r="A19" s="222"/>
      <x:c r="B19" s="241"/>
      <x:c r="C19" s="241"/>
      <x:c r="D19" s="241"/>
      <x:c r="E19" s="241"/>
      <x:c r="F19" s="241"/>
      <x:c r="G19" s="241"/>
      <x:c r="H19" s="241"/>
      <x:c r="I19" s="241"/>
      <x:c r="J19" s="241"/>
      <x:c r="K19" s="241"/>
      <x:c r="L19" s="241"/>
      <x:c r="M19" s="241"/>
      <x:c r="N19" s="241"/>
      <x:c r="O19" s="241"/>
      <x:c r="P19" s="241"/>
      <x:c r="Q19" s="241"/>
      <x:c r="R19" s="241"/>
      <x:c r="S19" s="241"/>
      <x:c r="T19" s="223"/>
    </x:row>
    <x:row r="20" ht="85" customHeight="1">
      <x:c r="A20" s="226" t="str">
        <x:v>Review input key</x:v>
      </x:c>
      <x:c r="B20" s="242" t="str">
        <x:v>USD millions</x:v>
      </x:c>
      <x:c r="C20" s="242" t="str">
        <x:v>Label</x:v>
      </x:c>
      <x:c r="D20" s="242" t="str">
        <x:v>Period start</x:v>
      </x:c>
      <x:c r="E20" s="242" t="str">
        <x:v>Date / disclosure basis</x:v>
      </x:c>
      <x:c r="F20" s="242" t="str">
        <x:v>Form</x:v>
      </x:c>
      <x:c r="G20" s="242" t="str">
        <x:v>Filed</x:v>
      </x:c>
      <x:c r="H20" s="242" t="str">
        <x:v>Accession</x:v>
      </x:c>
      <x:c r="I20" s="242" t="str">
        <x:v>Tag</x:v>
      </x:c>
      <x:c r="J20" s="242" t="str">
        <x:v>Context</x:v>
      </x:c>
      <x:c r="K20" s="242" t="str">
        <x:v>Scale</x:v>
      </x:c>
      <x:c r="L20" s="242" t="str">
        <x:v>Decimals</x:v>
      </x:c>
      <x:c r="M20" s="242" t="str">
        <x:v>Source</x:v>
      </x:c>
      <x:c r="N20" s="242" t="str">
        <x:v>Filing location</x:v>
      </x:c>
      <x:c r="O20" s="242" t="str">
        <x:v>Source kind</x:v>
      </x:c>
      <x:c r="P20" s="242" t="str">
        <x:v>Dimensions</x:v>
      </x:c>
      <x:c r="Q20" s="242" t="str">
        <x:v>Limitations</x:v>
      </x:c>
      <x:c r="R20" s="277" t="str">
        <x:v>Reviewed source SHA256</x:v>
      </x:c>
      <x:c r="S20" s="327" t="str">
        <x:v>Fixed coupon, fraction</x:v>
      </x:c>
      <x:c r="T20" s="227" t="str">
        <x:v>Compounded SOFR margin, fraction</x:v>
      </x:c>
    </x:row>
    <x:row r="21" ht="85" customHeight="1">
      <x:c r="A21" s="234" t="str">
        <x:v>ocf</x:v>
      </x:c>
      <x:c r="B21" s="321" t="n">
        <x:v>16023000000</x:v>
      </x:c>
      <x:c r="C21" s="245" t="str">
        <x:v>Operating cash flow</x:v>
      </x:c>
      <x:c r="D21" s="244" t="d">
        <x:v>2026-01-01T00:00:00.000Z</x:v>
      </x:c>
      <x:c r="E21" s="244" t="d">
        <x:v>2026-06-30T00:00:00.000Z</x:v>
      </x:c>
      <x:c r="F21" s="245" t="str">
        <x:v>10-Q</x:v>
      </x:c>
      <x:c r="G21" s="244" t="d">
        <x:v>2026-08-05T00:00:00.000Z</x:v>
      </x:c>
      <x:c r="H21" s="245" t="str">
        <x:v>0000059478-26-000081</x:v>
      </x:c>
      <x:c r="I21" s="245" t="str">
        <x:v>us-gaap:NetCashProvidedByUsedInOperatingActivities</x:v>
      </x:c>
      <x:c r="J21" s="245" t="str">
        <x:v>c-1</x:v>
      </x:c>
      <x:c r="K21" s="323" t="n">
        <x:v>6</x:v>
      </x:c>
      <x:c r="L21" s="245" t="str">
        <x:v>-6</x:v>
      </x:c>
      <x:c r="M21" s="245" t="str">
        <x:v>https://www.sec.gov/Archives/edgar/data/59478/000005947826000081/lly-20260630.htm</x:v>
      </x:c>
      <x:c r="N21" s="245" t="str">
        <x:v>Cash flows p. 8</x:v>
      </x:c>
      <x:c r="O21" s="245" t="str">
        <x:v>Inline XBRL</x:v>
      </x:c>
      <x:c r="P21" s="245" t="str">
        <x:v>None (consolidated total)</x:v>
      </x:c>
      <x:c r="Q21" s="312" t="str"/>
      <x:c r="R21" s="305" t="str">
        <x:v>8e8f10cf3af98bc12a41985a98cfde9c2b9da8a812af18515d34ce3d8e1c1b3d</x:v>
      </x:c>
      <x:c r="S21" s="328"/>
      <x:c r="T21" s="329"/>
    </x:row>
    <x:row r="22" ht="85" customHeight="1">
      <x:c r="A22" s="234" t="str">
        <x:v>capex</x:v>
      </x:c>
      <x:c r="B22" s="321" t="n">
        <x:v>5259000000</x:v>
      </x:c>
      <x:c r="C22" s="245" t="str">
        <x:v>Cash purchases of other PP&amp;E</x:v>
      </x:c>
      <x:c r="D22" s="244" t="d">
        <x:v>2026-01-01T00:00:00.000Z</x:v>
      </x:c>
      <x:c r="E22" s="244" t="d">
        <x:v>2026-06-30T00:00:00.000Z</x:v>
      </x:c>
      <x:c r="F22" s="245" t="str">
        <x:v>10-Q</x:v>
      </x:c>
      <x:c r="G22" s="244" t="d">
        <x:v>2026-08-05T00:00:00.000Z</x:v>
      </x:c>
      <x:c r="H22" s="245" t="str">
        <x:v>0000059478-26-000081</x:v>
      </x:c>
      <x:c r="I22" s="245" t="str">
        <x:v>us-gaap:PaymentsToAcquireOtherPropertyPlantAndEquipment</x:v>
      </x:c>
      <x:c r="J22" s="245" t="str">
        <x:v>c-1</x:v>
      </x:c>
      <x:c r="K22" s="323" t="n">
        <x:v>6</x:v>
      </x:c>
      <x:c r="L22" s="245" t="str">
        <x:v>-6</x:v>
      </x:c>
      <x:c r="M22" s="245" t="str">
        <x:v>https://www.sec.gov/Archives/edgar/data/59478/000005947826000081/lly-20260630.htm</x:v>
      </x:c>
      <x:c r="N22" s="245" t="str">
        <x:v>Cash flows p. 8</x:v>
      </x:c>
      <x:c r="O22" s="245" t="str">
        <x:v>Inline XBRL</x:v>
      </x:c>
      <x:c r="P22" s="245" t="str">
        <x:v>None (consolidated total)</x:v>
      </x:c>
      <x:c r="Q22" s="312" t="str"/>
      <x:c r="R22" s="305" t="str">
        <x:v>8e8f10cf3af98bc12a41985a98cfde9c2b9da8a812af18515d34ce3d8e1c1b3d</x:v>
      </x:c>
      <x:c r="S22" s="328"/>
      <x:c r="T22" s="329"/>
    </x:row>
    <x:row r="23" ht="85" customHeight="1">
      <x:c r="A23" s="234" t="str">
        <x:v>investments</x:v>
      </x:c>
      <x:c r="B23" s="321" t="n">
        <x:v>604000000</x:v>
      </x:c>
      <x:c r="C23" s="245" t="str">
        <x:v>Investment purchases</x:v>
      </x:c>
      <x:c r="D23" s="244" t="d">
        <x:v>2026-01-01T00:00:00.000Z</x:v>
      </x:c>
      <x:c r="E23" s="244" t="d">
        <x:v>2026-06-30T00:00:00.000Z</x:v>
      </x:c>
      <x:c r="F23" s="245" t="str">
        <x:v>10-Q</x:v>
      </x:c>
      <x:c r="G23" s="244" t="d">
        <x:v>2026-08-05T00:00:00.000Z</x:v>
      </x:c>
      <x:c r="H23" s="245" t="str">
        <x:v>0000059478-26-000081</x:v>
      </x:c>
      <x:c r="I23" s="245" t="str">
        <x:v>us-gaap:PaymentsToAcquireOtherInvestments</x:v>
      </x:c>
      <x:c r="J23" s="245" t="str">
        <x:v>c-1</x:v>
      </x:c>
      <x:c r="K23" s="323" t="n">
        <x:v>6</x:v>
      </x:c>
      <x:c r="L23" s="245" t="str">
        <x:v>-6</x:v>
      </x:c>
      <x:c r="M23" s="245" t="str">
        <x:v>https://www.sec.gov/Archives/edgar/data/59478/000005947826000081/lly-20260630.htm</x:v>
      </x:c>
      <x:c r="N23" s="245" t="str">
        <x:v>Cash flows p. 8</x:v>
      </x:c>
      <x:c r="O23" s="245" t="str">
        <x:v>Inline XBRL</x:v>
      </x:c>
      <x:c r="P23" s="245" t="str">
        <x:v>None (consolidated total)</x:v>
      </x:c>
      <x:c r="Q23" s="312" t="str"/>
      <x:c r="R23" s="305" t="str">
        <x:v>8e8f10cf3af98bc12a41985a98cfde9c2b9da8a812af18515d34ce3d8e1c1b3d</x:v>
      </x:c>
      <x:c r="S23" s="328"/>
      <x:c r="T23" s="329"/>
    </x:row>
    <x:row r="24" ht="85" customHeight="1">
      <x:c r="A24" s="234" t="str">
        <x:v>iprd</x:v>
      </x:c>
      <x:c r="B24" s="321" t="n">
        <x:v>3486000000</x:v>
      </x:c>
      <x:c r="C24" s="245" t="str">
        <x:v>Purchased in-process R&amp;D</x:v>
      </x:c>
      <x:c r="D24" s="244" t="d">
        <x:v>2026-01-01T00:00:00.000Z</x:v>
      </x:c>
      <x:c r="E24" s="244" t="d">
        <x:v>2026-06-30T00:00:00.000Z</x:v>
      </x:c>
      <x:c r="F24" s="245" t="str">
        <x:v>10-Q</x:v>
      </x:c>
      <x:c r="G24" s="244" t="d">
        <x:v>2026-08-05T00:00:00.000Z</x:v>
      </x:c>
      <x:c r="H24" s="245" t="str">
        <x:v>0000059478-26-000081</x:v>
      </x:c>
      <x:c r="I24" s="245" t="str">
        <x:v>us-gaap:PaymentsToAcquireInProcessResearchAndDevelopment</x:v>
      </x:c>
      <x:c r="J24" s="245" t="str">
        <x:v>c-1</x:v>
      </x:c>
      <x:c r="K24" s="323" t="n">
        <x:v>6</x:v>
      </x:c>
      <x:c r="L24" s="245" t="str">
        <x:v>-6</x:v>
      </x:c>
      <x:c r="M24" s="245" t="str">
        <x:v>https://www.sec.gov/Archives/edgar/data/59478/000005947826000081/lly-20260630.htm</x:v>
      </x:c>
      <x:c r="N24" s="245" t="str">
        <x:v>Cash flows p. 8</x:v>
      </x:c>
      <x:c r="O24" s="245" t="str">
        <x:v>Inline XBRL</x:v>
      </x:c>
      <x:c r="P24" s="245" t="str">
        <x:v>None (consolidated total)</x:v>
      </x:c>
      <x:c r="Q24" s="312" t="str"/>
      <x:c r="R24" s="305" t="str">
        <x:v>8e8f10cf3af98bc12a41985a98cfde9c2b9da8a812af18515d34ce3d8e1c1b3d</x:v>
      </x:c>
      <x:c r="S24" s="328"/>
      <x:c r="T24" s="329"/>
    </x:row>
    <x:row r="25" ht="85" customHeight="1">
      <x:c r="A25" s="234" t="str">
        <x:v>acquisitions</x:v>
      </x:c>
      <x:c r="B25" s="321" t="n">
        <x:v>9805000000</x:v>
      </x:c>
      <x:c r="C25" s="245" t="str">
        <x:v>Acquisitions, net of cash acquired</x:v>
      </x:c>
      <x:c r="D25" s="244" t="d">
        <x:v>2026-01-01T00:00:00.000Z</x:v>
      </x:c>
      <x:c r="E25" s="244" t="d">
        <x:v>2026-06-30T00:00:00.000Z</x:v>
      </x:c>
      <x:c r="F25" s="245" t="str">
        <x:v>10-Q</x:v>
      </x:c>
      <x:c r="G25" s="244" t="d">
        <x:v>2026-08-05T00:00:00.000Z</x:v>
      </x:c>
      <x:c r="H25" s="245" t="str">
        <x:v>0000059478-26-000081</x:v>
      </x:c>
      <x:c r="I25" s="245" t="str">
        <x:v>us-gaap:OtherPaymentsToAcquireBusinesses</x:v>
      </x:c>
      <x:c r="J25" s="245" t="str">
        <x:v>c-1</x:v>
      </x:c>
      <x:c r="K25" s="323" t="n">
        <x:v>6</x:v>
      </x:c>
      <x:c r="L25" s="245" t="str">
        <x:v>-6</x:v>
      </x:c>
      <x:c r="M25" s="245" t="str">
        <x:v>https://www.sec.gov/Archives/edgar/data/59478/000005947826000081/lly-20260630.htm</x:v>
      </x:c>
      <x:c r="N25" s="245" t="str">
        <x:v>Cash flows p. 8</x:v>
      </x:c>
      <x:c r="O25" s="245" t="str">
        <x:v>Inline XBRL</x:v>
      </x:c>
      <x:c r="P25" s="245" t="str">
        <x:v>None (consolidated total)</x:v>
      </x:c>
      <x:c r="Q25" s="312" t="str"/>
      <x:c r="R25" s="305" t="str">
        <x:v>8e8f10cf3af98bc12a41985a98cfde9c2b9da8a812af18515d34ce3d8e1c1b3d</x:v>
      </x:c>
      <x:c r="S25" s="328"/>
      <x:c r="T25" s="329"/>
    </x:row>
    <x:row r="26" ht="85" customHeight="1">
      <x:c r="A26" s="234" t="str">
        <x:v>other_investing</x:v>
      </x:c>
      <x:c r="B26" s="321" t="n">
        <x:v>158000000</x:v>
      </x:c>
      <x:c r="C26" s="245" t="str">
        <x:v>Other investing cash used</x:v>
      </x:c>
      <x:c r="D26" s="244" t="d">
        <x:v>2026-01-01T00:00:00.000Z</x:v>
      </x:c>
      <x:c r="E26" s="244" t="d">
        <x:v>2026-06-30T00:00:00.000Z</x:v>
      </x:c>
      <x:c r="F26" s="245" t="str">
        <x:v>10-Q</x:v>
      </x:c>
      <x:c r="G26" s="244" t="d">
        <x:v>2026-08-05T00:00:00.000Z</x:v>
      </x:c>
      <x:c r="H26" s="245" t="str">
        <x:v>0000059478-26-000081</x:v>
      </x:c>
      <x:c r="I26" s="245" t="str">
        <x:v>us-gaap:PaymentsForProceedsFromOtherInvestingActivities</x:v>
      </x:c>
      <x:c r="J26" s="245" t="str">
        <x:v>c-1</x:v>
      </x:c>
      <x:c r="K26" s="323" t="n">
        <x:v>6</x:v>
      </x:c>
      <x:c r="L26" s="245" t="str">
        <x:v>-6</x:v>
      </x:c>
      <x:c r="M26" s="245" t="str">
        <x:v>https://www.sec.gov/Archives/edgar/data/59478/000005947826000081/lly-20260630.htm</x:v>
      </x:c>
      <x:c r="N26" s="245" t="str">
        <x:v>Cash flows p. 8</x:v>
      </x:c>
      <x:c r="O26" s="245" t="str">
        <x:v>Inline XBRL</x:v>
      </x:c>
      <x:c r="P26" s="245" t="str">
        <x:v>None (consolidated total)</x:v>
      </x:c>
      <x:c r="Q26" s="312" t="str"/>
      <x:c r="R26" s="305" t="str">
        <x:v>8e8f10cf3af98bc12a41985a98cfde9c2b9da8a812af18515d34ce3d8e1c1b3d</x:v>
      </x:c>
      <x:c r="S26" s="328"/>
      <x:c r="T26" s="329"/>
    </x:row>
    <x:row r="27" ht="85" customHeight="1">
      <x:c r="A27" s="234" t="str">
        <x:v>investing_total</x:v>
      </x:c>
      <x:c r="B27" s="321" t="n">
        <x:v>-19312000000</x:v>
      </x:c>
      <x:c r="C27" s="245" t="str">
        <x:v>Reported net investing cash flow</x:v>
      </x:c>
      <x:c r="D27" s="244" t="d">
        <x:v>2026-01-01T00:00:00.000Z</x:v>
      </x:c>
      <x:c r="E27" s="244" t="d">
        <x:v>2026-06-30T00:00:00.000Z</x:v>
      </x:c>
      <x:c r="F27" s="245" t="str">
        <x:v>10-Q</x:v>
      </x:c>
      <x:c r="G27" s="244" t="d">
        <x:v>2026-08-05T00:00:00.000Z</x:v>
      </x:c>
      <x:c r="H27" s="245" t="str">
        <x:v>0000059478-26-000081</x:v>
      </x:c>
      <x:c r="I27" s="245" t="str">
        <x:v>us-gaap:NetCashProvidedByUsedInInvestingActivities</x:v>
      </x:c>
      <x:c r="J27" s="245" t="str">
        <x:v>c-1</x:v>
      </x:c>
      <x:c r="K27" s="323" t="n">
        <x:v>6</x:v>
      </x:c>
      <x:c r="L27" s="245" t="str">
        <x:v>-6</x:v>
      </x:c>
      <x:c r="M27" s="245" t="str">
        <x:v>https://www.sec.gov/Archives/edgar/data/59478/000005947826000081/lly-20260630.htm</x:v>
      </x:c>
      <x:c r="N27" s="245" t="str">
        <x:v>Cash flows p. 8</x:v>
      </x:c>
      <x:c r="O27" s="245" t="str">
        <x:v>Inline XBRL</x:v>
      </x:c>
      <x:c r="P27" s="245" t="str">
        <x:v>None (consolidated total)</x:v>
      </x:c>
      <x:c r="Q27" s="312" t="str"/>
      <x:c r="R27" s="305" t="str">
        <x:v>8e8f10cf3af98bc12a41985a98cfde9c2b9da8a812af18515d34ce3d8e1c1b3d</x:v>
      </x:c>
      <x:c r="S27" s="328"/>
      <x:c r="T27" s="329"/>
    </x:row>
    <x:row r="28" ht="85" customHeight="1">
      <x:c r="A28" s="234" t="str">
        <x:v>dividends</x:v>
      </x:c>
      <x:c r="B28" s="321" t="n">
        <x:v>3094000000</x:v>
      </x:c>
      <x:c r="C28" s="245" t="str">
        <x:v>Cash dividends</x:v>
      </x:c>
      <x:c r="D28" s="244" t="d">
        <x:v>2026-01-01T00:00:00.000Z</x:v>
      </x:c>
      <x:c r="E28" s="244" t="d">
        <x:v>2026-06-30T00:00:00.000Z</x:v>
      </x:c>
      <x:c r="F28" s="245" t="str">
        <x:v>10-Q</x:v>
      </x:c>
      <x:c r="G28" s="244" t="d">
        <x:v>2026-08-05T00:00:00.000Z</x:v>
      </x:c>
      <x:c r="H28" s="245" t="str">
        <x:v>0000059478-26-000081</x:v>
      </x:c>
      <x:c r="I28" s="245" t="str">
        <x:v>us-gaap:PaymentsOfDividends</x:v>
      </x:c>
      <x:c r="J28" s="245" t="str">
        <x:v>c-1</x:v>
      </x:c>
      <x:c r="K28" s="323" t="n">
        <x:v>6</x:v>
      </x:c>
      <x:c r="L28" s="245" t="str">
        <x:v>-6</x:v>
      </x:c>
      <x:c r="M28" s="245" t="str">
        <x:v>https://www.sec.gov/Archives/edgar/data/59478/000005947826000081/lly-20260630.htm</x:v>
      </x:c>
      <x:c r="N28" s="245" t="str">
        <x:v>Cash flows p. 8</x:v>
      </x:c>
      <x:c r="O28" s="245" t="str">
        <x:v>Inline XBRL</x:v>
      </x:c>
      <x:c r="P28" s="245" t="str">
        <x:v>None (consolidated total)</x:v>
      </x:c>
      <x:c r="Q28" s="312" t="str"/>
      <x:c r="R28" s="305" t="str">
        <x:v>8e8f10cf3af98bc12a41985a98cfde9c2b9da8a812af18515d34ce3d8e1c1b3d</x:v>
      </x:c>
      <x:c r="S28" s="328"/>
      <x:c r="T28" s="329"/>
    </x:row>
    <x:row r="29" ht="85" customHeight="1">
      <x:c r="A29" s="234" t="str">
        <x:v>short_debt</x:v>
      </x:c>
      <x:c r="B29" s="321" t="n">
        <x:v>5284000000</x:v>
      </x:c>
      <x:c r="C29" s="245" t="str">
        <x:v>Short-term borrowings, net</x:v>
      </x:c>
      <x:c r="D29" s="244" t="d">
        <x:v>2026-01-01T00:00:00.000Z</x:v>
      </x:c>
      <x:c r="E29" s="244" t="d">
        <x:v>2026-06-30T00:00:00.000Z</x:v>
      </x:c>
      <x:c r="F29" s="245" t="str">
        <x:v>10-Q</x:v>
      </x:c>
      <x:c r="G29" s="244" t="d">
        <x:v>2026-08-05T00:00:00.000Z</x:v>
      </x:c>
      <x:c r="H29" s="245" t="str">
        <x:v>0000059478-26-000081</x:v>
      </x:c>
      <x:c r="I29" s="245" t="str">
        <x:v>us-gaap:ProceedsFromRepaymentsOfShortTermDebt</x:v>
      </x:c>
      <x:c r="J29" s="245" t="str">
        <x:v>c-1</x:v>
      </x:c>
      <x:c r="K29" s="323" t="n">
        <x:v>6</x:v>
      </x:c>
      <x:c r="L29" s="245" t="str">
        <x:v>-6</x:v>
      </x:c>
      <x:c r="M29" s="245" t="str">
        <x:v>https://www.sec.gov/Archives/edgar/data/59478/000005947826000081/lly-20260630.htm</x:v>
      </x:c>
      <x:c r="N29" s="245" t="str">
        <x:v>Cash flows p. 8</x:v>
      </x:c>
      <x:c r="O29" s="245" t="str">
        <x:v>Inline XBRL</x:v>
      </x:c>
      <x:c r="P29" s="245" t="str">
        <x:v>None (consolidated total)</x:v>
      </x:c>
      <x:c r="Q29" s="312" t="str"/>
      <x:c r="R29" s="305" t="str">
        <x:v>8e8f10cf3af98bc12a41985a98cfde9c2b9da8a812af18515d34ce3d8e1c1b3d</x:v>
      </x:c>
      <x:c r="S29" s="328"/>
      <x:c r="T29" s="329"/>
    </x:row>
    <x:row r="30" ht="85" customHeight="1">
      <x:c r="A30" s="234" t="str">
        <x:v>long_proceeds</x:v>
      </x:c>
      <x:c r="B30" s="321" t="n">
        <x:v>8941000000</x:v>
      </x:c>
      <x:c r="C30" s="245" t="str">
        <x:v>Long-term borrowing proceeds, net</x:v>
      </x:c>
      <x:c r="D30" s="244" t="d">
        <x:v>2026-01-01T00:00:00.000Z</x:v>
      </x:c>
      <x:c r="E30" s="244" t="d">
        <x:v>2026-06-30T00:00:00.000Z</x:v>
      </x:c>
      <x:c r="F30" s="245" t="str">
        <x:v>10-Q</x:v>
      </x:c>
      <x:c r="G30" s="244" t="d">
        <x:v>2026-08-05T00:00:00.000Z</x:v>
      </x:c>
      <x:c r="H30" s="245" t="str">
        <x:v>0000059478-26-000081</x:v>
      </x:c>
      <x:c r="I30" s="245" t="str">
        <x:v>us-gaap:ProceedsFromIssuanceOfLongTermDebt</x:v>
      </x:c>
      <x:c r="J30" s="245" t="str">
        <x:v>c-1</x:v>
      </x:c>
      <x:c r="K30" s="323" t="n">
        <x:v>6</x:v>
      </x:c>
      <x:c r="L30" s="245" t="str">
        <x:v>-6</x:v>
      </x:c>
      <x:c r="M30" s="245" t="str">
        <x:v>https://www.sec.gov/Archives/edgar/data/59478/000005947826000081/lly-20260630.htm</x:v>
      </x:c>
      <x:c r="N30" s="245" t="str">
        <x:v>Cash flows p. 8</x:v>
      </x:c>
      <x:c r="O30" s="245" t="str">
        <x:v>Inline XBRL</x:v>
      </x:c>
      <x:c r="P30" s="245" t="str">
        <x:v>None (consolidated total)</x:v>
      </x:c>
      <x:c r="Q30" s="312" t="str"/>
      <x:c r="R30" s="305" t="str">
        <x:v>8e8f10cf3af98bc12a41985a98cfde9c2b9da8a812af18515d34ce3d8e1c1b3d</x:v>
      </x:c>
      <x:c r="S30" s="328"/>
      <x:c r="T30" s="329"/>
    </x:row>
    <x:row r="31" ht="85" customHeight="1">
      <x:c r="A31" s="234" t="str">
        <x:v>long_repayments</x:v>
      </x:c>
      <x:c r="B31" s="321" t="n">
        <x:v>1623000000</x:v>
      </x:c>
      <x:c r="C31" s="245" t="str">
        <x:v>Long-term debt repaid</x:v>
      </x:c>
      <x:c r="D31" s="244" t="d">
        <x:v>2026-01-01T00:00:00.000Z</x:v>
      </x:c>
      <x:c r="E31" s="244" t="d">
        <x:v>2026-06-30T00:00:00.000Z</x:v>
      </x:c>
      <x:c r="F31" s="245" t="str">
        <x:v>10-Q</x:v>
      </x:c>
      <x:c r="G31" s="244" t="d">
        <x:v>2026-08-05T00:00:00.000Z</x:v>
      </x:c>
      <x:c r="H31" s="245" t="str">
        <x:v>0000059478-26-000081</x:v>
      </x:c>
      <x:c r="I31" s="245" t="str">
        <x:v>us-gaap:RepaymentsOfLongTermDebt</x:v>
      </x:c>
      <x:c r="J31" s="245" t="str">
        <x:v>c-1</x:v>
      </x:c>
      <x:c r="K31" s="323" t="n">
        <x:v>6</x:v>
      </x:c>
      <x:c r="L31" s="245" t="str">
        <x:v>-6</x:v>
      </x:c>
      <x:c r="M31" s="245" t="str">
        <x:v>https://www.sec.gov/Archives/edgar/data/59478/000005947826000081/lly-20260630.htm</x:v>
      </x:c>
      <x:c r="N31" s="245" t="str">
        <x:v>Cash flows p. 8</x:v>
      </x:c>
      <x:c r="O31" s="245" t="str">
        <x:v>Inline XBRL</x:v>
      </x:c>
      <x:c r="P31" s="245" t="str">
        <x:v>None (consolidated total)</x:v>
      </x:c>
      <x:c r="Q31" s="312" t="str"/>
      <x:c r="R31" s="305" t="str">
        <x:v>8e8f10cf3af98bc12a41985a98cfde9c2b9da8a812af18515d34ce3d8e1c1b3d</x:v>
      </x:c>
      <x:c r="S31" s="328"/>
      <x:c r="T31" s="329"/>
    </x:row>
    <x:row r="32" ht="85" customHeight="1">
      <x:c r="A32" s="234" t="str">
        <x:v>buybacks</x:v>
      </x:c>
      <x:c r="B32" s="321" t="n">
        <x:v>3957000000</x:v>
      </x:c>
      <x:c r="C32" s="245" t="str">
        <x:v>Share repurchases</x:v>
      </x:c>
      <x:c r="D32" s="244" t="d">
        <x:v>2026-01-01T00:00:00.000Z</x:v>
      </x:c>
      <x:c r="E32" s="244" t="d">
        <x:v>2026-06-30T00:00:00.000Z</x:v>
      </x:c>
      <x:c r="F32" s="245" t="str">
        <x:v>10-Q</x:v>
      </x:c>
      <x:c r="G32" s="244" t="d">
        <x:v>2026-08-05T00:00:00.000Z</x:v>
      </x:c>
      <x:c r="H32" s="245" t="str">
        <x:v>0000059478-26-000081</x:v>
      </x:c>
      <x:c r="I32" s="245" t="str">
        <x:v>us-gaap:PaymentsForRepurchaseOfCommonStock</x:v>
      </x:c>
      <x:c r="J32" s="245" t="str">
        <x:v>c-1</x:v>
      </x:c>
      <x:c r="K32" s="323" t="n">
        <x:v>6</x:v>
      </x:c>
      <x:c r="L32" s="245" t="str">
        <x:v>-6</x:v>
      </x:c>
      <x:c r="M32" s="245" t="str">
        <x:v>https://www.sec.gov/Archives/edgar/data/59478/000005947826000081/lly-20260630.htm</x:v>
      </x:c>
      <x:c r="N32" s="245" t="str">
        <x:v>Cash flows p. 8</x:v>
      </x:c>
      <x:c r="O32" s="245" t="str">
        <x:v>Inline XBRL</x:v>
      </x:c>
      <x:c r="P32" s="245" t="str">
        <x:v>None (consolidated total)</x:v>
      </x:c>
      <x:c r="Q32" s="312" t="str"/>
      <x:c r="R32" s="305" t="str">
        <x:v>8e8f10cf3af98bc12a41985a98cfde9c2b9da8a812af18515d34ce3d8e1c1b3d</x:v>
      </x:c>
      <x:c r="S32" s="328"/>
      <x:c r="T32" s="329"/>
    </x:row>
    <x:row r="33" ht="85" customHeight="1">
      <x:c r="A33" s="234" t="str">
        <x:v>other_financing</x:v>
      </x:c>
      <x:c r="B33" s="321" t="n">
        <x:v>-595000000</x:v>
      </x:c>
      <x:c r="C33" s="245" t="str">
        <x:v>Other financing cash flow</x:v>
      </x:c>
      <x:c r="D33" s="244" t="d">
        <x:v>2026-01-01T00:00:00.000Z</x:v>
      </x:c>
      <x:c r="E33" s="244" t="d">
        <x:v>2026-06-30T00:00:00.000Z</x:v>
      </x:c>
      <x:c r="F33" s="245" t="str">
        <x:v>10-Q</x:v>
      </x:c>
      <x:c r="G33" s="244" t="d">
        <x:v>2026-08-05T00:00:00.000Z</x:v>
      </x:c>
      <x:c r="H33" s="245" t="str">
        <x:v>0000059478-26-000081</x:v>
      </x:c>
      <x:c r="I33" s="245" t="str">
        <x:v>us-gaap:ProceedsFromPaymentsForOtherFinancingActivities</x:v>
      </x:c>
      <x:c r="J33" s="245" t="str">
        <x:v>c-1</x:v>
      </x:c>
      <x:c r="K33" s="323" t="n">
        <x:v>6</x:v>
      </x:c>
      <x:c r="L33" s="245" t="str">
        <x:v>-6</x:v>
      </x:c>
      <x:c r="M33" s="245" t="str">
        <x:v>https://www.sec.gov/Archives/edgar/data/59478/000005947826000081/lly-20260630.htm</x:v>
      </x:c>
      <x:c r="N33" s="245" t="str">
        <x:v>Cash flows p. 8</x:v>
      </x:c>
      <x:c r="O33" s="245" t="str">
        <x:v>Inline XBRL</x:v>
      </x:c>
      <x:c r="P33" s="245" t="str">
        <x:v>None (consolidated total)</x:v>
      </x:c>
      <x:c r="Q33" s="312" t="str"/>
      <x:c r="R33" s="305" t="str">
        <x:v>8e8f10cf3af98bc12a41985a98cfde9c2b9da8a812af18515d34ce3d8e1c1b3d</x:v>
      </x:c>
      <x:c r="S33" s="328"/>
      <x:c r="T33" s="329"/>
    </x:row>
    <x:row r="34" ht="85" customHeight="1">
      <x:c r="A34" s="234" t="str">
        <x:v>financing_total</x:v>
      </x:c>
      <x:c r="B34" s="321" t="n">
        <x:v>4956000000</x:v>
      </x:c>
      <x:c r="C34" s="245" t="str">
        <x:v>Reported net financing cash flow</x:v>
      </x:c>
      <x:c r="D34" s="244" t="d">
        <x:v>2026-01-01T00:00:00.000Z</x:v>
      </x:c>
      <x:c r="E34" s="244" t="d">
        <x:v>2026-06-30T00:00:00.000Z</x:v>
      </x:c>
      <x:c r="F34" s="245" t="str">
        <x:v>10-Q</x:v>
      </x:c>
      <x:c r="G34" s="244" t="d">
        <x:v>2026-08-05T00:00:00.000Z</x:v>
      </x:c>
      <x:c r="H34" s="245" t="str">
        <x:v>0000059478-26-000081</x:v>
      </x:c>
      <x:c r="I34" s="245" t="str">
        <x:v>us-gaap:NetCashProvidedByUsedInFinancingActivities</x:v>
      </x:c>
      <x:c r="J34" s="245" t="str">
        <x:v>c-1</x:v>
      </x:c>
      <x:c r="K34" s="323" t="n">
        <x:v>6</x:v>
      </x:c>
      <x:c r="L34" s="245" t="str">
        <x:v>-6</x:v>
      </x:c>
      <x:c r="M34" s="245" t="str">
        <x:v>https://www.sec.gov/Archives/edgar/data/59478/000005947826000081/lly-20260630.htm</x:v>
      </x:c>
      <x:c r="N34" s="245" t="str">
        <x:v>Cash flows p. 8</x:v>
      </x:c>
      <x:c r="O34" s="245" t="str">
        <x:v>Inline XBRL</x:v>
      </x:c>
      <x:c r="P34" s="245" t="str">
        <x:v>None (consolidated total)</x:v>
      </x:c>
      <x:c r="Q34" s="312" t="str"/>
      <x:c r="R34" s="305" t="str">
        <x:v>8e8f10cf3af98bc12a41985a98cfde9c2b9da8a812af18515d34ce3d8e1c1b3d</x:v>
      </x:c>
      <x:c r="S34" s="328"/>
      <x:c r="T34" s="329"/>
    </x:row>
    <x:row r="35" ht="85" customHeight="1">
      <x:c r="A35" s="234" t="str">
        <x:v>fx</x:v>
      </x:c>
      <x:c r="B35" s="321" t="n">
        <x:v>15000000</x:v>
      </x:c>
      <x:c r="C35" s="245" t="str">
        <x:v>Exchange-rate effect on cash</x:v>
      </x:c>
      <x:c r="D35" s="244" t="d">
        <x:v>2026-01-01T00:00:00.000Z</x:v>
      </x:c>
      <x:c r="E35" s="244" t="d">
        <x:v>2026-06-30T00:00:00.000Z</x:v>
      </x:c>
      <x:c r="F35" s="245" t="str">
        <x:v>10-Q</x:v>
      </x:c>
      <x:c r="G35" s="244" t="d">
        <x:v>2026-08-05T00:00:00.000Z</x:v>
      </x:c>
      <x:c r="H35" s="245" t="str">
        <x:v>0000059478-26-000081</x:v>
      </x:c>
      <x:c r="I35" s="245" t="str">
        <x:v>us-gaap:EffectOfExchangeRateOnCashCashEquivalentsRestrictedCashAndRestrictedCashEquivalents</x:v>
      </x:c>
      <x:c r="J35" s="245" t="str">
        <x:v>c-1</x:v>
      </x:c>
      <x:c r="K35" s="323" t="n">
        <x:v>6</x:v>
      </x:c>
      <x:c r="L35" s="245" t="str">
        <x:v>-6</x:v>
      </x:c>
      <x:c r="M35" s="245" t="str">
        <x:v>https://www.sec.gov/Archives/edgar/data/59478/000005947826000081/lly-20260630.htm</x:v>
      </x:c>
      <x:c r="N35" s="245" t="str">
        <x:v>Cash flows p. 8</x:v>
      </x:c>
      <x:c r="O35" s="245" t="str">
        <x:v>Inline XBRL</x:v>
      </x:c>
      <x:c r="P35" s="245" t="str">
        <x:v>None (consolidated total)</x:v>
      </x:c>
      <x:c r="Q35" s="312" t="str"/>
      <x:c r="R35" s="305" t="str">
        <x:v>8e8f10cf3af98bc12a41985a98cfde9c2b9da8a812af18515d34ce3d8e1c1b3d</x:v>
      </x:c>
      <x:c r="S35" s="328"/>
      <x:c r="T35" s="329"/>
    </x:row>
    <x:row r="36" ht="85" customHeight="1">
      <x:c r="A36" s="234" t="str">
        <x:v>change</x:v>
      </x:c>
      <x:c r="B36" s="321" t="n">
        <x:v>1682000000</x:v>
      </x:c>
      <x:c r="C36" s="245" t="str">
        <x:v>Reported cash increase</x:v>
      </x:c>
      <x:c r="D36" s="244" t="d">
        <x:v>2026-01-01T00:00:00.000Z</x:v>
      </x:c>
      <x:c r="E36" s="244" t="d">
        <x:v>2026-06-30T00:00:00.000Z</x:v>
      </x:c>
      <x:c r="F36" s="245" t="str">
        <x:v>10-Q</x:v>
      </x:c>
      <x:c r="G36" s="244" t="d">
        <x:v>2026-08-05T00:00:00.000Z</x:v>
      </x:c>
      <x:c r="H36" s="245" t="str">
        <x:v>0000059478-26-000081</x:v>
      </x:c>
      <x:c r="I36" s="245" t="str">
        <x:v>us-gaap:CashCashEquivalentsRestrictedCashAndRestrictedCashEquivalentsPeriodIncreaseDecreaseIncludingExchangeRateEffect</x:v>
      </x:c>
      <x:c r="J36" s="245" t="str">
        <x:v>c-1</x:v>
      </x:c>
      <x:c r="K36" s="323" t="n">
        <x:v>6</x:v>
      </x:c>
      <x:c r="L36" s="245" t="str">
        <x:v>-6</x:v>
      </x:c>
      <x:c r="M36" s="245" t="str">
        <x:v>https://www.sec.gov/Archives/edgar/data/59478/000005947826000081/lly-20260630.htm</x:v>
      </x:c>
      <x:c r="N36" s="245" t="str">
        <x:v>Cash flows p. 8</x:v>
      </x:c>
      <x:c r="O36" s="245" t="str">
        <x:v>Inline XBRL</x:v>
      </x:c>
      <x:c r="P36" s="245" t="str">
        <x:v>None (consolidated total)</x:v>
      </x:c>
      <x:c r="Q36" s="312" t="str"/>
      <x:c r="R36" s="305" t="str">
        <x:v>8e8f10cf3af98bc12a41985a98cfde9c2b9da8a812af18515d34ce3d8e1c1b3d</x:v>
      </x:c>
      <x:c r="S36" s="328"/>
      <x:c r="T36" s="329"/>
    </x:row>
    <x:row r="37" ht="85" customHeight="1">
      <x:c r="A37" s="234" t="str">
        <x:v>opening</x:v>
      </x:c>
      <x:c r="B37" s="321" t="n">
        <x:v>7268000000</x:v>
      </x:c>
      <x:c r="C37" s="245" t="str">
        <x:v>Opening cash and equivalents</x:v>
      </x:c>
      <x:c r="D37" s="322"/>
      <x:c r="E37" s="244" t="d">
        <x:v>2025-12-31T00:00:00.000Z</x:v>
      </x:c>
      <x:c r="F37" s="245" t="str">
        <x:v>10-Q</x:v>
      </x:c>
      <x:c r="G37" s="244" t="d">
        <x:v>2026-08-05T00:00:00.000Z</x:v>
      </x:c>
      <x:c r="H37" s="245" t="str">
        <x:v>0000059478-26-000081</x:v>
      </x:c>
      <x:c r="I37" s="245" t="str">
        <x:v>us-gaap:CashAndCashEquivalentsAtCarryingValue</x:v>
      </x:c>
      <x:c r="J37" s="245" t="str">
        <x:v>c-16</x:v>
      </x:c>
      <x:c r="K37" s="323" t="n">
        <x:v>6</x:v>
      </x:c>
      <x:c r="L37" s="245" t="str">
        <x:v>-6</x:v>
      </x:c>
      <x:c r="M37" s="245" t="str">
        <x:v>https://www.sec.gov/Archives/edgar/data/59478/000005947826000081/lly-20260630.htm</x:v>
      </x:c>
      <x:c r="N37" s="245" t="str">
        <x:v>Balance sheet p. 7; cash flows p. 8</x:v>
      </x:c>
      <x:c r="O37" s="245" t="str">
        <x:v>Inline XBRL</x:v>
      </x:c>
      <x:c r="P37" s="245" t="str">
        <x:v>None (consolidated total)</x:v>
      </x:c>
      <x:c r="Q37" s="312" t="str"/>
      <x:c r="R37" s="305" t="str">
        <x:v>8e8f10cf3af98bc12a41985a98cfde9c2b9da8a812af18515d34ce3d8e1c1b3d</x:v>
      </x:c>
      <x:c r="S37" s="328"/>
      <x:c r="T37" s="329"/>
    </x:row>
    <x:row r="38" ht="85" customHeight="1">
      <x:c r="A38" s="234" t="str">
        <x:v>closing</x:v>
      </x:c>
      <x:c r="B38" s="321" t="n">
        <x:v>8950000000</x:v>
      </x:c>
      <x:c r="C38" s="245" t="str">
        <x:v>Closing cash and equivalents</x:v>
      </x:c>
      <x:c r="D38" s="322"/>
      <x:c r="E38" s="244" t="d">
        <x:v>2026-06-30T00:00:00.000Z</x:v>
      </x:c>
      <x:c r="F38" s="245" t="str">
        <x:v>10-Q</x:v>
      </x:c>
      <x:c r="G38" s="244" t="d">
        <x:v>2026-08-05T00:00:00.000Z</x:v>
      </x:c>
      <x:c r="H38" s="245" t="str">
        <x:v>0000059478-26-000081</x:v>
      </x:c>
      <x:c r="I38" s="245" t="str">
        <x:v>us-gaap:CashAndCashEquivalentsAtCarryingValue</x:v>
      </x:c>
      <x:c r="J38" s="245" t="str">
        <x:v>c-15</x:v>
      </x:c>
      <x:c r="K38" s="323" t="n">
        <x:v>6</x:v>
      </x:c>
      <x:c r="L38" s="245" t="str">
        <x:v>-6</x:v>
      </x:c>
      <x:c r="M38" s="245" t="str">
        <x:v>https://www.sec.gov/Archives/edgar/data/59478/000005947826000081/lly-20260630.htm</x:v>
      </x:c>
      <x:c r="N38" s="245" t="str">
        <x:v>Balance sheet p. 7; cash flows p. 8</x:v>
      </x:c>
      <x:c r="O38" s="245" t="str">
        <x:v>Inline XBRL</x:v>
      </x:c>
      <x:c r="P38" s="245" t="str">
        <x:v>None (consolidated total)</x:v>
      </x:c>
      <x:c r="Q38" s="312" t="str"/>
      <x:c r="R38" s="305" t="str">
        <x:v>8e8f10cf3af98bc12a41985a98cfde9c2b9da8a812af18515d34ce3d8e1c1b3d</x:v>
      </x:c>
      <x:c r="S38" s="328"/>
      <x:c r="T38" s="329"/>
    </x:row>
    <x:row r="39" ht="85" customHeight="1">
      <x:c r="A39" s="234" t="str">
        <x:v>current_debt</x:v>
      </x:c>
      <x:c r="B39" s="321" t="n">
        <x:v>7050000000</x:v>
      </x:c>
      <x:c r="C39" s="245" t="str">
        <x:v>Current borrowing</x:v>
      </x:c>
      <x:c r="D39" s="322"/>
      <x:c r="E39" s="244" t="d">
        <x:v>2026-06-30T00:00:00.000Z</x:v>
      </x:c>
      <x:c r="F39" s="245" t="str">
        <x:v>10-Q</x:v>
      </x:c>
      <x:c r="G39" s="244" t="d">
        <x:v>2026-08-05T00:00:00.000Z</x:v>
      </x:c>
      <x:c r="H39" s="245" t="str">
        <x:v>0000059478-26-000081</x:v>
      </x:c>
      <x:c r="I39" s="245" t="str">
        <x:v>us-gaap:DebtCurrent</x:v>
      </x:c>
      <x:c r="J39" s="245" t="str">
        <x:v>c-15</x:v>
      </x:c>
      <x:c r="K39" s="323" t="n">
        <x:v>6</x:v>
      </x:c>
      <x:c r="L39" s="245" t="str">
        <x:v>-6</x:v>
      </x:c>
      <x:c r="M39" s="245" t="str">
        <x:v>https://www.sec.gov/Archives/edgar/data/59478/000005947826000081/lly-20260630.htm</x:v>
      </x:c>
      <x:c r="N39" s="245" t="str">
        <x:v>Balance sheet p. 7</x:v>
      </x:c>
      <x:c r="O39" s="245" t="str">
        <x:v>Inline XBRL</x:v>
      </x:c>
      <x:c r="P39" s="245" t="str">
        <x:v>None (consolidated total)</x:v>
      </x:c>
      <x:c r="Q39" s="312" t="str"/>
      <x:c r="R39" s="305" t="str">
        <x:v>8e8f10cf3af98bc12a41985a98cfde9c2b9da8a812af18515d34ce3d8e1c1b3d</x:v>
      </x:c>
      <x:c r="S39" s="328"/>
      <x:c r="T39" s="329"/>
    </x:row>
    <x:row r="40" ht="85" customHeight="1">
      <x:c r="A40" s="234" t="str">
        <x:v>noncurrent_debt</x:v>
      </x:c>
      <x:c r="B40" s="321" t="n">
        <x:v>47858000000</x:v>
      </x:c>
      <x:c r="C40" s="245" t="str">
        <x:v>Noncurrent borrowing</x:v>
      </x:c>
      <x:c r="D40" s="322"/>
      <x:c r="E40" s="244" t="d">
        <x:v>2026-06-30T00:00:00.000Z</x:v>
      </x:c>
      <x:c r="F40" s="245" t="str">
        <x:v>10-Q</x:v>
      </x:c>
      <x:c r="G40" s="244" t="d">
        <x:v>2026-08-05T00:00:00.000Z</x:v>
      </x:c>
      <x:c r="H40" s="245" t="str">
        <x:v>0000059478-26-000081</x:v>
      </x:c>
      <x:c r="I40" s="245" t="str">
        <x:v>us-gaap:LongTermDebtNoncurrent</x:v>
      </x:c>
      <x:c r="J40" s="245" t="str">
        <x:v>c-15</x:v>
      </x:c>
      <x:c r="K40" s="323" t="n">
        <x:v>6</x:v>
      </x:c>
      <x:c r="L40" s="245" t="str">
        <x:v>-6</x:v>
      </x:c>
      <x:c r="M40" s="245" t="str">
        <x:v>https://www.sec.gov/Archives/edgar/data/59478/000005947826000081/lly-20260630.htm</x:v>
      </x:c>
      <x:c r="N40" s="245" t="str">
        <x:v>Balance sheet p. 7</x:v>
      </x:c>
      <x:c r="O40" s="245" t="str">
        <x:v>Inline XBRL</x:v>
      </x:c>
      <x:c r="P40" s="245" t="str">
        <x:v>None (consolidated total)</x:v>
      </x:c>
      <x:c r="Q40" s="312" t="str"/>
      <x:c r="R40" s="305" t="str">
        <x:v>8e8f10cf3af98bc12a41985a98cfde9c2b9da8a812af18515d34ce3d8e1c1b3d</x:v>
      </x:c>
      <x:c r="S40" s="328"/>
      <x:c r="T40" s="329"/>
    </x:row>
    <x:row r="41" ht="85" customHeight="1">
      <x:c r="A41" s="234" t="str">
        <x:v>contingent_current</x:v>
      </x:c>
      <x:c r="B41" s="321" t="n">
        <x:v>814000000</x:v>
      </x:c>
      <x:c r="C41" s="245" t="str">
        <x:v>Contingent consideration fair value: current</x:v>
      </x:c>
      <x:c r="D41" s="322"/>
      <x:c r="E41" s="244" t="d">
        <x:v>2026-06-30T00:00:00.000Z</x:v>
      </x:c>
      <x:c r="F41" s="245" t="str">
        <x:v>10-Q</x:v>
      </x:c>
      <x:c r="G41" s="244" t="d">
        <x:v>2026-08-05T00:00:00.000Z</x:v>
      </x:c>
      <x:c r="H41" s="245" t="str">
        <x:v>0000059478-26-000081</x:v>
      </x:c>
      <x:c r="I41" s="245" t="str">
        <x:v>us-gaap:BusinessCombinationContingentConsiderationLiabilityCurrent</x:v>
      </x:c>
      <x:c r="J41" s="245" t="str">
        <x:v>c-301</x:v>
      </x:c>
      <x:c r="K41" s="323" t="n">
        <x:v>6</x:v>
      </x:c>
      <x:c r="L41" s="245" t="str">
        <x:v>-6</x:v>
      </x:c>
      <x:c r="M41" s="245" t="str">
        <x:v>https://www.sec.gov/Archives/edgar/data/59478/000005947826000081/lly-20260630.htm</x:v>
      </x:c>
      <x:c r="N41" s="245" t="str">
        <x:v>Note 8 p. 17</x:v>
      </x:c>
      <x:c r="O41" s="245" t="str">
        <x:v>Inline XBRL</x:v>
      </x:c>
      <x:c r="P41" s="245" t="str">
        <x:v>us-gaap:FairValueByFairValueHierarchyLevelAxis = us-gaap:FairValueInputsLevel3Member</x:v>
      </x:c>
      <x:c r="Q41" s="312" t="str"/>
      <x:c r="R41" s="305" t="str">
        <x:v>8e8f10cf3af98bc12a41985a98cfde9c2b9da8a812af18515d34ce3d8e1c1b3d</x:v>
      </x:c>
      <x:c r="S41" s="328"/>
      <x:c r="T41" s="329"/>
    </x:row>
    <x:row r="42" ht="85" customHeight="1">
      <x:c r="A42" s="234" t="str">
        <x:v>contingent_noncurrent</x:v>
      </x:c>
      <x:c r="B42" s="321" t="n">
        <x:v>1704000000</x:v>
      </x:c>
      <x:c r="C42" s="245" t="str">
        <x:v>Contingent consideration fair value: noncurrent</x:v>
      </x:c>
      <x:c r="D42" s="322"/>
      <x:c r="E42" s="244" t="d">
        <x:v>2026-06-30T00:00:00.000Z</x:v>
      </x:c>
      <x:c r="F42" s="245" t="str">
        <x:v>10-Q</x:v>
      </x:c>
      <x:c r="G42" s="244" t="d">
        <x:v>2026-08-05T00:00:00.000Z</x:v>
      </x:c>
      <x:c r="H42" s="245" t="str">
        <x:v>0000059478-26-000081</x:v>
      </x:c>
      <x:c r="I42" s="245" t="str">
        <x:v>us-gaap:BusinessCombinationContingentConsiderationLiabilityNoncurrent</x:v>
      </x:c>
      <x:c r="J42" s="245" t="str">
        <x:v>c-301</x:v>
      </x:c>
      <x:c r="K42" s="323" t="n">
        <x:v>6</x:v>
      </x:c>
      <x:c r="L42" s="245" t="str">
        <x:v>-6</x:v>
      </x:c>
      <x:c r="M42" s="245" t="str">
        <x:v>https://www.sec.gov/Archives/edgar/data/59478/000005947826000081/lly-20260630.htm</x:v>
      </x:c>
      <x:c r="N42" s="245" t="str">
        <x:v>Note 8 p. 17</x:v>
      </x:c>
      <x:c r="O42" s="245" t="str">
        <x:v>Inline XBRL</x:v>
      </x:c>
      <x:c r="P42" s="245" t="str">
        <x:v>us-gaap:FairValueByFairValueHierarchyLevelAxis = us-gaap:FairValueInputsLevel3Member</x:v>
      </x:c>
      <x:c r="Q42" s="312" t="str"/>
      <x:c r="R42" s="305" t="str">
        <x:v>8e8f10cf3af98bc12a41985a98cfde9c2b9da8a812af18515d34ce3d8e1c1b3d</x:v>
      </x:c>
      <x:c r="S42" s="328"/>
      <x:c r="T42" s="329"/>
    </x:row>
    <x:row r="43" ht="85" customHeight="1">
      <x:c r="A43" s="234" t="str">
        <x:v>notes_2026</x:v>
      </x:c>
      <x:c r="B43" s="321" t="n">
        <x:v>1632000000</x:v>
      </x:c>
      <x:c r="C43" s="245" t="str">
        <x:v>Notes due 2026</x:v>
      </x:c>
      <x:c r="D43" s="322"/>
      <x:c r="E43" s="244" t="d">
        <x:v>2025-12-31T00:00:00.000Z</x:v>
      </x:c>
      <x:c r="F43" s="245" t="str">
        <x:v>10-K</x:v>
      </x:c>
      <x:c r="G43" s="244" t="d">
        <x:v>2026-02-12T00:00:00.000Z</x:v>
      </x:c>
      <x:c r="H43" s="245" t="str">
        <x:v>0000059478-26-000013</x:v>
      </x:c>
      <x:c r="I43" s="245" t="str">
        <x:v>us-gaap:DebtInstrumentCarryingAmount</x:v>
      </x:c>
      <x:c r="J43" s="245" t="str">
        <x:v>c-297</x:v>
      </x:c>
      <x:c r="K43" s="323" t="n">
        <x:v>6</x:v>
      </x:c>
      <x:c r="L43" s="245" t="str">
        <x:v>-6</x:v>
      </x:c>
      <x:c r="M43" s="245" t="str">
        <x:v>https://www.sec.gov/Archives/edgar/data/59478/000005947826000013/lly-20251231.htm</x:v>
      </x:c>
      <x:c r="N43" s="245" t="str">
        <x:v>Note 11 p. 76</x:v>
      </x:c>
      <x:c r="O43" s="245" t="str">
        <x:v>Inline XBRL</x:v>
      </x:c>
      <x:c r="P43" s="245" t="str">
        <x:v>us-gaap:DebtInstrumentAxis = lly:NotesDue2026Member</x:v>
      </x:c>
      <x:c r="Q43" s="312" t="str"/>
      <x:c r="R43" s="305" t="str">
        <x:v>d45f8d1e0945df0b7b30254e96ff8c5dbd1df7d15b17c8ef7399c8e0206b7d7f</x:v>
      </x:c>
      <x:c r="S43" s="328"/>
      <x:c r="T43" s="329"/>
    </x:row>
    <x:row r="44" ht="85" customHeight="1">
      <x:c r="A44" s="234" t="str">
        <x:v>notes_2027</x:v>
      </x:c>
      <x:c r="B44" s="321" t="n">
        <x:v>2516000000</x:v>
      </x:c>
      <x:c r="C44" s="245" t="str">
        <x:v>Notes due 2027</x:v>
      </x:c>
      <x:c r="D44" s="322"/>
      <x:c r="E44" s="244" t="d">
        <x:v>2025-12-31T00:00:00.000Z</x:v>
      </x:c>
      <x:c r="F44" s="245" t="str">
        <x:v>10-K</x:v>
      </x:c>
      <x:c r="G44" s="244" t="d">
        <x:v>2026-02-12T00:00:00.000Z</x:v>
      </x:c>
      <x:c r="H44" s="245" t="str">
        <x:v>0000059478-26-000013</x:v>
      </x:c>
      <x:c r="I44" s="245" t="str">
        <x:v>us-gaap:DebtInstrumentCarryingAmount</x:v>
      </x:c>
      <x:c r="J44" s="245" t="str">
        <x:v>c-301</x:v>
      </x:c>
      <x:c r="K44" s="323" t="n">
        <x:v>6</x:v>
      </x:c>
      <x:c r="L44" s="245" t="str">
        <x:v>-6</x:v>
      </x:c>
      <x:c r="M44" s="245" t="str">
        <x:v>https://www.sec.gov/Archives/edgar/data/59478/000005947826000013/lly-20251231.htm</x:v>
      </x:c>
      <x:c r="N44" s="245" t="str">
        <x:v>Note 11 p. 76</x:v>
      </x:c>
      <x:c r="O44" s="245" t="str">
        <x:v>Inline XBRL</x:v>
      </x:c>
      <x:c r="P44" s="245" t="str">
        <x:v>us-gaap:DebtInstrumentAxis = lly:NotesDue2027Member</x:v>
      </x:c>
      <x:c r="Q44" s="312" t="str"/>
      <x:c r="R44" s="305" t="str">
        <x:v>d45f8d1e0945df0b7b30254e96ff8c5dbd1df7d15b17c8ef7399c8e0206b7d7f</x:v>
      </x:c>
      <x:c r="S44" s="328"/>
      <x:c r="T44" s="329"/>
    </x:row>
    <x:row r="45" ht="85" customHeight="1">
      <x:c r="A45" s="234" t="str">
        <x:v>notes_2028</x:v>
      </x:c>
      <x:c r="B45" s="321" t="n">
        <x:v>3256000000</x:v>
      </x:c>
      <x:c r="C45" s="245" t="str">
        <x:v>Notes due 2028</x:v>
      </x:c>
      <x:c r="D45" s="322"/>
      <x:c r="E45" s="244" t="d">
        <x:v>2025-12-31T00:00:00.000Z</x:v>
      </x:c>
      <x:c r="F45" s="245" t="str">
        <x:v>10-K</x:v>
      </x:c>
      <x:c r="G45" s="244" t="d">
        <x:v>2026-02-12T00:00:00.000Z</x:v>
      </x:c>
      <x:c r="H45" s="245" t="str">
        <x:v>0000059478-26-000013</x:v>
      </x:c>
      <x:c r="I45" s="245" t="str">
        <x:v>us-gaap:DebtInstrumentCarryingAmount</x:v>
      </x:c>
      <x:c r="J45" s="245" t="str">
        <x:v>c-305</x:v>
      </x:c>
      <x:c r="K45" s="323" t="n">
        <x:v>6</x:v>
      </x:c>
      <x:c r="L45" s="245" t="str">
        <x:v>-6</x:v>
      </x:c>
      <x:c r="M45" s="245" t="str">
        <x:v>https://www.sec.gov/Archives/edgar/data/59478/000005947826000013/lly-20251231.htm</x:v>
      </x:c>
      <x:c r="N45" s="245" t="str">
        <x:v>Note 11 p. 76</x:v>
      </x:c>
      <x:c r="O45" s="245" t="str">
        <x:v>Inline XBRL</x:v>
      </x:c>
      <x:c r="P45" s="245" t="str">
        <x:v>us-gaap:DebtInstrumentAxis = lly:NotesDue2028Member</x:v>
      </x:c>
      <x:c r="Q45" s="312" t="str"/>
      <x:c r="R45" s="305" t="str">
        <x:v>d45f8d1e0945df0b7b30254e96ff8c5dbd1df7d15b17c8ef7399c8e0206b7d7f</x:v>
      </x:c>
      <x:c r="S45" s="328"/>
      <x:c r="T45" s="329"/>
    </x:row>
    <x:row r="46" ht="85" customHeight="1">
      <x:c r="A46" s="234" t="str">
        <x:v>notes_2029</x:v>
      </x:c>
      <x:c r="B46" s="321" t="n">
        <x:v>3077000000</x:v>
      </x:c>
      <x:c r="C46" s="245" t="str">
        <x:v>Notes due 2029</x:v>
      </x:c>
      <x:c r="D46" s="322"/>
      <x:c r="E46" s="244" t="d">
        <x:v>2025-12-31T00:00:00.000Z</x:v>
      </x:c>
      <x:c r="F46" s="245" t="str">
        <x:v>10-K</x:v>
      </x:c>
      <x:c r="G46" s="244" t="d">
        <x:v>2026-02-12T00:00:00.000Z</x:v>
      </x:c>
      <x:c r="H46" s="245" t="str">
        <x:v>0000059478-26-000013</x:v>
      </x:c>
      <x:c r="I46" s="245" t="str">
        <x:v>us-gaap:DebtInstrumentCarryingAmount</x:v>
      </x:c>
      <x:c r="J46" s="245" t="str">
        <x:v>c-309</x:v>
      </x:c>
      <x:c r="K46" s="323" t="n">
        <x:v>6</x:v>
      </x:c>
      <x:c r="L46" s="245" t="str">
        <x:v>-6</x:v>
      </x:c>
      <x:c r="M46" s="245" t="str">
        <x:v>https://www.sec.gov/Archives/edgar/data/59478/000005947826000013/lly-20251231.htm</x:v>
      </x:c>
      <x:c r="N46" s="245" t="str">
        <x:v>Note 11 p. 76</x:v>
      </x:c>
      <x:c r="O46" s="245" t="str">
        <x:v>Inline XBRL</x:v>
      </x:c>
      <x:c r="P46" s="245" t="str">
        <x:v>us-gaap:DebtInstrumentAxis = lly:NotesDue2029Member</x:v>
      </x:c>
      <x:c r="Q46" s="312" t="str"/>
      <x:c r="R46" s="305" t="str">
        <x:v>d45f8d1e0945df0b7b30254e96ff8c5dbd1df7d15b17c8ef7399c8e0206b7d7f</x:v>
      </x:c>
      <x:c r="S46" s="328"/>
      <x:c r="T46" s="329"/>
    </x:row>
    <x:row r="47" ht="85" customHeight="1">
      <x:c r="A47" s="234" t="str">
        <x:v>notes_2030</x:v>
      </x:c>
      <x:c r="B47" s="321" t="n">
        <x:v>2132000000</x:v>
      </x:c>
      <x:c r="C47" s="245" t="str">
        <x:v>Notes due 2030</x:v>
      </x:c>
      <x:c r="D47" s="322"/>
      <x:c r="E47" s="244" t="d">
        <x:v>2025-12-31T00:00:00.000Z</x:v>
      </x:c>
      <x:c r="F47" s="245" t="str">
        <x:v>10-K</x:v>
      </x:c>
      <x:c r="G47" s="244" t="d">
        <x:v>2026-02-12T00:00:00.000Z</x:v>
      </x:c>
      <x:c r="H47" s="245" t="str">
        <x:v>0000059478-26-000013</x:v>
      </x:c>
      <x:c r="I47" s="245" t="str">
        <x:v>us-gaap:DebtInstrumentCarryingAmount</x:v>
      </x:c>
      <x:c r="J47" s="245" t="str">
        <x:v>c-313</x:v>
      </x:c>
      <x:c r="K47" s="323" t="n">
        <x:v>6</x:v>
      </x:c>
      <x:c r="L47" s="245" t="str">
        <x:v>-6</x:v>
      </x:c>
      <x:c r="M47" s="245" t="str">
        <x:v>https://www.sec.gov/Archives/edgar/data/59478/000005947826000013/lly-20251231.htm</x:v>
      </x:c>
      <x:c r="N47" s="245" t="str">
        <x:v>Note 11 p. 76</x:v>
      </x:c>
      <x:c r="O47" s="245" t="str">
        <x:v>Inline XBRL</x:v>
      </x:c>
      <x:c r="P47" s="245" t="str">
        <x:v>us-gaap:DebtInstrumentAxis = lly:NotesDue2030Member</x:v>
      </x:c>
      <x:c r="Q47" s="312" t="str"/>
      <x:c r="R47" s="305" t="str">
        <x:v>d45f8d1e0945df0b7b30254e96ff8c5dbd1df7d15b17c8ef7399c8e0206b7d7f</x:v>
      </x:c>
      <x:c r="S47" s="328"/>
      <x:c r="T47" s="329"/>
    </x:row>
    <x:row r="48" ht="85" customHeight="1">
      <x:c r="A48" s="234" t="str">
        <x:v>notes_20312040</x:v>
      </x:c>
      <x:c r="B48" s="321" t="n">
        <x:v>11582000000</x:v>
      </x:c>
      <x:c r="C48" s="245" t="str">
        <x:v>Notes due 2031–2040</x:v>
      </x:c>
      <x:c r="D48" s="322"/>
      <x:c r="E48" s="244" t="d">
        <x:v>2025-12-31T00:00:00.000Z</x:v>
      </x:c>
      <x:c r="F48" s="245" t="str">
        <x:v>10-K</x:v>
      </x:c>
      <x:c r="G48" s="244" t="d">
        <x:v>2026-02-12T00:00:00.000Z</x:v>
      </x:c>
      <x:c r="H48" s="245" t="str">
        <x:v>0000059478-26-000013</x:v>
      </x:c>
      <x:c r="I48" s="245" t="str">
        <x:v>us-gaap:DebtInstrumentCarryingAmount</x:v>
      </x:c>
      <x:c r="J48" s="245" t="str">
        <x:v>c-317</x:v>
      </x:c>
      <x:c r="K48" s="323" t="n">
        <x:v>6</x:v>
      </x:c>
      <x:c r="L48" s="245" t="str">
        <x:v>-6</x:v>
      </x:c>
      <x:c r="M48" s="245" t="str">
        <x:v>https://www.sec.gov/Archives/edgar/data/59478/000005947826000013/lly-20251231.htm</x:v>
      </x:c>
      <x:c r="N48" s="245" t="str">
        <x:v>Note 11 p. 76</x:v>
      </x:c>
      <x:c r="O48" s="245" t="str">
        <x:v>Inline XBRL</x:v>
      </x:c>
      <x:c r="P48" s="245" t="str">
        <x:v>us-gaap:DebtInstrumentAxis = lly:NotesDue20312040Member</x:v>
      </x:c>
      <x:c r="Q48" s="312" t="str"/>
      <x:c r="R48" s="305" t="str">
        <x:v>d45f8d1e0945df0b7b30254e96ff8c5dbd1df7d15b17c8ef7399c8e0206b7d7f</x:v>
      </x:c>
      <x:c r="S48" s="328"/>
      <x:c r="T48" s="329"/>
    </x:row>
    <x:row r="49" ht="85" customHeight="1">
      <x:c r="A49" s="234" t="str">
        <x:v>notes_20412050</x:v>
      </x:c>
      <x:c r="B49" s="321" t="n">
        <x:v>4543000000</x:v>
      </x:c>
      <x:c r="C49" s="245" t="str">
        <x:v>Notes due 2041–2050</x:v>
      </x:c>
      <x:c r="D49" s="322"/>
      <x:c r="E49" s="244" t="d">
        <x:v>2025-12-31T00:00:00.000Z</x:v>
      </x:c>
      <x:c r="F49" s="245" t="str">
        <x:v>10-K</x:v>
      </x:c>
      <x:c r="G49" s="244" t="d">
        <x:v>2026-02-12T00:00:00.000Z</x:v>
      </x:c>
      <x:c r="H49" s="245" t="str">
        <x:v>0000059478-26-000013</x:v>
      </x:c>
      <x:c r="I49" s="245" t="str">
        <x:v>us-gaap:DebtInstrumentCarryingAmount</x:v>
      </x:c>
      <x:c r="J49" s="245" t="str">
        <x:v>c-321</x:v>
      </x:c>
      <x:c r="K49" s="323" t="n">
        <x:v>6</x:v>
      </x:c>
      <x:c r="L49" s="245" t="str">
        <x:v>-6</x:v>
      </x:c>
      <x:c r="M49" s="245" t="str">
        <x:v>https://www.sec.gov/Archives/edgar/data/59478/000005947826000013/lly-20251231.htm</x:v>
      </x:c>
      <x:c r="N49" s="245" t="str">
        <x:v>Note 11 p. 76</x:v>
      </x:c>
      <x:c r="O49" s="245" t="str">
        <x:v>Inline XBRL</x:v>
      </x:c>
      <x:c r="P49" s="245" t="str">
        <x:v>us-gaap:DebtInstrumentAxis = lly:NotesDue20412050Member</x:v>
      </x:c>
      <x:c r="Q49" s="312" t="str"/>
      <x:c r="R49" s="305" t="str">
        <x:v>d45f8d1e0945df0b7b30254e96ff8c5dbd1df7d15b17c8ef7399c8e0206b7d7f</x:v>
      </x:c>
      <x:c r="S49" s="328"/>
      <x:c r="T49" s="329"/>
    </x:row>
    <x:row r="50" ht="85" customHeight="1">
      <x:c r="A50" s="234" t="str">
        <x:v>notes_20512060</x:v>
      </x:c>
      <x:c r="B50" s="321" t="n">
        <x:v>8280000000</x:v>
      </x:c>
      <x:c r="C50" s="245" t="str">
        <x:v>Notes due 2051–2060</x:v>
      </x:c>
      <x:c r="D50" s="322"/>
      <x:c r="E50" s="244" t="d">
        <x:v>2025-12-31T00:00:00.000Z</x:v>
      </x:c>
      <x:c r="F50" s="245" t="str">
        <x:v>10-K</x:v>
      </x:c>
      <x:c r="G50" s="244" t="d">
        <x:v>2026-02-12T00:00:00.000Z</x:v>
      </x:c>
      <x:c r="H50" s="245" t="str">
        <x:v>0000059478-26-000013</x:v>
      </x:c>
      <x:c r="I50" s="245" t="str">
        <x:v>us-gaap:DebtInstrumentCarryingAmount</x:v>
      </x:c>
      <x:c r="J50" s="245" t="str">
        <x:v>c-325</x:v>
      </x:c>
      <x:c r="K50" s="323" t="n">
        <x:v>6</x:v>
      </x:c>
      <x:c r="L50" s="245" t="str">
        <x:v>-6</x:v>
      </x:c>
      <x:c r="M50" s="245" t="str">
        <x:v>https://www.sec.gov/Archives/edgar/data/59478/000005947826000013/lly-20251231.htm</x:v>
      </x:c>
      <x:c r="N50" s="245" t="str">
        <x:v>Note 11 p. 76</x:v>
      </x:c>
      <x:c r="O50" s="245" t="str">
        <x:v>Inline XBRL</x:v>
      </x:c>
      <x:c r="P50" s="245" t="str">
        <x:v>us-gaap:DebtInstrumentAxis = lly:NotesDue20512060Member</x:v>
      </x:c>
      <x:c r="Q50" s="312" t="str"/>
      <x:c r="R50" s="305" t="str">
        <x:v>d45f8d1e0945df0b7b30254e96ff8c5dbd1df7d15b17c8ef7399c8e0206b7d7f</x:v>
      </x:c>
      <x:c r="S50" s="328"/>
      <x:c r="T50" s="329"/>
    </x:row>
    <x:row r="51" ht="85" customHeight="1">
      <x:c r="A51" s="234" t="str">
        <x:v>notes_20612070</x:v>
      </x:c>
      <x:c r="B51" s="321" t="n">
        <x:v>5824000000</x:v>
      </x:c>
      <x:c r="C51" s="245" t="str">
        <x:v>Notes due 2061–2070</x:v>
      </x:c>
      <x:c r="D51" s="322"/>
      <x:c r="E51" s="244" t="d">
        <x:v>2025-12-31T00:00:00.000Z</x:v>
      </x:c>
      <x:c r="F51" s="245" t="str">
        <x:v>10-K</x:v>
      </x:c>
      <x:c r="G51" s="244" t="d">
        <x:v>2026-02-12T00:00:00.000Z</x:v>
      </x:c>
      <x:c r="H51" s="245" t="str">
        <x:v>0000059478-26-000013</x:v>
      </x:c>
      <x:c r="I51" s="245" t="str">
        <x:v>us-gaap:DebtInstrumentCarryingAmount</x:v>
      </x:c>
      <x:c r="J51" s="245" t="str">
        <x:v>c-329</x:v>
      </x:c>
      <x:c r="K51" s="323" t="n">
        <x:v>6</x:v>
      </x:c>
      <x:c r="L51" s="245" t="str">
        <x:v>-6</x:v>
      </x:c>
      <x:c r="M51" s="245" t="str">
        <x:v>https://www.sec.gov/Archives/edgar/data/59478/000005947826000013/lly-20251231.htm</x:v>
      </x:c>
      <x:c r="N51" s="245" t="str">
        <x:v>Note 11 p. 76</x:v>
      </x:c>
      <x:c r="O51" s="245" t="str">
        <x:v>Inline XBRL</x:v>
      </x:c>
      <x:c r="P51" s="245" t="str">
        <x:v>us-gaap:DebtInstrumentAxis = lly:NotesDue20612070Member</x:v>
      </x:c>
      <x:c r="Q51" s="312" t="str"/>
      <x:c r="R51" s="305" t="str">
        <x:v>d45f8d1e0945df0b7b30254e96ff8c5dbd1df7d15b17c8ef7399c8e0206b7d7f</x:v>
      </x:c>
      <x:c r="S51" s="328"/>
      <x:c r="T51" s="329"/>
    </x:row>
    <x:row r="52" ht="85" customHeight="1">
      <x:c r="A52" s="234" t="str">
        <x:v>adjustment</x:v>
      </x:c>
      <x:c r="B52" s="321" t="n">
        <x:v>339000000</x:v>
      </x:c>
      <x:c r="C52" s="245" t="str">
        <x:v>Other long-term debt and adjustments (source magnitude)</x:v>
      </x:c>
      <x:c r="D52" s="322"/>
      <x:c r="E52" s="244" t="d">
        <x:v>2025-12-31T00:00:00.000Z</x:v>
      </x:c>
      <x:c r="F52" s="245" t="str">
        <x:v>10-K</x:v>
      </x:c>
      <x:c r="G52" s="244" t="d">
        <x:v>2026-02-12T00:00:00.000Z</x:v>
      </x:c>
      <x:c r="H52" s="245" t="str">
        <x:v>0000059478-26-000013</x:v>
      </x:c>
      <x:c r="I52" s="245" t="str">
        <x:v>us-gaap:OtherLongTermDebt</x:v>
      </x:c>
      <x:c r="J52" s="245" t="str">
        <x:v>c-16</x:v>
      </x:c>
      <x:c r="K52" s="323" t="n">
        <x:v>6</x:v>
      </x:c>
      <x:c r="L52" s="245" t="str">
        <x:v>-6</x:v>
      </x:c>
      <x:c r="M52" s="245" t="str">
        <x:v>https://www.sec.gov/Archives/edgar/data/59478/000005947826000013/lly-20251231.htm</x:v>
      </x:c>
      <x:c r="N52" s="245" t="str">
        <x:v>Note 11 p. 76</x:v>
      </x:c>
      <x:c r="O52" s="245" t="str">
        <x:v>Inline XBRL</x:v>
      </x:c>
      <x:c r="P52" s="245" t="str">
        <x:v>None (consolidated total)</x:v>
      </x:c>
      <x:c r="Q52" s="312" t="str"/>
      <x:c r="R52" s="305" t="str">
        <x:v>d45f8d1e0945df0b7b30254e96ff8c5dbd1df7d15b17c8ef7399c8e0206b7d7f</x:v>
      </x:c>
      <x:c r="S52" s="328"/>
      <x:c r="T52" s="329"/>
    </x:row>
    <x:row r="53" ht="85" customHeight="1">
      <x:c r="A53" s="234" t="str">
        <x:v>annual_cp</x:v>
      </x:c>
      <x:c r="B53" s="321" t="n">
        <x:v>0</x:v>
      </x:c>
      <x:c r="C53" s="245" t="str">
        <x:v>Commercial paper</x:v>
      </x:c>
      <x:c r="D53" s="322"/>
      <x:c r="E53" s="244" t="d">
        <x:v>2025-12-31T00:00:00.000Z</x:v>
      </x:c>
      <x:c r="F53" s="245" t="str">
        <x:v>10-K</x:v>
      </x:c>
      <x:c r="G53" s="244" t="d">
        <x:v>2026-02-12T00:00:00.000Z</x:v>
      </x:c>
      <x:c r="H53" s="245" t="str">
        <x:v>0000059478-26-000013</x:v>
      </x:c>
      <x:c r="I53" s="245" t="str">
        <x:v>us-gaap:CommercialPaper</x:v>
      </x:c>
      <x:c r="J53" s="245" t="str">
        <x:v>c-16</x:v>
      </x:c>
      <x:c r="K53" s="323" t="n">
        <x:v>6</x:v>
      </x:c>
      <x:c r="L53" s="245" t="str">
        <x:v>-6</x:v>
      </x:c>
      <x:c r="M53" s="245" t="str">
        <x:v>https://www.sec.gov/Archives/edgar/data/59478/000005947826000013/lly-20251231.htm</x:v>
      </x:c>
      <x:c r="N53" s="245" t="str">
        <x:v>Note 11 p. 76</x:v>
      </x:c>
      <x:c r="O53" s="245" t="str">
        <x:v>Inline XBRL</x:v>
      </x:c>
      <x:c r="P53" s="245" t="str">
        <x:v>None (consolidated total)</x:v>
      </x:c>
      <x:c r="Q53" s="312" t="str"/>
      <x:c r="R53" s="305" t="str">
        <x:v>d45f8d1e0945df0b7b30254e96ff8c5dbd1df7d15b17c8ef7399c8e0206b7d7f</x:v>
      </x:c>
      <x:c r="S53" s="328"/>
      <x:c r="T53" s="329"/>
    </x:row>
    <x:row r="54" ht="85" customHeight="1">
      <x:c r="A54" s="234" t="str">
        <x:v>annual_total</x:v>
      </x:c>
      <x:c r="B54" s="321" t="n">
        <x:v>42503000000</x:v>
      </x:c>
      <x:c r="C54" s="245" t="str">
        <x:v>Reported total debt</x:v>
      </x:c>
      <x:c r="D54" s="322"/>
      <x:c r="E54" s="244" t="d">
        <x:v>2025-12-31T00:00:00.000Z</x:v>
      </x:c>
      <x:c r="F54" s="245" t="str">
        <x:v>10-K</x:v>
      </x:c>
      <x:c r="G54" s="244" t="d">
        <x:v>2026-02-12T00:00:00.000Z</x:v>
      </x:c>
      <x:c r="H54" s="245" t="str">
        <x:v>0000059478-26-000013</x:v>
      </x:c>
      <x:c r="I54" s="245" t="str">
        <x:v>us-gaap:DebtLongtermAndShorttermCombinedAmount</x:v>
      </x:c>
      <x:c r="J54" s="245" t="str">
        <x:v>c-16</x:v>
      </x:c>
      <x:c r="K54" s="323" t="n">
        <x:v>6</x:v>
      </x:c>
      <x:c r="L54" s="245" t="str">
        <x:v>-6</x:v>
      </x:c>
      <x:c r="M54" s="245" t="str">
        <x:v>https://www.sec.gov/Archives/edgar/data/59478/000005947826000013/lly-20251231.htm</x:v>
      </x:c>
      <x:c r="N54" s="245" t="str">
        <x:v>Note 11 p. 76</x:v>
      </x:c>
      <x:c r="O54" s="245" t="str">
        <x:v>Inline XBRL</x:v>
      </x:c>
      <x:c r="P54" s="245" t="str">
        <x:v>None (consolidated total)</x:v>
      </x:c>
      <x:c r="Q54" s="312" t="str"/>
      <x:c r="R54" s="305" t="str">
        <x:v>d45f8d1e0945df0b7b30254e96ff8c5dbd1df7d15b17c8ef7399c8e0206b7d7f</x:v>
      </x:c>
      <x:c r="S54" s="328"/>
      <x:c r="T54" s="329"/>
    </x:row>
    <x:row r="55" ht="85" customHeight="1">
      <x:c r="A55" s="234" t="str">
        <x:v>annual_unused</x:v>
      </x:c>
      <x:c r="B55" s="321" t="n">
        <x:v>10100000000</x:v>
      </x:c>
      <x:c r="C55" s="245" t="str">
        <x:v>Unused facilities at December 31</x:v>
      </x:c>
      <x:c r="D55" s="322"/>
      <x:c r="E55" s="244" t="d">
        <x:v>2025-12-31T00:00:00.000Z</x:v>
      </x:c>
      <x:c r="F55" s="245" t="str">
        <x:v>10-K</x:v>
      </x:c>
      <x:c r="G55" s="244" t="d">
        <x:v>2026-02-12T00:00:00.000Z</x:v>
      </x:c>
      <x:c r="H55" s="245" t="str">
        <x:v>0000059478-26-000013</x:v>
      </x:c>
      <x:c r="I55" s="245" t="str">
        <x:v>us-gaap:LineOfCreditFacilityRemainingBorrowingCapacity</x:v>
      </x:c>
      <x:c r="J55" s="245" t="str">
        <x:v>c-16</x:v>
      </x:c>
      <x:c r="K55" s="323" t="n">
        <x:v>9</x:v>
      </x:c>
      <x:c r="L55" s="245" t="str">
        <x:v>-8</x:v>
      </x:c>
      <x:c r="M55" s="245" t="str">
        <x:v>https://www.sec.gov/Archives/edgar/data/59478/000005947826000013/lly-20251231.htm</x:v>
      </x:c>
      <x:c r="N55" s="245" t="str">
        <x:v>Note 11 p. 76</x:v>
      </x:c>
      <x:c r="O55" s="245" t="str">
        <x:v>Inline XBRL</x:v>
      </x:c>
      <x:c r="P55" s="245" t="str">
        <x:v>None (consolidated total)</x:v>
      </x:c>
      <x:c r="Q55" s="312" t="str"/>
      <x:c r="R55" s="305" t="str">
        <x:v>d45f8d1e0945df0b7b30254e96ff8c5dbd1df7d15b17c8ef7399c8e0206b7d7f</x:v>
      </x:c>
      <x:c r="S55" s="328"/>
      <x:c r="T55" s="329"/>
    </x:row>
    <x:row r="56" ht="85" customHeight="1">
      <x:c r="A56" s="234" t="str">
        <x:v>facility_2026</x:v>
      </x:c>
      <x:c r="B56" s="321" t="n">
        <x:v>6000000000</x:v>
      </x:c>
      <x:c r="C56" s="245" t="str">
        <x:v>364-day facility expires August 2026</x:v>
      </x:c>
      <x:c r="D56" s="322"/>
      <x:c r="E56" s="244" t="d">
        <x:v>2025-12-31T00:00:00.000Z</x:v>
      </x:c>
      <x:c r="F56" s="245" t="str">
        <x:v>10-K</x:v>
      </x:c>
      <x:c r="G56" s="244" t="d">
        <x:v>2026-02-12T00:00:00.000Z</x:v>
      </x:c>
      <x:c r="H56" s="245" t="str">
        <x:v>0000059478-26-000013</x:v>
      </x:c>
      <x:c r="I56" s="245" t="str">
        <x:v>us-gaap:LineOfCreditFacilityMaximumBorrowingCapacity</x:v>
      </x:c>
      <x:c r="J56" s="245" t="str">
        <x:v>c-334</x:v>
      </x:c>
      <x:c r="K56" s="323" t="n">
        <x:v>9</x:v>
      </x:c>
      <x:c r="L56" s="245" t="str">
        <x:v>INF</x:v>
      </x:c>
      <x:c r="M56" s="245" t="str">
        <x:v>https://www.sec.gov/Archives/edgar/data/59478/000005947826000013/lly-20251231.htm</x:v>
      </x:c>
      <x:c r="N56" s="245" t="str">
        <x:v>Note 11 p. 76; MD&amp;A p. 51</x:v>
      </x:c>
      <x:c r="O56" s="245" t="str">
        <x:v>Inline XBRL</x:v>
      </x:c>
      <x:c r="P56" s="245" t="str">
        <x:v>us-gaap:DebtInstrumentRedemptionPeriodAxis = lly:MaturityDate2026Member</x:v>
      </x:c>
      <x:c r="Q56" s="312" t="str"/>
      <x:c r="R56" s="305" t="str">
        <x:v>d45f8d1e0945df0b7b30254e96ff8c5dbd1df7d15b17c8ef7399c8e0206b7d7f</x:v>
      </x:c>
      <x:c r="S56" s="328"/>
      <x:c r="T56" s="329"/>
    </x:row>
    <x:row r="57" ht="85" customHeight="1">
      <x:c r="A57" s="234" t="str">
        <x:v>facility_2029</x:v>
      </x:c>
      <x:c r="B57" s="321" t="n">
        <x:v>4000000000</x:v>
      </x:c>
      <x:c r="C57" s="245" t="str">
        <x:v>Facility expires December 2029</x:v>
      </x:c>
      <x:c r="D57" s="322"/>
      <x:c r="E57" s="244" t="d">
        <x:v>2025-12-31T00:00:00.000Z</x:v>
      </x:c>
      <x:c r="F57" s="245" t="str">
        <x:v>10-K</x:v>
      </x:c>
      <x:c r="G57" s="244" t="d">
        <x:v>2026-02-12T00:00:00.000Z</x:v>
      </x:c>
      <x:c r="H57" s="245" t="str">
        <x:v>0000059478-26-000013</x:v>
      </x:c>
      <x:c r="I57" s="245" t="str">
        <x:v>us-gaap:LineOfCreditFacilityMaximumBorrowingCapacity</x:v>
      </x:c>
      <x:c r="J57" s="245" t="str">
        <x:v>c-333</x:v>
      </x:c>
      <x:c r="K57" s="323" t="n">
        <x:v>9</x:v>
      </x:c>
      <x:c r="L57" s="245" t="str">
        <x:v>INF</x:v>
      </x:c>
      <x:c r="M57" s="245" t="str">
        <x:v>https://www.sec.gov/Archives/edgar/data/59478/000005947826000013/lly-20251231.htm</x:v>
      </x:c>
      <x:c r="N57" s="245" t="str">
        <x:v>Note 11 p. 76; MD&amp;A p. 51</x:v>
      </x:c>
      <x:c r="O57" s="245" t="str">
        <x:v>Inline XBRL</x:v>
      </x:c>
      <x:c r="P57" s="245" t="str">
        <x:v>us-gaap:DebtInstrumentRedemptionPeriodAxis = lly:MaturityDateDecember2029Member</x:v>
      </x:c>
      <x:c r="Q57" s="312" t="str"/>
      <x:c r="R57" s="305" t="str">
        <x:v>d45f8d1e0945df0b7b30254e96ff8c5dbd1df7d15b17c8ef7399c8e0206b7d7f</x:v>
      </x:c>
      <x:c r="S57" s="328"/>
      <x:c r="T57" s="329"/>
    </x:row>
    <x:row r="58" ht="85" customHeight="1">
      <x:c r="A58" s="234" t="str">
        <x:v>unused_june</x:v>
      </x:c>
      <x:c r="B58" s="321" t="n">
        <x:v>10100000000</x:v>
      </x:c>
      <x:c r="C58" s="245" t="str">
        <x:v>Unused committed facilities</x:v>
      </x:c>
      <x:c r="D58" s="322"/>
      <x:c r="E58" s="244" t="d">
        <x:v>2026-06-30T00:00:00.000Z</x:v>
      </x:c>
      <x:c r="F58" s="245" t="str">
        <x:v>10-Q</x:v>
      </x:c>
      <x:c r="G58" s="244" t="d">
        <x:v>2026-08-05T00:00:00.000Z</x:v>
      </x:c>
      <x:c r="H58" s="245" t="str">
        <x:v>0000059478-26-000081</x:v>
      </x:c>
      <x:c r="I58" s="312"/>
      <x:c r="J58" s="312"/>
      <x:c r="K58" s="312"/>
      <x:c r="L58" s="312"/>
      <x:c r="M58" s="245" t="str">
        <x:v>https://www.sec.gov/Archives/edgar/data/59478/000005947826000081/lly-20260630.htm</x:v>
      </x:c>
      <x:c r="N58" s="245" t="str">
        <x:v>MD&amp;A p. 31</x:v>
      </x:c>
      <x:c r="O58" s="245" t="str">
        <x:v>Reviewed filing text</x:v>
      </x:c>
      <x:c r="P58" s="245" t="str">
        <x:v>None (consolidated total)</x:v>
      </x:c>
      <x:c r="Q58" s="245" t="str">
        <x:v>Of this, $10B supports commercial paper. Not cash or verified drawable credit; do not add CP capacity again. Agreement conditions and facility-by-facility June composition are Unavailable.</x:v>
      </x:c>
      <x:c r="R58" s="305" t="str">
        <x:v>8e8f10cf3af98bc12a41985a98cfde9c2b9da8a812af18515d34ce3d8e1c1b3d</x:v>
      </x:c>
      <x:c r="S58" s="328"/>
      <x:c r="T58" s="329"/>
    </x:row>
    <x:row r="59" ht="85" customHeight="1">
      <x:c r="A59" s="234" t="str">
        <x:v>cp_support</x:v>
      </x:c>
      <x:c r="B59" s="321" t="n">
        <x:v>10000000000</x:v>
      </x:c>
      <x:c r="C59" s="245" t="str">
        <x:v>Facilities supporting commercial paper</x:v>
      </x:c>
      <x:c r="D59" s="322"/>
      <x:c r="E59" s="244" t="d">
        <x:v>2026-06-30T00:00:00.000Z</x:v>
      </x:c>
      <x:c r="F59" s="245" t="str">
        <x:v>10-Q</x:v>
      </x:c>
      <x:c r="G59" s="244" t="d">
        <x:v>2026-08-05T00:00:00.000Z</x:v>
      </x:c>
      <x:c r="H59" s="245" t="str">
        <x:v>0000059478-26-000081</x:v>
      </x:c>
      <x:c r="I59" s="312"/>
      <x:c r="J59" s="312"/>
      <x:c r="K59" s="312"/>
      <x:c r="L59" s="312"/>
      <x:c r="M59" s="245" t="str">
        <x:v>https://www.sec.gov/Archives/edgar/data/59478/000005947826000081/lly-20260630.htm</x:v>
      </x:c>
      <x:c r="N59" s="245" t="str">
        <x:v>MD&amp;A p. 31</x:v>
      </x:c>
      <x:c r="O59" s="245" t="str">
        <x:v>Reviewed filing text</x:v>
      </x:c>
      <x:c r="P59" s="245" t="str">
        <x:v>None (consolidated total)</x:v>
      </x:c>
      <x:c r="Q59" s="245" t="str">
        <x:v>Included in the $10.1B; not another source of funds.</x:v>
      </x:c>
      <x:c r="R59" s="305" t="str">
        <x:v>8e8f10cf3af98bc12a41985a98cfde9c2b9da8a812af18515d34ce3d8e1c1b3d</x:v>
      </x:c>
      <x:c r="S59" s="328"/>
      <x:c r="T59" s="329"/>
    </x:row>
    <x:row r="60" ht="85" customHeight="1">
      <x:c r="A60" s="234" t="str">
        <x:v>atai</x:v>
      </x:c>
      <x:c r="B60" s="321" t="n">
        <x:v>2800000000</x:v>
      </x:c>
      <x:c r="C60" s="245" t="str">
        <x:v>Pending AtaiBeckley acquisition</x:v>
      </x:c>
      <x:c r="D60" s="322"/>
      <x:c r="E60" s="244" t="str">
        <x:v>Disclosed August 5, 2026</x:v>
      </x:c>
      <x:c r="F60" s="245" t="str">
        <x:v>10-Q</x:v>
      </x:c>
      <x:c r="G60" s="244" t="d">
        <x:v>2026-08-05T00:00:00.000Z</x:v>
      </x:c>
      <x:c r="H60" s="245" t="str">
        <x:v>0000059478-26-000081</x:v>
      </x:c>
      <x:c r="I60" s="312"/>
      <x:c r="J60" s="312"/>
      <x:c r="K60" s="312"/>
      <x:c r="L60" s="312"/>
      <x:c r="M60" s="245" t="str">
        <x:v>https://www.sec.gov/Archives/edgar/data/59478/000005947826000081/lly-20260630.htm</x:v>
      </x:c>
      <x:c r="N60" s="245" t="str">
        <x:v>MD&amp;A p. 31</x:v>
      </x:c>
      <x:c r="O60" s="245" t="str">
        <x:v>Reviewed filing text</x:v>
      </x:c>
      <x:c r="P60" s="245" t="str">
        <x:v>None (consolidated total)</x:v>
      </x:c>
      <x:c r="Q60" s="245" t="str">
        <x:v>Payable at closing, subject to conditions. Disclosed after quarter end; closing date, completion and funding allocation are not established here.</x:v>
      </x:c>
      <x:c r="R60" s="305" t="str">
        <x:v>8e8f10cf3af98bc12a41985a98cfde9c2b9da8a812af18515d34ce3d8e1c1b3d</x:v>
      </x:c>
      <x:c r="S60" s="328"/>
      <x:c r="T60" s="329"/>
    </x:row>
    <x:row r="61" ht="85" customHeight="1">
      <x:c r="A61" s="234" t="str">
        <x:v>unpaid_kelonia</x:v>
      </x:c>
      <x:c r="B61" s="321" t="n">
        <x:v>208000000</x:v>
      </x:c>
      <x:c r="C61" s="245" t="str">
        <x:v>Unpaid Kelonia cash consideration</x:v>
      </x:c>
      <x:c r="D61" s="322"/>
      <x:c r="E61" s="244" t="d">
        <x:v>2026-06-30T00:00:00.000Z</x:v>
      </x:c>
      <x:c r="F61" s="245" t="str">
        <x:v>10-Q</x:v>
      </x:c>
      <x:c r="G61" s="244" t="d">
        <x:v>2026-08-05T00:00:00.000Z</x:v>
      </x:c>
      <x:c r="H61" s="245" t="str">
        <x:v>0000059478-26-000081</x:v>
      </x:c>
      <x:c r="I61" s="312"/>
      <x:c r="J61" s="312"/>
      <x:c r="K61" s="312"/>
      <x:c r="L61" s="312"/>
      <x:c r="M61" s="245" t="str">
        <x:v>https://www.sec.gov/Archives/edgar/data/59478/000005947826000081/lly-20260630.htm</x:v>
      </x:c>
      <x:c r="N61" s="245" t="str">
        <x:v>Note 4 p. 13</x:v>
      </x:c>
      <x:c r="O61" s="245" t="str">
        <x:v>Reviewed filing text</x:v>
      </x:c>
      <x:c r="P61" s="245" t="str">
        <x:v>None (consolidated total)</x:v>
      </x:c>
      <x:c r="Q61" s="245" t="str">
        <x:v>Payment date Unavailable. Separate from cash already paid and from contingent-consideration fair value.</x:v>
      </x:c>
      <x:c r="R61" s="305" t="str">
        <x:v>8e8f10cf3af98bc12a41985a98cfde9c2b9da8a812af18515d34ce3d8e1c1b3d</x:v>
      </x:c>
      <x:c r="S61" s="328"/>
      <x:c r="T61" s="329"/>
    </x:row>
    <x:row r="62" ht="85" customHeight="1">
      <x:c r="A62" s="234" t="str">
        <x:v>unpaid_centessa</x:v>
      </x:c>
      <x:c r="B62" s="321" t="n">
        <x:v>88000000</x:v>
      </x:c>
      <x:c r="C62" s="245" t="str">
        <x:v>Unpaid Centessa cash consideration</x:v>
      </x:c>
      <x:c r="D62" s="322"/>
      <x:c r="E62" s="244" t="d">
        <x:v>2026-06-30T00:00:00.000Z</x:v>
      </x:c>
      <x:c r="F62" s="245" t="str">
        <x:v>10-Q</x:v>
      </x:c>
      <x:c r="G62" s="244" t="d">
        <x:v>2026-08-05T00:00:00.000Z</x:v>
      </x:c>
      <x:c r="H62" s="245" t="str">
        <x:v>0000059478-26-000081</x:v>
      </x:c>
      <x:c r="I62" s="312"/>
      <x:c r="J62" s="312"/>
      <x:c r="K62" s="312"/>
      <x:c r="L62" s="312"/>
      <x:c r="M62" s="245" t="str">
        <x:v>https://www.sec.gov/Archives/edgar/data/59478/000005947826000081/lly-20260630.htm</x:v>
      </x:c>
      <x:c r="N62" s="245" t="str">
        <x:v>Note 4 p. 13</x:v>
      </x:c>
      <x:c r="O62" s="245" t="str">
        <x:v>Reviewed filing text</x:v>
      </x:c>
      <x:c r="P62" s="245" t="str">
        <x:v>None (consolidated total)</x:v>
      </x:c>
      <x:c r="Q62" s="245" t="str">
        <x:v>Payment date Unavailable. Do not add to paid acquisition cash or contingent-consideration fair value.</x:v>
      </x:c>
      <x:c r="R62" s="305" t="str">
        <x:v>8e8f10cf3af98bc12a41985a98cfde9c2b9da8a812af18515d34ce3d8e1c1b3d</x:v>
      </x:c>
      <x:c r="S62" s="328"/>
      <x:c r="T62" s="329"/>
    </x:row>
    <x:row r="63" ht="85" customHeight="1">
      <x:c r="A63" s="234" t="str">
        <x:v>july_paid</x:v>
      </x:c>
      <x:c r="B63" s="321" t="n">
        <x:v>2000000000</x:v>
      </x:c>
      <x:c r="C63" s="245" t="str">
        <x:v>July infectious-disease acquisitions: cash paid</x:v>
      </x:c>
      <x:c r="D63" s="322"/>
      <x:c r="E63" s="244" t="str">
        <x:v>July 2026</x:v>
      </x:c>
      <x:c r="F63" s="245" t="str">
        <x:v>10-Q</x:v>
      </x:c>
      <x:c r="G63" s="244" t="d">
        <x:v>2026-08-05T00:00:00.000Z</x:v>
      </x:c>
      <x:c r="H63" s="245" t="str">
        <x:v>0000059478-26-000081</x:v>
      </x:c>
      <x:c r="I63" s="312"/>
      <x:c r="J63" s="312"/>
      <x:c r="K63" s="312"/>
      <x:c r="L63" s="312"/>
      <x:c r="M63" s="245" t="str">
        <x:v>https://www.sec.gov/Archives/edgar/data/59478/000005947826000081/lly-20260630.htm</x:v>
      </x:c>
      <x:c r="N63" s="245" t="str">
        <x:v>MD&amp;A p. 31; Note 4 pp. 13–14</x:v>
      </x:c>
      <x:c r="O63" s="245" t="str">
        <x:v>Reviewed filing text</x:v>
      </x:c>
      <x:c r="P63" s="245" t="str">
        <x:v>None (consolidated total)</x:v>
      </x:c>
      <x:c r="Q63" s="245" t="str">
        <x:v>Already paid after June. Other July cash flows are unknown; June cash less this payment is not a current cash balance.</x:v>
      </x:c>
      <x:c r="R63" s="305" t="str">
        <x:v>8e8f10cf3af98bc12a41985a98cfde9c2b9da8a812af18515d34ce3d8e1c1b3d</x:v>
      </x:c>
      <x:c r="S63" s="328"/>
      <x:c r="T63" s="329"/>
    </x:row>
    <x:row r="64" ht="85" customHeight="1">
      <x:c r="A64" s="234" t="str">
        <x:v>july_ceiling</x:v>
      </x:c>
      <x:c r="B64" s="321" t="n">
        <x:v>3900000000</x:v>
      </x:c>
      <x:c r="C64" s="245" t="str">
        <x:v>July acquisitions: aggregate consideration up to</x:v>
      </x:c>
      <x:c r="D64" s="322"/>
      <x:c r="E64" s="244" t="str">
        <x:v>July 2026</x:v>
      </x:c>
      <x:c r="F64" s="245" t="str">
        <x:v>10-Q</x:v>
      </x:c>
      <x:c r="G64" s="244" t="d">
        <x:v>2026-08-05T00:00:00.000Z</x:v>
      </x:c>
      <x:c r="H64" s="245" t="str">
        <x:v>0000059478-26-000081</x:v>
      </x:c>
      <x:c r="I64" s="312"/>
      <x:c r="J64" s="312"/>
      <x:c r="K64" s="312"/>
      <x:c r="L64" s="312"/>
      <x:c r="M64" s="245" t="str">
        <x:v>https://www.sec.gov/Archives/edgar/data/59478/000005947826000081/lly-20260630.htm</x:v>
      </x:c>
      <x:c r="N64" s="245" t="str">
        <x:v>Note 4 pp. 13–14</x:v>
      </x:c>
      <x:c r="O64" s="245" t="str">
        <x:v>Reviewed filing text</x:v>
      </x:c>
      <x:c r="P64" s="245" t="str">
        <x:v>None (consolidated total)</x:v>
      </x:c>
      <x:c r="Q64" s="245" t="str">
        <x:v>Includes upfront cash and potential clinical, regulatory and commercial milestones. Includes the approximately $2B paid; do not add the two amounts or infer a precise remaining cash bill.</x:v>
      </x:c>
      <x:c r="R64" s="305" t="str">
        <x:v>8e8f10cf3af98bc12a41985a98cfde9c2b9da8a812af18515d34ce3d8e1c1b3d</x:v>
      </x:c>
      <x:c r="S64" s="328"/>
      <x:c r="T64" s="329"/>
    </x:row>
    <x:row r="65" ht="85" customHeight="1">
      <x:c r="A65" s="234" t="str">
        <x:v>vc</x:v>
      </x:c>
      <x:c r="B65" s="321" t="n">
        <x:v>806000000</x:v>
      </x:c>
      <x:c r="C65" s="245" t="str">
        <x:v>Unfunded venture fund commitments</x:v>
      </x:c>
      <x:c r="D65" s="322"/>
      <x:c r="E65" s="244" t="d">
        <x:v>2026-06-30T00:00:00.000Z</x:v>
      </x:c>
      <x:c r="F65" s="245" t="str">
        <x:v>10-Q</x:v>
      </x:c>
      <x:c r="G65" s="244" t="d">
        <x:v>2026-08-05T00:00:00.000Z</x:v>
      </x:c>
      <x:c r="H65" s="245" t="str">
        <x:v>0000059478-26-000081</x:v>
      </x:c>
      <x:c r="I65" s="312"/>
      <x:c r="J65" s="312"/>
      <x:c r="K65" s="312"/>
      <x:c r="L65" s="312"/>
      <x:c r="M65" s="245" t="str">
        <x:v>https://www.sec.gov/Archives/edgar/data/59478/000005947826000081/lly-20260630.htm</x:v>
      </x:c>
      <x:c r="N65" s="245" t="str">
        <x:v>MD&amp;A p. 31</x:v>
      </x:c>
      <x:c r="O65" s="245" t="str">
        <x:v>Reviewed filing text</x:v>
      </x:c>
      <x:c r="P65" s="245" t="str">
        <x:v>None (consolidated total)</x:v>
      </x:c>
      <x:c r="Q65" s="245" t="str">
        <x:v>Expected to be paid over up to ten years. Individual capital-call dates are Unavailable.</x:v>
      </x:c>
      <x:c r="R65" s="305" t="str">
        <x:v>8e8f10cf3af98bc12a41985a98cfde9c2b9da8a812af18515d34ce3d8e1c1b3d</x:v>
      </x:c>
      <x:c r="S65" s="328"/>
      <x:c r="T65" s="329"/>
    </x:row>
    <x:row r="66" ht="85" customHeight="1">
      <x:c r="A66" s="234" t="str">
        <x:v>manufacturing</x:v>
      </x:c>
      <x:c r="B66" s="321" t="n">
        <x:v>10000000000</x:v>
      </x:c>
      <x:c r="C66" s="245" t="str">
        <x:v>Development-medicine supply arrangements: up to</x:v>
      </x:c>
      <x:c r="D66" s="322"/>
      <x:c r="E66" s="244" t="d">
        <x:v>2025-12-31T00:00:00.000Z</x:v>
      </x:c>
      <x:c r="F66" s="245" t="str">
        <x:v>10-K</x:v>
      </x:c>
      <x:c r="G66" s="244" t="d">
        <x:v>2026-02-12T00:00:00.000Z</x:v>
      </x:c>
      <x:c r="H66" s="245" t="str">
        <x:v>0000059478-26-000013</x:v>
      </x:c>
      <x:c r="I66" s="312"/>
      <x:c r="J66" s="312"/>
      <x:c r="K66" s="312"/>
      <x:c r="L66" s="312"/>
      <x:c r="M66" s="245" t="str">
        <x:v>https://www.sec.gov/Archives/edgar/data/59478/000005947826000013/lly-20251231.htm</x:v>
      </x:c>
      <x:c r="N66" s="245" t="str">
        <x:v>MD&amp;A p. 51</x:v>
      </x:c>
      <x:c r="O66" s="245" t="str">
        <x:v>Reviewed filing text</x:v>
      </x:c>
      <x:c r="P66" s="245" t="str">
        <x:v>None (consolidated total)</x:v>
      </x:c>
      <x:c r="Q66" s="245" t="str">
        <x:v>Payments if specified purchases are not met under executed manufacturing and supply agreements; durations generally up to eight years. Not an unconditional $10B bill. Updated June ceiling, annual payments and overlap with other spending are Unavailable.</x:v>
      </x:c>
      <x:c r="R66" s="305" t="str">
        <x:v>d45f8d1e0945df0b7b30254e96ff8c5dbd1df7d15b17c8ef7399c8e0206b7d7f</x:v>
      </x:c>
      <x:c r="S66" s="328"/>
      <x:c r="T66" s="329"/>
    </x:row>
    <x:row r="67" ht="85" customHeight="1">
      <x:c r="A67" s="234" t="str">
        <x:v>indiana</x:v>
      </x:c>
      <x:c r="B67" s="321" t="n">
        <x:v>4500000000</x:v>
      </x:c>
      <x:c r="C67" s="245" t="str">
        <x:v>Additional Indiana manufacturing investment</x:v>
      </x:c>
      <x:c r="D67" s="322"/>
      <x:c r="E67" s="244" t="str">
        <x:v>Announced August 5, 2026</x:v>
      </x:c>
      <x:c r="F67" s="245" t="str">
        <x:v>8-K Ex. 99.1</x:v>
      </x:c>
      <x:c r="G67" s="244" t="d">
        <x:v>2026-08-05T00:00:00.000Z</x:v>
      </x:c>
      <x:c r="H67" s="245" t="str">
        <x:v>0000059478-26-000077</x:v>
      </x:c>
      <x:c r="I67" s="312"/>
      <x:c r="J67" s="312"/>
      <x:c r="K67" s="312"/>
      <x:c r="L67" s="312"/>
      <x:c r="M67" s="245" t="str">
        <x:v>https://www.sec.gov/Archives/edgar/data/59478/000005947826000077/q226lillysalesandearningsp.htm</x:v>
      </x:c>
      <x:c r="N67" s="245" t="str">
        <x:v>Highlights; Other announcements</x:v>
      </x:c>
      <x:c r="O67" s="245" t="str">
        <x:v>Reviewed filing text</x:v>
      </x:c>
      <x:c r="P67" s="245" t="str">
        <x:v>None (consolidated total)</x:v>
      </x:c>
      <x:c r="Q67" s="245" t="str">
        <x:v>Release says committed an additional $4.5B. Contractual payment schedule, spending to date and overlap with capex or supply commitments are not established by this release. Not added to debt or the $10B ceiling.</x:v>
      </x:c>
      <x:c r="R67" s="305" t="str">
        <x:v>5397056cb6aebc1496e22de6f9c8b062b11ff0c7f5ee30428e3f68fc8aea748a</x:v>
      </x:c>
      <x:c r="S67" s="328"/>
      <x:c r="T67" s="329"/>
    </x:row>
    <x:row r="68" ht="85" customHeight="1">
      <x:c r="A68" s="234" t="str">
        <x:v>coverage_fy_revenue</x:v>
      </x:c>
      <x:c r="B68" s="321" t="n">
        <x:v>65179000000</x:v>
      </x:c>
      <x:c r="C68" s="245" t="str">
        <x:v>fy revenue</x:v>
      </x:c>
      <x:c r="D68" s="244" t="d">
        <x:v>2025-01-01T00:00:00.000Z</x:v>
      </x:c>
      <x:c r="E68" s="244" t="d">
        <x:v>2025-12-31T00:00:00.000Z</x:v>
      </x:c>
      <x:c r="F68" s="245" t="str">
        <x:v>10-K</x:v>
      </x:c>
      <x:c r="G68" s="244" t="d">
        <x:v>2026-02-12T00:00:00.000Z</x:v>
      </x:c>
      <x:c r="H68" s="245" t="str">
        <x:v>0000059478-26-000013</x:v>
      </x:c>
      <x:c r="I68" s="245" t="str">
        <x:v>us-gaap:Revenues</x:v>
      </x:c>
      <x:c r="J68" s="245" t="str">
        <x:v>c-1</x:v>
      </x:c>
      <x:c r="K68" s="323" t="n">
        <x:v>6</x:v>
      </x:c>
      <x:c r="L68" s="245" t="str">
        <x:v>-6</x:v>
      </x:c>
      <x:c r="M68" s="245" t="str">
        <x:v>https://www.sec.gov/Archives/edgar/data/59478/000005947826000013/lly-20251231.htm</x:v>
      </x:c>
      <x:c r="N68" s="245" t="str">
        <x:v>Consolidated operations p. 57</x:v>
      </x:c>
      <x:c r="O68" s="245" t="str">
        <x:v>Inline XBRL</x:v>
      </x:c>
      <x:c r="P68" s="245" t="str">
        <x:v>None (consolidated total)</x:v>
      </x:c>
      <x:c r="Q68" s="245" t="str">
        <x:v>Exact tag, duration, USD and Lilly CIK; no dimensions; consolidated operations table only</x:v>
      </x:c>
      <x:c r="R68" s="305" t="str">
        <x:v>d45f8d1e0945df0b7b30254e96ff8c5dbd1df7d15b17c8ef7399c8e0206b7d7f</x:v>
      </x:c>
      <x:c r="S68" s="328"/>
      <x:c r="T68" s="329"/>
    </x:row>
    <x:row r="69" ht="85" customHeight="1">
      <x:c r="A69" s="234" t="str">
        <x:v>coverage_fy_cost_sales</x:v>
      </x:c>
      <x:c r="B69" s="321" t="n">
        <x:v>11052000000</x:v>
      </x:c>
      <x:c r="C69" s="245" t="str">
        <x:v>fy cost_sales</x:v>
      </x:c>
      <x:c r="D69" s="244" t="d">
        <x:v>2025-01-01T00:00:00.000Z</x:v>
      </x:c>
      <x:c r="E69" s="244" t="d">
        <x:v>2025-12-31T00:00:00.000Z</x:v>
      </x:c>
      <x:c r="F69" s="245" t="str">
        <x:v>10-K</x:v>
      </x:c>
      <x:c r="G69" s="244" t="d">
        <x:v>2026-02-12T00:00:00.000Z</x:v>
      </x:c>
      <x:c r="H69" s="245" t="str">
        <x:v>0000059478-26-000013</x:v>
      </x:c>
      <x:c r="I69" s="245" t="str">
        <x:v>us-gaap:CostOfGoodsAndServicesSold</x:v>
      </x:c>
      <x:c r="J69" s="245" t="str">
        <x:v>c-1</x:v>
      </x:c>
      <x:c r="K69" s="323" t="n">
        <x:v>6</x:v>
      </x:c>
      <x:c r="L69" s="245" t="str">
        <x:v>-6</x:v>
      </x:c>
      <x:c r="M69" s="245" t="str">
        <x:v>https://www.sec.gov/Archives/edgar/data/59478/000005947826000013/lly-20251231.htm</x:v>
      </x:c>
      <x:c r="N69" s="245" t="str">
        <x:v>Consolidated operations p. 57</x:v>
      </x:c>
      <x:c r="O69" s="245" t="str">
        <x:v>Inline XBRL</x:v>
      </x:c>
      <x:c r="P69" s="245" t="str">
        <x:v>None (consolidated total)</x:v>
      </x:c>
      <x:c r="Q69" s="245" t="str">
        <x:v>Exact tag, duration, USD and Lilly CIK; no dimensions; consolidated operations table only</x:v>
      </x:c>
      <x:c r="R69" s="305" t="str">
        <x:v>d45f8d1e0945df0b7b30254e96ff8c5dbd1df7d15b17c8ef7399c8e0206b7d7f</x:v>
      </x:c>
      <x:c r="S69" s="328"/>
      <x:c r="T69" s="329"/>
    </x:row>
    <x:row r="70" ht="85" customHeight="1">
      <x:c r="A70" s="234" t="str">
        <x:v>coverage_fy_rd</x:v>
      </x:c>
      <x:c r="B70" s="321" t="n">
        <x:v>13337000000</x:v>
      </x:c>
      <x:c r="C70" s="245" t="str">
        <x:v>fy rd</x:v>
      </x:c>
      <x:c r="D70" s="244" t="d">
        <x:v>2025-01-01T00:00:00.000Z</x:v>
      </x:c>
      <x:c r="E70" s="244" t="d">
        <x:v>2025-12-31T00:00:00.000Z</x:v>
      </x:c>
      <x:c r="F70" s="245" t="str">
        <x:v>10-K</x:v>
      </x:c>
      <x:c r="G70" s="244" t="d">
        <x:v>2026-02-12T00:00:00.000Z</x:v>
      </x:c>
      <x:c r="H70" s="245" t="str">
        <x:v>0000059478-26-000013</x:v>
      </x:c>
      <x:c r="I70" s="245" t="str">
        <x:v>us-gaap:ResearchAndDevelopmentExpenseExcludingAcquiredInProcessCost</x:v>
      </x:c>
      <x:c r="J70" s="245" t="str">
        <x:v>c-1</x:v>
      </x:c>
      <x:c r="K70" s="323" t="n">
        <x:v>6</x:v>
      </x:c>
      <x:c r="L70" s="245" t="str">
        <x:v>-6</x:v>
      </x:c>
      <x:c r="M70" s="245" t="str">
        <x:v>https://www.sec.gov/Archives/edgar/data/59478/000005947826000013/lly-20251231.htm</x:v>
      </x:c>
      <x:c r="N70" s="245" t="str">
        <x:v>Consolidated operations p. 57</x:v>
      </x:c>
      <x:c r="O70" s="245" t="str">
        <x:v>Inline XBRL</x:v>
      </x:c>
      <x:c r="P70" s="245" t="str">
        <x:v>None (consolidated total)</x:v>
      </x:c>
      <x:c r="Q70" s="245" t="str">
        <x:v>Exact tag, duration, USD and Lilly CIK; no dimensions; consolidated operations table only</x:v>
      </x:c>
      <x:c r="R70" s="305" t="str">
        <x:v>d45f8d1e0945df0b7b30254e96ff8c5dbd1df7d15b17c8ef7399c8e0206b7d7f</x:v>
      </x:c>
      <x:c r="S70" s="328"/>
      <x:c r="T70" s="329"/>
    </x:row>
    <x:row r="71" ht="85" customHeight="1">
      <x:c r="A71" s="234" t="str">
        <x:v>coverage_fy_sga</x:v>
      </x:c>
      <x:c r="B71" s="321" t="n">
        <x:v>11094000000</x:v>
      </x:c>
      <x:c r="C71" s="245" t="str">
        <x:v>fy sga</x:v>
      </x:c>
      <x:c r="D71" s="244" t="d">
        <x:v>2025-01-01T00:00:00.000Z</x:v>
      </x:c>
      <x:c r="E71" s="244" t="d">
        <x:v>2025-12-31T00:00:00.000Z</x:v>
      </x:c>
      <x:c r="F71" s="245" t="str">
        <x:v>10-K</x:v>
      </x:c>
      <x:c r="G71" s="244" t="d">
        <x:v>2026-02-12T00:00:00.000Z</x:v>
      </x:c>
      <x:c r="H71" s="245" t="str">
        <x:v>0000059478-26-000013</x:v>
      </x:c>
      <x:c r="I71" s="245" t="str">
        <x:v>us-gaap:SellingGeneralAndAdministrativeExpense</x:v>
      </x:c>
      <x:c r="J71" s="245" t="str">
        <x:v>c-1</x:v>
      </x:c>
      <x:c r="K71" s="323" t="n">
        <x:v>6</x:v>
      </x:c>
      <x:c r="L71" s="245" t="str">
        <x:v>-6</x:v>
      </x:c>
      <x:c r="M71" s="245" t="str">
        <x:v>https://www.sec.gov/Archives/edgar/data/59478/000005947826000013/lly-20251231.htm</x:v>
      </x:c>
      <x:c r="N71" s="245" t="str">
        <x:v>Consolidated operations p. 57</x:v>
      </x:c>
      <x:c r="O71" s="245" t="str">
        <x:v>Inline XBRL</x:v>
      </x:c>
      <x:c r="P71" s="245" t="str">
        <x:v>None (consolidated total)</x:v>
      </x:c>
      <x:c r="Q71" s="245" t="str">
        <x:v>Exact tag, duration, USD and Lilly CIK; no dimensions; consolidated operations table only</x:v>
      </x:c>
      <x:c r="R71" s="305" t="str">
        <x:v>d45f8d1e0945df0b7b30254e96ff8c5dbd1df7d15b17c8ef7399c8e0206b7d7f</x:v>
      </x:c>
      <x:c r="S71" s="328"/>
      <x:c r="T71" s="329"/>
    </x:row>
    <x:row r="72" ht="85" customHeight="1">
      <x:c r="A72" s="234" t="str">
        <x:v>coverage_fy_iprd</x:v>
      </x:c>
      <x:c r="B72" s="321" t="n">
        <x:v>2910000000</x:v>
      </x:c>
      <x:c r="C72" s="245" t="str">
        <x:v>fy iprd</x:v>
      </x:c>
      <x:c r="D72" s="244" t="d">
        <x:v>2025-01-01T00:00:00.000Z</x:v>
      </x:c>
      <x:c r="E72" s="244" t="d">
        <x:v>2025-12-31T00:00:00.000Z</x:v>
      </x:c>
      <x:c r="F72" s="245" t="str">
        <x:v>10-K</x:v>
      </x:c>
      <x:c r="G72" s="244" t="d">
        <x:v>2026-02-12T00:00:00.000Z</x:v>
      </x:c>
      <x:c r="H72" s="245" t="str">
        <x:v>0000059478-26-000013</x:v>
      </x:c>
      <x:c r="I72" s="245" t="str">
        <x:v>us-gaap:ResearchAndDevelopmentAssetAcquiredOtherThanThroughBusinessCombinationWrittenOff</x:v>
      </x:c>
      <x:c r="J72" s="245" t="str">
        <x:v>c-1</x:v>
      </x:c>
      <x:c r="K72" s="323" t="n">
        <x:v>6</x:v>
      </x:c>
      <x:c r="L72" s="245" t="str">
        <x:v>-6</x:v>
      </x:c>
      <x:c r="M72" s="245" t="str">
        <x:v>https://www.sec.gov/Archives/edgar/data/59478/000005947826000013/lly-20251231.htm</x:v>
      </x:c>
      <x:c r="N72" s="245" t="str">
        <x:v>Consolidated operations p. 57</x:v>
      </x:c>
      <x:c r="O72" s="245" t="str">
        <x:v>Inline XBRL</x:v>
      </x:c>
      <x:c r="P72" s="245" t="str">
        <x:v>None (consolidated total)</x:v>
      </x:c>
      <x:c r="Q72" s="245" t="str">
        <x:v>Exact tag, duration, USD and Lilly CIK; no dimensions; consolidated operations table only</x:v>
      </x:c>
      <x:c r="R72" s="305" t="str">
        <x:v>d45f8d1e0945df0b7b30254e96ff8c5dbd1df7d15b17c8ef7399c8e0206b7d7f</x:v>
      </x:c>
      <x:c r="S72" s="328"/>
      <x:c r="T72" s="329"/>
    </x:row>
    <x:row r="73" ht="85" customHeight="1">
      <x:c r="A73" s="234" t="str">
        <x:v>coverage_fy_special</x:v>
      </x:c>
      <x:c r="B73" s="321" t="n">
        <x:v>484000000</x:v>
      </x:c>
      <x:c r="C73" s="245" t="str">
        <x:v>fy special</x:v>
      </x:c>
      <x:c r="D73" s="244" t="d">
        <x:v>2025-01-01T00:00:00.000Z</x:v>
      </x:c>
      <x:c r="E73" s="244" t="d">
        <x:v>2025-12-31T00:00:00.000Z</x:v>
      </x:c>
      <x:c r="F73" s="245" t="str">
        <x:v>10-K</x:v>
      </x:c>
      <x:c r="G73" s="244" t="d">
        <x:v>2026-02-12T00:00:00.000Z</x:v>
      </x:c>
      <x:c r="H73" s="245" t="str">
        <x:v>0000059478-26-000013</x:v>
      </x:c>
      <x:c r="I73" s="245" t="str">
        <x:v>us-gaap:RestructuringSettlementAndImpairmentProvisions</x:v>
      </x:c>
      <x:c r="J73" s="245" t="str">
        <x:v>c-1</x:v>
      </x:c>
      <x:c r="K73" s="323" t="n">
        <x:v>6</x:v>
      </x:c>
      <x:c r="L73" s="245" t="str">
        <x:v>-6</x:v>
      </x:c>
      <x:c r="M73" s="245" t="str">
        <x:v>https://www.sec.gov/Archives/edgar/data/59478/000005947826000013/lly-20251231.htm</x:v>
      </x:c>
      <x:c r="N73" s="245" t="str">
        <x:v>Consolidated operations p. 57</x:v>
      </x:c>
      <x:c r="O73" s="245" t="str">
        <x:v>Inline XBRL</x:v>
      </x:c>
      <x:c r="P73" s="245" t="str">
        <x:v>None (consolidated total)</x:v>
      </x:c>
      <x:c r="Q73" s="245" t="str">
        <x:v>Exact tag, duration, USD and Lilly CIK; no dimensions; consolidated operations table only</x:v>
      </x:c>
      <x:c r="R73" s="305" t="str">
        <x:v>d45f8d1e0945df0b7b30254e96ff8c5dbd1df7d15b17c8ef7399c8e0206b7d7f</x:v>
      </x:c>
      <x:c r="S73" s="328"/>
      <x:c r="T73" s="329"/>
    </x:row>
    <x:row r="74" ht="85" customHeight="1">
      <x:c r="A74" s="234" t="str">
        <x:v>coverage_fy_other_income</x:v>
      </x:c>
      <x:c r="B74" s="321" t="n">
        <x:v>-571000000</x:v>
      </x:c>
      <x:c r="C74" s="245" t="str">
        <x:v>fy other_income</x:v>
      </x:c>
      <x:c r="D74" s="244" t="d">
        <x:v>2025-01-01T00:00:00.000Z</x:v>
      </x:c>
      <x:c r="E74" s="244" t="d">
        <x:v>2025-12-31T00:00:00.000Z</x:v>
      </x:c>
      <x:c r="F74" s="245" t="str">
        <x:v>10-K</x:v>
      </x:c>
      <x:c r="G74" s="244" t="d">
        <x:v>2026-02-12T00:00:00.000Z</x:v>
      </x:c>
      <x:c r="H74" s="245" t="str">
        <x:v>0000059478-26-000013</x:v>
      </x:c>
      <x:c r="I74" s="245" t="str">
        <x:v>us-gaap:NonoperatingIncomeExpense</x:v>
      </x:c>
      <x:c r="J74" s="245" t="str">
        <x:v>c-1</x:v>
      </x:c>
      <x:c r="K74" s="323" t="n">
        <x:v>6</x:v>
      </x:c>
      <x:c r="L74" s="245" t="str">
        <x:v>-6</x:v>
      </x:c>
      <x:c r="M74" s="245" t="str">
        <x:v>https://www.sec.gov/Archives/edgar/data/59478/000005947826000013/lly-20251231.htm</x:v>
      </x:c>
      <x:c r="N74" s="245" t="str">
        <x:v>Consolidated operations p. 57</x:v>
      </x:c>
      <x:c r="O74" s="245" t="str">
        <x:v>Inline XBRL</x:v>
      </x:c>
      <x:c r="P74" s="245" t="str">
        <x:v>None (consolidated total)</x:v>
      </x:c>
      <x:c r="Q74" s="245" t="str">
        <x:v>Exact tag, duration, USD and Lilly CIK; no dimensions; consolidated operations table only</x:v>
      </x:c>
      <x:c r="R74" s="305" t="str">
        <x:v>d45f8d1e0945df0b7b30254e96ff8c5dbd1df7d15b17c8ef7399c8e0206b7d7f</x:v>
      </x:c>
      <x:c r="S74" s="328"/>
      <x:c r="T74" s="329"/>
    </x:row>
    <x:row r="75" ht="85" customHeight="1">
      <x:c r="A75" s="234" t="str">
        <x:v>coverage_fy_pretax</x:v>
      </x:c>
      <x:c r="B75" s="321" t="n">
        <x:v>25731000000</x:v>
      </x:c>
      <x:c r="C75" s="245" t="str">
        <x:v>fy pretax</x:v>
      </x:c>
      <x:c r="D75" s="244" t="d">
        <x:v>2025-01-01T00:00:00.000Z</x:v>
      </x:c>
      <x:c r="E75" s="244" t="d">
        <x:v>2025-12-31T00:00:00.000Z</x:v>
      </x:c>
      <x:c r="F75" s="245" t="str">
        <x:v>10-K</x:v>
      </x:c>
      <x:c r="G75" s="244" t="d">
        <x:v>2026-02-12T00:00:00.000Z</x:v>
      </x:c>
      <x:c r="H75" s="245" t="str">
        <x:v>0000059478-26-000013</x:v>
      </x:c>
      <x:c r="I75" s="245" t="str">
        <x:v>us-gaap:IncomeLossFromContinuingOperationsBeforeIncomeTaxesExtraordinaryItemsNoncontrollingInterest</x:v>
      </x:c>
      <x:c r="J75" s="245" t="str">
        <x:v>c-1</x:v>
      </x:c>
      <x:c r="K75" s="323" t="n">
        <x:v>6</x:v>
      </x:c>
      <x:c r="L75" s="245" t="str">
        <x:v>-6</x:v>
      </x:c>
      <x:c r="M75" s="245" t="str">
        <x:v>https://www.sec.gov/Archives/edgar/data/59478/000005947826000013/lly-20251231.htm</x:v>
      </x:c>
      <x:c r="N75" s="245" t="str">
        <x:v>Consolidated operations p. 57</x:v>
      </x:c>
      <x:c r="O75" s="245" t="str">
        <x:v>Inline XBRL</x:v>
      </x:c>
      <x:c r="P75" s="245" t="str">
        <x:v>None (consolidated total)</x:v>
      </x:c>
      <x:c r="Q75" s="245" t="str">
        <x:v>Exact tag, duration, USD and Lilly CIK; no dimensions; consolidated operations table only</x:v>
      </x:c>
      <x:c r="R75" s="305" t="str">
        <x:v>d45f8d1e0945df0b7b30254e96ff8c5dbd1df7d15b17c8ef7399c8e0206b7d7f</x:v>
      </x:c>
      <x:c r="S75" s="328"/>
      <x:c r="T75" s="329"/>
    </x:row>
    <x:row r="76" ht="85" customHeight="1">
      <x:c r="A76" s="234" t="str">
        <x:v>coverage_fy_interest</x:v>
      </x:c>
      <x:c r="B76" s="321" t="n">
        <x:v>895000000</x:v>
      </x:c>
      <x:c r="C76" s="245" t="str">
        <x:v>fy interest</x:v>
      </x:c>
      <x:c r="D76" s="244" t="d">
        <x:v>2025-01-01T00:00:00.000Z</x:v>
      </x:c>
      <x:c r="E76" s="244" t="d">
        <x:v>2025-12-31T00:00:00.000Z</x:v>
      </x:c>
      <x:c r="F76" s="245" t="str">
        <x:v>10-K</x:v>
      </x:c>
      <x:c r="G76" s="244" t="d">
        <x:v>2026-02-12T00:00:00.000Z</x:v>
      </x:c>
      <x:c r="H76" s="245" t="str">
        <x:v>0000059478-26-000013</x:v>
      </x:c>
      <x:c r="I76" s="245" t="str">
        <x:v>us-gaap:InterestExpenseNonoperating</x:v>
      </x:c>
      <x:c r="J76" s="245" t="str">
        <x:v>c-1</x:v>
      </x:c>
      <x:c r="K76" s="323" t="n">
        <x:v>6</x:v>
      </x:c>
      <x:c r="L76" s="245" t="str">
        <x:v>-6</x:v>
      </x:c>
      <x:c r="M76" s="245" t="str">
        <x:v>https://www.sec.gov/Archives/edgar/data/59478/000005947826000013/lly-20251231.htm</x:v>
      </x:c>
      <x:c r="N76" s="245" t="str">
        <x:v>Note 11 p. 77</x:v>
      </x:c>
      <x:c r="O76" s="245" t="str">
        <x:v>Inline XBRL</x:v>
      </x:c>
      <x:c r="P76" s="245" t="str">
        <x:v>None (consolidated total)</x:v>
      </x:c>
      <x:c r="Q76" s="245" t="str">
        <x:v>Exact tag, duration, USD and Lilly CIK; no dimensions</x:v>
      </x:c>
      <x:c r="R76" s="305" t="str">
        <x:v>d45f8d1e0945df0b7b30254e96ff8c5dbd1df7d15b17c8ef7399c8e0206b7d7f</x:v>
      </x:c>
      <x:c r="S76" s="328"/>
      <x:c r="T76" s="329"/>
    </x:row>
    <x:row r="77" ht="85" customHeight="1">
      <x:c r="A77" s="234" t="str">
        <x:v>coverage_current_revenue</x:v>
      </x:c>
      <x:c r="B77" s="321" t="n">
        <x:v>42773000000</x:v>
      </x:c>
      <x:c r="C77" s="245" t="str">
        <x:v>current revenue</x:v>
      </x:c>
      <x:c r="D77" s="244" t="d">
        <x:v>2026-01-01T00:00:00.000Z</x:v>
      </x:c>
      <x:c r="E77" s="244" t="d">
        <x:v>2026-06-30T00:00:00.000Z</x:v>
      </x:c>
      <x:c r="F77" s="245" t="str">
        <x:v>10-Q</x:v>
      </x:c>
      <x:c r="G77" s="244" t="d">
        <x:v>2026-08-05T00:00:00.000Z</x:v>
      </x:c>
      <x:c r="H77" s="245" t="str">
        <x:v>0000059478-26-000081</x:v>
      </x:c>
      <x:c r="I77" s="245" t="str">
        <x:v>us-gaap:Revenues</x:v>
      </x:c>
      <x:c r="J77" s="245" t="str">
        <x:v>c-1</x:v>
      </x:c>
      <x:c r="K77" s="323" t="n">
        <x:v>6</x:v>
      </x:c>
      <x:c r="L77" s="245" t="str">
        <x:v>-6</x:v>
      </x:c>
      <x:c r="M77" s="245" t="str">
        <x:v>https://www.sec.gov/Archives/edgar/data/59478/000005947826000081/lly-20260630.htm</x:v>
      </x:c>
      <x:c r="N77" s="245" t="str">
        <x:v>Consolidated operations p. 5</x:v>
      </x:c>
      <x:c r="O77" s="245" t="str">
        <x:v>Inline XBRL</x:v>
      </x:c>
      <x:c r="P77" s="245" t="str">
        <x:v>None (consolidated total)</x:v>
      </x:c>
      <x:c r="Q77" s="245" t="str">
        <x:v>Exact tag, duration, USD and Lilly CIK; no dimensions; consolidated operations table only</x:v>
      </x:c>
      <x:c r="R77" s="305" t="str">
        <x:v>8e8f10cf3af98bc12a41985a98cfde9c2b9da8a812af18515d34ce3d8e1c1b3d</x:v>
      </x:c>
      <x:c r="S77" s="328"/>
      <x:c r="T77" s="329"/>
    </x:row>
    <x:row r="78" ht="85" customHeight="1">
      <x:c r="A78" s="234" t="str">
        <x:v>coverage_current_cost_sales</x:v>
      </x:c>
      <x:c r="B78" s="321" t="n">
        <x:v>6845000000</x:v>
      </x:c>
      <x:c r="C78" s="245" t="str">
        <x:v>current cost_sales</x:v>
      </x:c>
      <x:c r="D78" s="244" t="d">
        <x:v>2026-01-01T00:00:00.000Z</x:v>
      </x:c>
      <x:c r="E78" s="244" t="d">
        <x:v>2026-06-30T00:00:00.000Z</x:v>
      </x:c>
      <x:c r="F78" s="245" t="str">
        <x:v>10-Q</x:v>
      </x:c>
      <x:c r="G78" s="244" t="d">
        <x:v>2026-08-05T00:00:00.000Z</x:v>
      </x:c>
      <x:c r="H78" s="245" t="str">
        <x:v>0000059478-26-000081</x:v>
      </x:c>
      <x:c r="I78" s="245" t="str">
        <x:v>us-gaap:CostOfGoodsAndServicesSold</x:v>
      </x:c>
      <x:c r="J78" s="245" t="str">
        <x:v>c-1</x:v>
      </x:c>
      <x:c r="K78" s="323" t="n">
        <x:v>6</x:v>
      </x:c>
      <x:c r="L78" s="245" t="str">
        <x:v>-6</x:v>
      </x:c>
      <x:c r="M78" s="245" t="str">
        <x:v>https://www.sec.gov/Archives/edgar/data/59478/000005947826000081/lly-20260630.htm</x:v>
      </x:c>
      <x:c r="N78" s="245" t="str">
        <x:v>Consolidated operations p. 5</x:v>
      </x:c>
      <x:c r="O78" s="245" t="str">
        <x:v>Inline XBRL</x:v>
      </x:c>
      <x:c r="P78" s="245" t="str">
        <x:v>None (consolidated total)</x:v>
      </x:c>
      <x:c r="Q78" s="245" t="str">
        <x:v>Exact tag, duration, USD and Lilly CIK; no dimensions; consolidated operations table only</x:v>
      </x:c>
      <x:c r="R78" s="305" t="str">
        <x:v>8e8f10cf3af98bc12a41985a98cfde9c2b9da8a812af18515d34ce3d8e1c1b3d</x:v>
      </x:c>
      <x:c r="S78" s="328"/>
      <x:c r="T78" s="329"/>
    </x:row>
    <x:row r="79" ht="85" customHeight="1">
      <x:c r="A79" s="234" t="str">
        <x:v>coverage_current_rd</x:v>
      </x:c>
      <x:c r="B79" s="321" t="n">
        <x:v>7329000000</x:v>
      </x:c>
      <x:c r="C79" s="245" t="str">
        <x:v>current rd</x:v>
      </x:c>
      <x:c r="D79" s="244" t="d">
        <x:v>2026-01-01T00:00:00.000Z</x:v>
      </x:c>
      <x:c r="E79" s="244" t="d">
        <x:v>2026-06-30T00:00:00.000Z</x:v>
      </x:c>
      <x:c r="F79" s="245" t="str">
        <x:v>10-Q</x:v>
      </x:c>
      <x:c r="G79" s="244" t="d">
        <x:v>2026-08-05T00:00:00.000Z</x:v>
      </x:c>
      <x:c r="H79" s="245" t="str">
        <x:v>0000059478-26-000081</x:v>
      </x:c>
      <x:c r="I79" s="245" t="str">
        <x:v>us-gaap:ResearchAndDevelopmentExpenseExcludingAcquiredInProcessCost</x:v>
      </x:c>
      <x:c r="J79" s="245" t="str">
        <x:v>c-1</x:v>
      </x:c>
      <x:c r="K79" s="323" t="n">
        <x:v>6</x:v>
      </x:c>
      <x:c r="L79" s="245" t="str">
        <x:v>-6</x:v>
      </x:c>
      <x:c r="M79" s="245" t="str">
        <x:v>https://www.sec.gov/Archives/edgar/data/59478/000005947826000081/lly-20260630.htm</x:v>
      </x:c>
      <x:c r="N79" s="245" t="str">
        <x:v>Consolidated operations p. 5</x:v>
      </x:c>
      <x:c r="O79" s="245" t="str">
        <x:v>Inline XBRL</x:v>
      </x:c>
      <x:c r="P79" s="245" t="str">
        <x:v>None (consolidated total)</x:v>
      </x:c>
      <x:c r="Q79" s="245" t="str">
        <x:v>Exact tag, duration, USD and Lilly CIK; no dimensions; consolidated operations table only</x:v>
      </x:c>
      <x:c r="R79" s="305" t="str">
        <x:v>8e8f10cf3af98bc12a41985a98cfde9c2b9da8a812af18515d34ce3d8e1c1b3d</x:v>
      </x:c>
      <x:c r="S79" s="328"/>
      <x:c r="T79" s="329"/>
    </x:row>
    <x:row r="80" ht="85" customHeight="1">
      <x:c r="A80" s="234" t="str">
        <x:v>coverage_current_sga</x:v>
      </x:c>
      <x:c r="B80" s="321" t="n">
        <x:v>6364000000</x:v>
      </x:c>
      <x:c r="C80" s="245" t="str">
        <x:v>current sga</x:v>
      </x:c>
      <x:c r="D80" s="244" t="d">
        <x:v>2026-01-01T00:00:00.000Z</x:v>
      </x:c>
      <x:c r="E80" s="244" t="d">
        <x:v>2026-06-30T00:00:00.000Z</x:v>
      </x:c>
      <x:c r="F80" s="245" t="str">
        <x:v>10-Q</x:v>
      </x:c>
      <x:c r="G80" s="244" t="d">
        <x:v>2026-08-05T00:00:00.000Z</x:v>
      </x:c>
      <x:c r="H80" s="245" t="str">
        <x:v>0000059478-26-000081</x:v>
      </x:c>
      <x:c r="I80" s="245" t="str">
        <x:v>us-gaap:SellingGeneralAndAdministrativeExpense</x:v>
      </x:c>
      <x:c r="J80" s="245" t="str">
        <x:v>c-1</x:v>
      </x:c>
      <x:c r="K80" s="323" t="n">
        <x:v>6</x:v>
      </x:c>
      <x:c r="L80" s="245" t="str">
        <x:v>-6</x:v>
      </x:c>
      <x:c r="M80" s="245" t="str">
        <x:v>https://www.sec.gov/Archives/edgar/data/59478/000005947826000081/lly-20260630.htm</x:v>
      </x:c>
      <x:c r="N80" s="245" t="str">
        <x:v>Consolidated operations p. 5</x:v>
      </x:c>
      <x:c r="O80" s="245" t="str">
        <x:v>Inline XBRL</x:v>
      </x:c>
      <x:c r="P80" s="245" t="str">
        <x:v>None (consolidated total)</x:v>
      </x:c>
      <x:c r="Q80" s="245" t="str">
        <x:v>Exact tag, duration, USD and Lilly CIK; no dimensions; consolidated operations table only</x:v>
      </x:c>
      <x:c r="R80" s="305" t="str">
        <x:v>8e8f10cf3af98bc12a41985a98cfde9c2b9da8a812af18515d34ce3d8e1c1b3d</x:v>
      </x:c>
      <x:c r="S80" s="328"/>
      <x:c r="T80" s="329"/>
    </x:row>
    <x:row r="81" ht="85" customHeight="1">
      <x:c r="A81" s="234" t="str">
        <x:v>coverage_current_iprd</x:v>
      </x:c>
      <x:c r="B81" s="321" t="n">
        <x:v>3360000000</x:v>
      </x:c>
      <x:c r="C81" s="245" t="str">
        <x:v>current iprd</x:v>
      </x:c>
      <x:c r="D81" s="244" t="d">
        <x:v>2026-01-01T00:00:00.000Z</x:v>
      </x:c>
      <x:c r="E81" s="244" t="d">
        <x:v>2026-06-30T00:00:00.000Z</x:v>
      </x:c>
      <x:c r="F81" s="245" t="str">
        <x:v>10-Q</x:v>
      </x:c>
      <x:c r="G81" s="244" t="d">
        <x:v>2026-08-05T00:00:00.000Z</x:v>
      </x:c>
      <x:c r="H81" s="245" t="str">
        <x:v>0000059478-26-000081</x:v>
      </x:c>
      <x:c r="I81" s="245" t="str">
        <x:v>us-gaap:ResearchAndDevelopmentAssetAcquiredOtherThanThroughBusinessCombinationWrittenOff</x:v>
      </x:c>
      <x:c r="J81" s="245" t="str">
        <x:v>c-1</x:v>
      </x:c>
      <x:c r="K81" s="323" t="n">
        <x:v>6</x:v>
      </x:c>
      <x:c r="L81" s="245" t="str">
        <x:v>-6</x:v>
      </x:c>
      <x:c r="M81" s="245" t="str">
        <x:v>https://www.sec.gov/Archives/edgar/data/59478/000005947826000081/lly-20260630.htm</x:v>
      </x:c>
      <x:c r="N81" s="245" t="str">
        <x:v>Consolidated operations p. 5</x:v>
      </x:c>
      <x:c r="O81" s="245" t="str">
        <x:v>Inline XBRL</x:v>
      </x:c>
      <x:c r="P81" s="245" t="str">
        <x:v>None (consolidated total)</x:v>
      </x:c>
      <x:c r="Q81" s="245" t="str">
        <x:v>Exact tag, duration, USD and Lilly CIK; no dimensions; consolidated operations table only</x:v>
      </x:c>
      <x:c r="R81" s="305" t="str">
        <x:v>8e8f10cf3af98bc12a41985a98cfde9c2b9da8a812af18515d34ce3d8e1c1b3d</x:v>
      </x:c>
      <x:c r="S81" s="328"/>
      <x:c r="T81" s="329"/>
    </x:row>
    <x:row r="82" ht="85" customHeight="1">
      <x:c r="A82" s="234" t="str">
        <x:v>coverage_current_special</x:v>
      </x:c>
      <x:c r="B82" s="321" t="n">
        <x:v>982000000</x:v>
      </x:c>
      <x:c r="C82" s="245" t="str">
        <x:v>current special</x:v>
      </x:c>
      <x:c r="D82" s="244" t="d">
        <x:v>2026-01-01T00:00:00.000Z</x:v>
      </x:c>
      <x:c r="E82" s="244" t="d">
        <x:v>2026-06-30T00:00:00.000Z</x:v>
      </x:c>
      <x:c r="F82" s="245" t="str">
        <x:v>10-Q</x:v>
      </x:c>
      <x:c r="G82" s="244" t="d">
        <x:v>2026-08-05T00:00:00.000Z</x:v>
      </x:c>
      <x:c r="H82" s="245" t="str">
        <x:v>0000059478-26-000081</x:v>
      </x:c>
      <x:c r="I82" s="245" t="str">
        <x:v>us-gaap:RestructuringSettlementAndImpairmentProvisions</x:v>
      </x:c>
      <x:c r="J82" s="245" t="str">
        <x:v>c-1</x:v>
      </x:c>
      <x:c r="K82" s="323" t="n">
        <x:v>6</x:v>
      </x:c>
      <x:c r="L82" s="245" t="str">
        <x:v>-6</x:v>
      </x:c>
      <x:c r="M82" s="245" t="str">
        <x:v>https://www.sec.gov/Archives/edgar/data/59478/000005947826000081/lly-20260630.htm</x:v>
      </x:c>
      <x:c r="N82" s="245" t="str">
        <x:v>Consolidated operations p. 5</x:v>
      </x:c>
      <x:c r="O82" s="245" t="str">
        <x:v>Inline XBRL</x:v>
      </x:c>
      <x:c r="P82" s="245" t="str">
        <x:v>None (consolidated total)</x:v>
      </x:c>
      <x:c r="Q82" s="245" t="str">
        <x:v>Exact tag, duration, USD and Lilly CIK; no dimensions; consolidated operations table only</x:v>
      </x:c>
      <x:c r="R82" s="305" t="str">
        <x:v>8e8f10cf3af98bc12a41985a98cfde9c2b9da8a812af18515d34ce3d8e1c1b3d</x:v>
      </x:c>
      <x:c r="S82" s="328"/>
      <x:c r="T82" s="329"/>
    </x:row>
    <x:row r="83" ht="85" customHeight="1">
      <x:c r="A83" s="234" t="str">
        <x:v>coverage_current_other_income</x:v>
      </x:c>
      <x:c r="B83" s="321" t="n">
        <x:v>204000000</x:v>
      </x:c>
      <x:c r="C83" s="245" t="str">
        <x:v>current other_income</x:v>
      </x:c>
      <x:c r="D83" s="244" t="d">
        <x:v>2026-01-01T00:00:00.000Z</x:v>
      </x:c>
      <x:c r="E83" s="244" t="d">
        <x:v>2026-06-30T00:00:00.000Z</x:v>
      </x:c>
      <x:c r="F83" s="245" t="str">
        <x:v>10-Q</x:v>
      </x:c>
      <x:c r="G83" s="244" t="d">
        <x:v>2026-08-05T00:00:00.000Z</x:v>
      </x:c>
      <x:c r="H83" s="245" t="str">
        <x:v>0000059478-26-000081</x:v>
      </x:c>
      <x:c r="I83" s="245" t="str">
        <x:v>us-gaap:NonoperatingIncomeExpense</x:v>
      </x:c>
      <x:c r="J83" s="245" t="str">
        <x:v>c-1</x:v>
      </x:c>
      <x:c r="K83" s="323" t="n">
        <x:v>6</x:v>
      </x:c>
      <x:c r="L83" s="245" t="str">
        <x:v>-6</x:v>
      </x:c>
      <x:c r="M83" s="245" t="str">
        <x:v>https://www.sec.gov/Archives/edgar/data/59478/000005947826000081/lly-20260630.htm</x:v>
      </x:c>
      <x:c r="N83" s="245" t="str">
        <x:v>Consolidated operations p. 5</x:v>
      </x:c>
      <x:c r="O83" s="245" t="str">
        <x:v>Inline XBRL</x:v>
      </x:c>
      <x:c r="P83" s="245" t="str">
        <x:v>None (consolidated total)</x:v>
      </x:c>
      <x:c r="Q83" s="245" t="str">
        <x:v>Exact tag, duration, USD and Lilly CIK; no dimensions; consolidated operations table only</x:v>
      </x:c>
      <x:c r="R83" s="305" t="str">
        <x:v>8e8f10cf3af98bc12a41985a98cfde9c2b9da8a812af18515d34ce3d8e1c1b3d</x:v>
      </x:c>
      <x:c r="S83" s="328"/>
      <x:c r="T83" s="329"/>
    </x:row>
    <x:row r="84" ht="85" customHeight="1">
      <x:c r="A84" s="234" t="str">
        <x:v>coverage_current_pretax</x:v>
      </x:c>
      <x:c r="B84" s="321" t="n">
        <x:v>18097000000</x:v>
      </x:c>
      <x:c r="C84" s="245" t="str">
        <x:v>current pretax</x:v>
      </x:c>
      <x:c r="D84" s="244" t="d">
        <x:v>2026-01-01T00:00:00.000Z</x:v>
      </x:c>
      <x:c r="E84" s="244" t="d">
        <x:v>2026-06-30T00:00:00.000Z</x:v>
      </x:c>
      <x:c r="F84" s="245" t="str">
        <x:v>10-Q</x:v>
      </x:c>
      <x:c r="G84" s="244" t="d">
        <x:v>2026-08-05T00:00:00.000Z</x:v>
      </x:c>
      <x:c r="H84" s="245" t="str">
        <x:v>0000059478-26-000081</x:v>
      </x:c>
      <x:c r="I84" s="245" t="str">
        <x:v>us-gaap:IncomeLossFromContinuingOperationsBeforeIncomeTaxesExtraordinaryItemsNoncontrollingInterest</x:v>
      </x:c>
      <x:c r="J84" s="245" t="str">
        <x:v>c-1</x:v>
      </x:c>
      <x:c r="K84" s="323" t="n">
        <x:v>6</x:v>
      </x:c>
      <x:c r="L84" s="245" t="str">
        <x:v>-6</x:v>
      </x:c>
      <x:c r="M84" s="245" t="str">
        <x:v>https://www.sec.gov/Archives/edgar/data/59478/000005947826000081/lly-20260630.htm</x:v>
      </x:c>
      <x:c r="N84" s="245" t="str">
        <x:v>Consolidated operations p. 5</x:v>
      </x:c>
      <x:c r="O84" s="245" t="str">
        <x:v>Inline XBRL</x:v>
      </x:c>
      <x:c r="P84" s="245" t="str">
        <x:v>None (consolidated total)</x:v>
      </x:c>
      <x:c r="Q84" s="245" t="str">
        <x:v>Exact tag, duration, USD and Lilly CIK; no dimensions; consolidated operations table only</x:v>
      </x:c>
      <x:c r="R84" s="305" t="str">
        <x:v>8e8f10cf3af98bc12a41985a98cfde9c2b9da8a812af18515d34ce3d8e1c1b3d</x:v>
      </x:c>
      <x:c r="S84" s="328"/>
      <x:c r="T84" s="329"/>
    </x:row>
    <x:row r="85" ht="85" customHeight="1">
      <x:c r="A85" s="234" t="str">
        <x:v>coverage_current_interest</x:v>
      </x:c>
      <x:c r="B85" s="321" t="n">
        <x:v>677000000</x:v>
      </x:c>
      <x:c r="C85" s="245" t="str">
        <x:v>current interest</x:v>
      </x:c>
      <x:c r="D85" s="244" t="d">
        <x:v>2026-01-01T00:00:00.000Z</x:v>
      </x:c>
      <x:c r="E85" s="244" t="d">
        <x:v>2026-06-30T00:00:00.000Z</x:v>
      </x:c>
      <x:c r="F85" s="245" t="str">
        <x:v>10-Q</x:v>
      </x:c>
      <x:c r="G85" s="244" t="d">
        <x:v>2026-08-05T00:00:00.000Z</x:v>
      </x:c>
      <x:c r="H85" s="245" t="str">
        <x:v>0000059478-26-000081</x:v>
      </x:c>
      <x:c r="I85" s="245" t="str">
        <x:v>us-gaap:InterestExpenseNonoperating</x:v>
      </x:c>
      <x:c r="J85" s="245" t="str">
        <x:v>c-397</x:v>
      </x:c>
      <x:c r="K85" s="323" t="n">
        <x:v>6</x:v>
      </x:c>
      <x:c r="L85" s="245" t="str">
        <x:v>-6</x:v>
      </x:c>
      <x:c r="M85" s="245" t="str">
        <x:v>https://www.sec.gov/Archives/edgar/data/59478/000005947826000081/lly-20260630.htm</x:v>
      </x:c>
      <x:c r="N85" s="245" t="str">
        <x:v>Note 11 p. 23</x:v>
      </x:c>
      <x:c r="O85" s="245" t="str">
        <x:v>Inline XBRL</x:v>
      </x:c>
      <x:c r="P85" s="245" t="str">
        <x:v>us-gaap:StatementBusinessSegmentsAxis = lly:ReportableSegmentMember</x:v>
      </x:c>
      <x:c r="Q85" s="245" t="str">
        <x:v>Exact tag, duration, USD and Lilly CIK; exact single-segment dimension</x:v>
      </x:c>
      <x:c r="R85" s="305" t="str">
        <x:v>8e8f10cf3af98bc12a41985a98cfde9c2b9da8a812af18515d34ce3d8e1c1b3d</x:v>
      </x:c>
      <x:c r="S85" s="328"/>
      <x:c r="T85" s="329"/>
    </x:row>
    <x:row r="86" ht="85" customHeight="1">
      <x:c r="A86" s="234" t="str">
        <x:v>coverage_prior_revenue</x:v>
      </x:c>
      <x:c r="B86" s="321" t="n">
        <x:v>28286000000</x:v>
      </x:c>
      <x:c r="C86" s="245" t="str">
        <x:v>prior revenue</x:v>
      </x:c>
      <x:c r="D86" s="244" t="d">
        <x:v>2025-01-01T00:00:00.000Z</x:v>
      </x:c>
      <x:c r="E86" s="244" t="d">
        <x:v>2025-06-30T00:00:00.000Z</x:v>
      </x:c>
      <x:c r="F86" s="245" t="str">
        <x:v>10-Q</x:v>
      </x:c>
      <x:c r="G86" s="244" t="d">
        <x:v>2026-08-05T00:00:00.000Z</x:v>
      </x:c>
      <x:c r="H86" s="245" t="str">
        <x:v>0000059478-26-000081</x:v>
      </x:c>
      <x:c r="I86" s="245" t="str">
        <x:v>us-gaap:Revenues</x:v>
      </x:c>
      <x:c r="J86" s="245" t="str">
        <x:v>c-14</x:v>
      </x:c>
      <x:c r="K86" s="323" t="n">
        <x:v>6</x:v>
      </x:c>
      <x:c r="L86" s="245" t="str">
        <x:v>-6</x:v>
      </x:c>
      <x:c r="M86" s="245" t="str">
        <x:v>https://www.sec.gov/Archives/edgar/data/59478/000005947826000081/lly-20260630.htm</x:v>
      </x:c>
      <x:c r="N86" s="245" t="str">
        <x:v>Consolidated operations p. 5</x:v>
      </x:c>
      <x:c r="O86" s="245" t="str">
        <x:v>Inline XBRL</x:v>
      </x:c>
      <x:c r="P86" s="245" t="str">
        <x:v>None (consolidated total)</x:v>
      </x:c>
      <x:c r="Q86" s="245" t="str">
        <x:v>Exact tag, duration, USD and Lilly CIK; no dimensions; consolidated operations table only</x:v>
      </x:c>
      <x:c r="R86" s="305" t="str">
        <x:v>8e8f10cf3af98bc12a41985a98cfde9c2b9da8a812af18515d34ce3d8e1c1b3d</x:v>
      </x:c>
      <x:c r="S86" s="328"/>
      <x:c r="T86" s="329"/>
    </x:row>
    <x:row r="87" ht="85" customHeight="1">
      <x:c r="A87" s="234" t="str">
        <x:v>coverage_prior_cost_sales</x:v>
      </x:c>
      <x:c r="B87" s="321" t="n">
        <x:v>4672000000</x:v>
      </x:c>
      <x:c r="C87" s="245" t="str">
        <x:v>prior cost_sales</x:v>
      </x:c>
      <x:c r="D87" s="244" t="d">
        <x:v>2025-01-01T00:00:00.000Z</x:v>
      </x:c>
      <x:c r="E87" s="244" t="d">
        <x:v>2025-06-30T00:00:00.000Z</x:v>
      </x:c>
      <x:c r="F87" s="245" t="str">
        <x:v>10-Q</x:v>
      </x:c>
      <x:c r="G87" s="244" t="d">
        <x:v>2026-08-05T00:00:00.000Z</x:v>
      </x:c>
      <x:c r="H87" s="245" t="str">
        <x:v>0000059478-26-000081</x:v>
      </x:c>
      <x:c r="I87" s="245" t="str">
        <x:v>us-gaap:CostOfGoodsAndServicesSold</x:v>
      </x:c>
      <x:c r="J87" s="245" t="str">
        <x:v>c-14</x:v>
      </x:c>
      <x:c r="K87" s="323" t="n">
        <x:v>6</x:v>
      </x:c>
      <x:c r="L87" s="245" t="str">
        <x:v>-6</x:v>
      </x:c>
      <x:c r="M87" s="245" t="str">
        <x:v>https://www.sec.gov/Archives/edgar/data/59478/000005947826000081/lly-20260630.htm</x:v>
      </x:c>
      <x:c r="N87" s="245" t="str">
        <x:v>Consolidated operations p. 5</x:v>
      </x:c>
      <x:c r="O87" s="245" t="str">
        <x:v>Inline XBRL</x:v>
      </x:c>
      <x:c r="P87" s="245" t="str">
        <x:v>None (consolidated total)</x:v>
      </x:c>
      <x:c r="Q87" s="245" t="str">
        <x:v>Exact tag, duration, USD and Lilly CIK; no dimensions; consolidated operations table only</x:v>
      </x:c>
      <x:c r="R87" s="305" t="str">
        <x:v>8e8f10cf3af98bc12a41985a98cfde9c2b9da8a812af18515d34ce3d8e1c1b3d</x:v>
      </x:c>
      <x:c r="S87" s="328"/>
      <x:c r="T87" s="329"/>
    </x:row>
    <x:row r="88" ht="85" customHeight="1">
      <x:c r="A88" s="234" t="str">
        <x:v>coverage_prior_rd</x:v>
      </x:c>
      <x:c r="B88" s="321" t="n">
        <x:v>6070000000</x:v>
      </x:c>
      <x:c r="C88" s="245" t="str">
        <x:v>prior rd</x:v>
      </x:c>
      <x:c r="D88" s="244" t="d">
        <x:v>2025-01-01T00:00:00.000Z</x:v>
      </x:c>
      <x:c r="E88" s="244" t="d">
        <x:v>2025-06-30T00:00:00.000Z</x:v>
      </x:c>
      <x:c r="F88" s="245" t="str">
        <x:v>10-Q</x:v>
      </x:c>
      <x:c r="G88" s="244" t="d">
        <x:v>2026-08-05T00:00:00.000Z</x:v>
      </x:c>
      <x:c r="H88" s="245" t="str">
        <x:v>0000059478-26-000081</x:v>
      </x:c>
      <x:c r="I88" s="245" t="str">
        <x:v>us-gaap:ResearchAndDevelopmentExpenseExcludingAcquiredInProcessCost</x:v>
      </x:c>
      <x:c r="J88" s="245" t="str">
        <x:v>c-14</x:v>
      </x:c>
      <x:c r="K88" s="323" t="n">
        <x:v>6</x:v>
      </x:c>
      <x:c r="L88" s="245" t="str">
        <x:v>-6</x:v>
      </x:c>
      <x:c r="M88" s="245" t="str">
        <x:v>https://www.sec.gov/Archives/edgar/data/59478/000005947826000081/lly-20260630.htm</x:v>
      </x:c>
      <x:c r="N88" s="245" t="str">
        <x:v>Consolidated operations p. 5</x:v>
      </x:c>
      <x:c r="O88" s="245" t="str">
        <x:v>Inline XBRL</x:v>
      </x:c>
      <x:c r="P88" s="245" t="str">
        <x:v>None (consolidated total)</x:v>
      </x:c>
      <x:c r="Q88" s="245" t="str">
        <x:v>Exact tag, duration, USD and Lilly CIK; no dimensions; consolidated operations table only</x:v>
      </x:c>
      <x:c r="R88" s="305" t="str">
        <x:v>8e8f10cf3af98bc12a41985a98cfde9c2b9da8a812af18515d34ce3d8e1c1b3d</x:v>
      </x:c>
      <x:c r="S88" s="328"/>
      <x:c r="T88" s="329"/>
    </x:row>
    <x:row r="89" ht="85" customHeight="1">
      <x:c r="A89" s="234" t="str">
        <x:v>coverage_prior_sga</x:v>
      </x:c>
      <x:c r="B89" s="321" t="n">
        <x:v>5221000000</x:v>
      </x:c>
      <x:c r="C89" s="245" t="str">
        <x:v>prior sga</x:v>
      </x:c>
      <x:c r="D89" s="244" t="d">
        <x:v>2025-01-01T00:00:00.000Z</x:v>
      </x:c>
      <x:c r="E89" s="244" t="d">
        <x:v>2025-06-30T00:00:00.000Z</x:v>
      </x:c>
      <x:c r="F89" s="245" t="str">
        <x:v>10-Q</x:v>
      </x:c>
      <x:c r="G89" s="244" t="d">
        <x:v>2026-08-05T00:00:00.000Z</x:v>
      </x:c>
      <x:c r="H89" s="245" t="str">
        <x:v>0000059478-26-000081</x:v>
      </x:c>
      <x:c r="I89" s="245" t="str">
        <x:v>us-gaap:SellingGeneralAndAdministrativeExpense</x:v>
      </x:c>
      <x:c r="J89" s="245" t="str">
        <x:v>c-14</x:v>
      </x:c>
      <x:c r="K89" s="323" t="n">
        <x:v>6</x:v>
      </x:c>
      <x:c r="L89" s="245" t="str">
        <x:v>-6</x:v>
      </x:c>
      <x:c r="M89" s="245" t="str">
        <x:v>https://www.sec.gov/Archives/edgar/data/59478/000005947826000081/lly-20260630.htm</x:v>
      </x:c>
      <x:c r="N89" s="245" t="str">
        <x:v>Consolidated operations p. 5</x:v>
      </x:c>
      <x:c r="O89" s="245" t="str">
        <x:v>Inline XBRL</x:v>
      </x:c>
      <x:c r="P89" s="245" t="str">
        <x:v>None (consolidated total)</x:v>
      </x:c>
      <x:c r="Q89" s="245" t="str">
        <x:v>Exact tag, duration, USD and Lilly CIK; no dimensions; consolidated operations table only</x:v>
      </x:c>
      <x:c r="R89" s="305" t="str">
        <x:v>8e8f10cf3af98bc12a41985a98cfde9c2b9da8a812af18515d34ce3d8e1c1b3d</x:v>
      </x:c>
      <x:c r="S89" s="328"/>
      <x:c r="T89" s="329"/>
    </x:row>
    <x:row r="90" ht="85" customHeight="1">
      <x:c r="A90" s="234" t="str">
        <x:v>coverage_prior_iprd</x:v>
      </x:c>
      <x:c r="B90" s="321" t="n">
        <x:v>1726000000</x:v>
      </x:c>
      <x:c r="C90" s="245" t="str">
        <x:v>prior iprd</x:v>
      </x:c>
      <x:c r="D90" s="244" t="d">
        <x:v>2025-01-01T00:00:00.000Z</x:v>
      </x:c>
      <x:c r="E90" s="244" t="d">
        <x:v>2025-06-30T00:00:00.000Z</x:v>
      </x:c>
      <x:c r="F90" s="245" t="str">
        <x:v>10-Q</x:v>
      </x:c>
      <x:c r="G90" s="244" t="d">
        <x:v>2026-08-05T00:00:00.000Z</x:v>
      </x:c>
      <x:c r="H90" s="245" t="str">
        <x:v>0000059478-26-000081</x:v>
      </x:c>
      <x:c r="I90" s="245" t="str">
        <x:v>us-gaap:ResearchAndDevelopmentAssetAcquiredOtherThanThroughBusinessCombinationWrittenOff</x:v>
      </x:c>
      <x:c r="J90" s="245" t="str">
        <x:v>c-14</x:v>
      </x:c>
      <x:c r="K90" s="323" t="n">
        <x:v>6</x:v>
      </x:c>
      <x:c r="L90" s="245" t="str">
        <x:v>-6</x:v>
      </x:c>
      <x:c r="M90" s="245" t="str">
        <x:v>https://www.sec.gov/Archives/edgar/data/59478/000005947826000081/lly-20260630.htm</x:v>
      </x:c>
      <x:c r="N90" s="245" t="str">
        <x:v>Consolidated operations p. 5</x:v>
      </x:c>
      <x:c r="O90" s="245" t="str">
        <x:v>Inline XBRL</x:v>
      </x:c>
      <x:c r="P90" s="245" t="str">
        <x:v>None (consolidated total)</x:v>
      </x:c>
      <x:c r="Q90" s="245" t="str">
        <x:v>Exact tag, duration, USD and Lilly CIK; no dimensions; consolidated operations table only</x:v>
      </x:c>
      <x:c r="R90" s="305" t="str">
        <x:v>8e8f10cf3af98bc12a41985a98cfde9c2b9da8a812af18515d34ce3d8e1c1b3d</x:v>
      </x:c>
      <x:c r="S90" s="328"/>
      <x:c r="T90" s="329"/>
    </x:row>
    <x:row r="91" ht="85" customHeight="1">
      <x:c r="A91" s="234" t="str">
        <x:v>coverage_prior_special</x:v>
      </x:c>
      <x:c r="B91" s="321" t="n">
        <x:v>35000000</x:v>
      </x:c>
      <x:c r="C91" s="245" t="str">
        <x:v>prior special</x:v>
      </x:c>
      <x:c r="D91" s="244" t="d">
        <x:v>2025-01-01T00:00:00.000Z</x:v>
      </x:c>
      <x:c r="E91" s="244" t="d">
        <x:v>2025-06-30T00:00:00.000Z</x:v>
      </x:c>
      <x:c r="F91" s="245" t="str">
        <x:v>10-Q</x:v>
      </x:c>
      <x:c r="G91" s="244" t="d">
        <x:v>2026-08-05T00:00:00.000Z</x:v>
      </x:c>
      <x:c r="H91" s="245" t="str">
        <x:v>0000059478-26-000081</x:v>
      </x:c>
      <x:c r="I91" s="245" t="str">
        <x:v>us-gaap:RestructuringSettlementAndImpairmentProvisions</x:v>
      </x:c>
      <x:c r="J91" s="245" t="str">
        <x:v>c-14</x:v>
      </x:c>
      <x:c r="K91" s="323" t="n">
        <x:v>6</x:v>
      </x:c>
      <x:c r="L91" s="245" t="str">
        <x:v>-6</x:v>
      </x:c>
      <x:c r="M91" s="245" t="str">
        <x:v>https://www.sec.gov/Archives/edgar/data/59478/000005947826000081/lly-20260630.htm</x:v>
      </x:c>
      <x:c r="N91" s="245" t="str">
        <x:v>Consolidated operations p. 5</x:v>
      </x:c>
      <x:c r="O91" s="245" t="str">
        <x:v>Inline XBRL</x:v>
      </x:c>
      <x:c r="P91" s="245" t="str">
        <x:v>None (consolidated total)</x:v>
      </x:c>
      <x:c r="Q91" s="245" t="str">
        <x:v>Exact tag, duration, USD and Lilly CIK; no dimensions; consolidated operations table only</x:v>
      </x:c>
      <x:c r="R91" s="305" t="str">
        <x:v>8e8f10cf3af98bc12a41985a98cfde9c2b9da8a812af18515d34ce3d8e1c1b3d</x:v>
      </x:c>
      <x:c r="S91" s="328"/>
      <x:c r="T91" s="329"/>
    </x:row>
    <x:row r="92" ht="85" customHeight="1">
      <x:c r="A92" s="234" t="str">
        <x:v>coverage_prior_other_income</x:v>
      </x:c>
      <x:c r="B92" s="321" t="n">
        <x:v>-329000000</x:v>
      </x:c>
      <x:c r="C92" s="245" t="str">
        <x:v>prior other_income</x:v>
      </x:c>
      <x:c r="D92" s="244" t="d">
        <x:v>2025-01-01T00:00:00.000Z</x:v>
      </x:c>
      <x:c r="E92" s="244" t="d">
        <x:v>2025-06-30T00:00:00.000Z</x:v>
      </x:c>
      <x:c r="F92" s="245" t="str">
        <x:v>10-Q</x:v>
      </x:c>
      <x:c r="G92" s="244" t="d">
        <x:v>2026-08-05T00:00:00.000Z</x:v>
      </x:c>
      <x:c r="H92" s="245" t="str">
        <x:v>0000059478-26-000081</x:v>
      </x:c>
      <x:c r="I92" s="245" t="str">
        <x:v>us-gaap:NonoperatingIncomeExpense</x:v>
      </x:c>
      <x:c r="J92" s="245" t="str">
        <x:v>c-14</x:v>
      </x:c>
      <x:c r="K92" s="323" t="n">
        <x:v>6</x:v>
      </x:c>
      <x:c r="L92" s="245" t="str">
        <x:v>-6</x:v>
      </x:c>
      <x:c r="M92" s="245" t="str">
        <x:v>https://www.sec.gov/Archives/edgar/data/59478/000005947826000081/lly-20260630.htm</x:v>
      </x:c>
      <x:c r="N92" s="245" t="str">
        <x:v>Consolidated operations p. 5</x:v>
      </x:c>
      <x:c r="O92" s="245" t="str">
        <x:v>Inline XBRL</x:v>
      </x:c>
      <x:c r="P92" s="245" t="str">
        <x:v>None (consolidated total)</x:v>
      </x:c>
      <x:c r="Q92" s="245" t="str">
        <x:v>Exact tag, duration, USD and Lilly CIK; no dimensions; consolidated operations table only</x:v>
      </x:c>
      <x:c r="R92" s="305" t="str">
        <x:v>8e8f10cf3af98bc12a41985a98cfde9c2b9da8a812af18515d34ce3d8e1c1b3d</x:v>
      </x:c>
      <x:c r="S92" s="328"/>
      <x:c r="T92" s="329"/>
    </x:row>
    <x:row r="93" ht="85" customHeight="1">
      <x:c r="A93" s="234" t="str">
        <x:v>coverage_prior_pretax</x:v>
      </x:c>
      <x:c r="B93" s="321" t="n">
        <x:v>10233000000</x:v>
      </x:c>
      <x:c r="C93" s="245" t="str">
        <x:v>prior pretax</x:v>
      </x:c>
      <x:c r="D93" s="244" t="d">
        <x:v>2025-01-01T00:00:00.000Z</x:v>
      </x:c>
      <x:c r="E93" s="244" t="d">
        <x:v>2025-06-30T00:00:00.000Z</x:v>
      </x:c>
      <x:c r="F93" s="245" t="str">
        <x:v>10-Q</x:v>
      </x:c>
      <x:c r="G93" s="244" t="d">
        <x:v>2026-08-05T00:00:00.000Z</x:v>
      </x:c>
      <x:c r="H93" s="245" t="str">
        <x:v>0000059478-26-000081</x:v>
      </x:c>
      <x:c r="I93" s="245" t="str">
        <x:v>us-gaap:IncomeLossFromContinuingOperationsBeforeIncomeTaxesExtraordinaryItemsNoncontrollingInterest</x:v>
      </x:c>
      <x:c r="J93" s="245" t="str">
        <x:v>c-14</x:v>
      </x:c>
      <x:c r="K93" s="323" t="n">
        <x:v>6</x:v>
      </x:c>
      <x:c r="L93" s="245" t="str">
        <x:v>-6</x:v>
      </x:c>
      <x:c r="M93" s="245" t="str">
        <x:v>https://www.sec.gov/Archives/edgar/data/59478/000005947826000081/lly-20260630.htm</x:v>
      </x:c>
      <x:c r="N93" s="245" t="str">
        <x:v>Consolidated operations p. 5</x:v>
      </x:c>
      <x:c r="O93" s="245" t="str">
        <x:v>Inline XBRL</x:v>
      </x:c>
      <x:c r="P93" s="245" t="str">
        <x:v>None (consolidated total)</x:v>
      </x:c>
      <x:c r="Q93" s="245" t="str">
        <x:v>Exact tag, duration, USD and Lilly CIK; no dimensions; consolidated operations table only</x:v>
      </x:c>
      <x:c r="R93" s="305" t="str">
        <x:v>8e8f10cf3af98bc12a41985a98cfde9c2b9da8a812af18515d34ce3d8e1c1b3d</x:v>
      </x:c>
      <x:c r="S93" s="328"/>
      <x:c r="T93" s="329"/>
    </x:row>
    <x:row r="94" ht="85" customHeight="1">
      <x:c r="A94" s="234" t="str">
        <x:v>coverage_prior_interest</x:v>
      </x:c>
      <x:c r="B94" s="321" t="n">
        <x:v>493000000</x:v>
      </x:c>
      <x:c r="C94" s="245" t="str">
        <x:v>prior interest</x:v>
      </x:c>
      <x:c r="D94" s="244" t="d">
        <x:v>2025-01-01T00:00:00.000Z</x:v>
      </x:c>
      <x:c r="E94" s="244" t="d">
        <x:v>2025-06-30T00:00:00.000Z</x:v>
      </x:c>
      <x:c r="F94" s="245" t="str">
        <x:v>10-Q</x:v>
      </x:c>
      <x:c r="G94" s="244" t="d">
        <x:v>2026-08-05T00:00:00.000Z</x:v>
      </x:c>
      <x:c r="H94" s="245" t="str">
        <x:v>0000059478-26-000081</x:v>
      </x:c>
      <x:c r="I94" s="245" t="str">
        <x:v>us-gaap:InterestExpenseNonoperating</x:v>
      </x:c>
      <x:c r="J94" s="245" t="str">
        <x:v>c-398</x:v>
      </x:c>
      <x:c r="K94" s="323" t="n">
        <x:v>6</x:v>
      </x:c>
      <x:c r="L94" s="245" t="str">
        <x:v>-6</x:v>
      </x:c>
      <x:c r="M94" s="245" t="str">
        <x:v>https://www.sec.gov/Archives/edgar/data/59478/000005947826000081/lly-20260630.htm</x:v>
      </x:c>
      <x:c r="N94" s="245" t="str">
        <x:v>Note 11 p. 23</x:v>
      </x:c>
      <x:c r="O94" s="245" t="str">
        <x:v>Inline XBRL</x:v>
      </x:c>
      <x:c r="P94" s="245" t="str">
        <x:v>us-gaap:StatementBusinessSegmentsAxis = lly:ReportableSegmentMember</x:v>
      </x:c>
      <x:c r="Q94" s="245" t="str">
        <x:v>Exact tag, duration, USD and Lilly CIK; exact single-segment dimension</x:v>
      </x:c>
      <x:c r="R94" s="305" t="str">
        <x:v>8e8f10cf3af98bc12a41985a98cfde9c2b9da8a812af18515d34ce3d8e1c1b3d</x:v>
      </x:c>
      <x:c r="S94" s="328"/>
      <x:c r="T94" s="329"/>
    </x:row>
    <x:row r="95" ht="85" customHeight="1">
      <x:c r="A95" s="234" t="str">
        <x:v>may_notes_0</x:v>
      </x:c>
      <x:c r="B95" s="321" t="n">
        <x:v>750000000</x:v>
      </x:c>
      <x:c r="C95" s="245" t="str">
        <x:v>Floating 2028 — May 20 initial issue</x:v>
      </x:c>
      <x:c r="D95" s="322"/>
      <x:c r="E95" s="244" t="d">
        <x:v>2028-05-20T00:00:00.000Z</x:v>
      </x:c>
      <x:c r="F95" s="245" t="str">
        <x:v>8-K Ex. 4.4</x:v>
      </x:c>
      <x:c r="G95" s="244" t="d">
        <x:v>2026-05-20T00:00:00.000Z</x:v>
      </x:c>
      <x:c r="H95" s="245" t="str">
        <x:v>0001193125-26-232707</x:v>
      </x:c>
      <x:c r="I95" s="312"/>
      <x:c r="J95" s="312"/>
      <x:c r="K95" s="312"/>
      <x:c r="L95" s="312"/>
      <x:c r="M95" s="245" t="str">
        <x:v>https://www.sec.gov/Archives/edgar/data/59478/000119312526232707/d148580dex44.htm</x:v>
      </x:c>
      <x:c r="N95" s="245" t="str">
        <x:v>Certificate clauses (iii)–(v); note forms</x:v>
      </x:c>
      <x:c r="O95" s="245" t="str">
        <x:v>Reviewed contract text</x:v>
      </x:c>
      <x:c r="P95" s="245" t="str">
        <x:v>None (consolidated total)</x:v>
      </x:c>
      <x:c r="Q95" s="245" t="str">
        <x:v>Initial issue principal, not June outstanding balance. Issued 2026-05-20. Stated maturity subject to applicable business-day, redemption and default provisions. Not added to June debt or the December carrying-amount table.</x:v>
      </x:c>
      <x:c r="R95" s="305" t="str">
        <x:v>abe96195bc60dfbb1bbdb90af64d2e548b2b743cfe34901cdf512542c9c576b9</x:v>
      </x:c>
      <x:c r="S95" s="328"/>
      <x:c r="T95" s="330" t="n">
        <x:v>0.0035</x:v>
      </x:c>
    </x:row>
    <x:row r="96" ht="85" customHeight="1">
      <x:c r="A96" s="234" t="str">
        <x:v>may_notes_1</x:v>
      </x:c>
      <x:c r="B96" s="321" t="n">
        <x:v>500000000</x:v>
      </x:c>
      <x:c r="C96" s="245" t="str">
        <x:v>Floating 2029 — May 20 initial issue</x:v>
      </x:c>
      <x:c r="D96" s="322"/>
      <x:c r="E96" s="244" t="d">
        <x:v>2029-05-20T00:00:00.000Z</x:v>
      </x:c>
      <x:c r="F96" s="245" t="str">
        <x:v>8-K Ex. 4.4</x:v>
      </x:c>
      <x:c r="G96" s="244" t="d">
        <x:v>2026-05-20T00:00:00.000Z</x:v>
      </x:c>
      <x:c r="H96" s="245" t="str">
        <x:v>0001193125-26-232707</x:v>
      </x:c>
      <x:c r="I96" s="312"/>
      <x:c r="J96" s="312"/>
      <x:c r="K96" s="312"/>
      <x:c r="L96" s="312"/>
      <x:c r="M96" s="245" t="str">
        <x:v>https://www.sec.gov/Archives/edgar/data/59478/000119312526232707/d148580dex44.htm</x:v>
      </x:c>
      <x:c r="N96" s="245" t="str">
        <x:v>Certificate clauses (iii)–(v); note forms</x:v>
      </x:c>
      <x:c r="O96" s="245" t="str">
        <x:v>Reviewed contract text</x:v>
      </x:c>
      <x:c r="P96" s="245" t="str">
        <x:v>None (consolidated total)</x:v>
      </x:c>
      <x:c r="Q96" s="245" t="str">
        <x:v>Initial issue principal, not June outstanding balance. Issued 2026-05-20. Stated maturity subject to applicable business-day, redemption and default provisions. Not added to June debt or the December carrying-amount table.</x:v>
      </x:c>
      <x:c r="R96" s="305" t="str">
        <x:v>abe96195bc60dfbb1bbdb90af64d2e548b2b743cfe34901cdf512542c9c576b9</x:v>
      </x:c>
      <x:c r="S96" s="328"/>
      <x:c r="T96" s="330" t="n">
        <x:v>0.0046</x:v>
      </x:c>
    </x:row>
    <x:row r="97" ht="85" customHeight="1">
      <x:c r="A97" s="234" t="str">
        <x:v>may_notes_2</x:v>
      </x:c>
      <x:c r="B97" s="321" t="n">
        <x:v>750000000</x:v>
      </x:c>
      <x:c r="C97" s="245" t="str">
        <x:v>Fixed 2029 — May 20 initial issue</x:v>
      </x:c>
      <x:c r="D97" s="322"/>
      <x:c r="E97" s="244" t="d">
        <x:v>2029-05-20T00:00:00.000Z</x:v>
      </x:c>
      <x:c r="F97" s="245" t="str">
        <x:v>8-K Ex. 4.3</x:v>
      </x:c>
      <x:c r="G97" s="244" t="d">
        <x:v>2026-05-20T00:00:00.000Z</x:v>
      </x:c>
      <x:c r="H97" s="245" t="str">
        <x:v>0001193125-26-232707</x:v>
      </x:c>
      <x:c r="I97" s="312"/>
      <x:c r="J97" s="312"/>
      <x:c r="K97" s="312"/>
      <x:c r="L97" s="312"/>
      <x:c r="M97" s="245" t="str">
        <x:v>https://www.sec.gov/Archives/edgar/data/59478/000119312526232707/d148580dex43.htm</x:v>
      </x:c>
      <x:c r="N97" s="245" t="str">
        <x:v>Certificate clauses (iii)–(v); note forms</x:v>
      </x:c>
      <x:c r="O97" s="245" t="str">
        <x:v>Reviewed contract text</x:v>
      </x:c>
      <x:c r="P97" s="245" t="str">
        <x:v>None (consolidated total)</x:v>
      </x:c>
      <x:c r="Q97" s="245" t="str">
        <x:v>Initial issue principal, not June outstanding balance. Issued 2026-05-20. Stated maturity subject to applicable business-day, redemption and default provisions. Not added to June debt or the December carrying-amount table.</x:v>
      </x:c>
      <x:c r="R97" s="305" t="str">
        <x:v>23483435eff9194a1858f9a71159cb4d3d661db65eff0ff4d950bb7f4e783b97</x:v>
      </x:c>
      <x:c r="S97" s="331" t="n">
        <x:v>0.0415</x:v>
      </x:c>
      <x:c r="T97" s="329"/>
    </x:row>
    <x:row r="98" ht="85" customHeight="1">
      <x:c r="A98" s="234" t="str">
        <x:v>may_notes_3</x:v>
      </x:c>
      <x:c r="B98" s="321" t="n">
        <x:v>1500000000</x:v>
      </x:c>
      <x:c r="C98" s="245" t="str">
        <x:v>Fixed 2031 — May 20 initial issue</x:v>
      </x:c>
      <x:c r="D98" s="322"/>
      <x:c r="E98" s="244" t="d">
        <x:v>2031-05-20T00:00:00.000Z</x:v>
      </x:c>
      <x:c r="F98" s="245" t="str">
        <x:v>8-K Ex. 4.3</x:v>
      </x:c>
      <x:c r="G98" s="244" t="d">
        <x:v>2026-05-20T00:00:00.000Z</x:v>
      </x:c>
      <x:c r="H98" s="245" t="str">
        <x:v>0001193125-26-232707</x:v>
      </x:c>
      <x:c r="I98" s="312"/>
      <x:c r="J98" s="312"/>
      <x:c r="K98" s="312"/>
      <x:c r="L98" s="312"/>
      <x:c r="M98" s="245" t="str">
        <x:v>https://www.sec.gov/Archives/edgar/data/59478/000119312526232707/d148580dex43.htm</x:v>
      </x:c>
      <x:c r="N98" s="245" t="str">
        <x:v>Certificate clauses (iii)–(v); note forms</x:v>
      </x:c>
      <x:c r="O98" s="245" t="str">
        <x:v>Reviewed contract text</x:v>
      </x:c>
      <x:c r="P98" s="245" t="str">
        <x:v>None (consolidated total)</x:v>
      </x:c>
      <x:c r="Q98" s="245" t="str">
        <x:v>Initial issue principal, not June outstanding balance. Issued 2026-05-20. Stated maturity subject to applicable business-day, redemption and default provisions. Not added to June debt or the December carrying-amount table.</x:v>
      </x:c>
      <x:c r="R98" s="305" t="str">
        <x:v>23483435eff9194a1858f9a71159cb4d3d661db65eff0ff4d950bb7f4e783b97</x:v>
      </x:c>
      <x:c r="S98" s="331" t="n">
        <x:v>0.04375</x:v>
      </x:c>
      <x:c r="T98" s="329"/>
    </x:row>
    <x:row r="99" ht="85" customHeight="1">
      <x:c r="A99" s="234" t="str">
        <x:v>may_notes_4</x:v>
      </x:c>
      <x:c r="B99" s="321" t="n">
        <x:v>1250000000</x:v>
      </x:c>
      <x:c r="C99" s="245" t="str">
        <x:v>Fixed 2033 — May 20 initial issue</x:v>
      </x:c>
      <x:c r="D99" s="322"/>
      <x:c r="E99" s="244" t="d">
        <x:v>2033-05-20T00:00:00.000Z</x:v>
      </x:c>
      <x:c r="F99" s="245" t="str">
        <x:v>8-K Ex. 4.3</x:v>
      </x:c>
      <x:c r="G99" s="244" t="d">
        <x:v>2026-05-20T00:00:00.000Z</x:v>
      </x:c>
      <x:c r="H99" s="245" t="str">
        <x:v>0001193125-26-232707</x:v>
      </x:c>
      <x:c r="I99" s="312"/>
      <x:c r="J99" s="312"/>
      <x:c r="K99" s="312"/>
      <x:c r="L99" s="312"/>
      <x:c r="M99" s="245" t="str">
        <x:v>https://www.sec.gov/Archives/edgar/data/59478/000119312526232707/d148580dex43.htm</x:v>
      </x:c>
      <x:c r="N99" s="245" t="str">
        <x:v>Certificate clauses (iii)–(v); note forms</x:v>
      </x:c>
      <x:c r="O99" s="245" t="str">
        <x:v>Reviewed contract text</x:v>
      </x:c>
      <x:c r="P99" s="245" t="str">
        <x:v>None (consolidated total)</x:v>
      </x:c>
      <x:c r="Q99" s="245" t="str">
        <x:v>Initial issue principal, not June outstanding balance. Issued 2026-05-20. Stated maturity subject to applicable business-day, redemption and default provisions. Not added to June debt or the December carrying-amount table.</x:v>
      </x:c>
      <x:c r="R99" s="305" t="str">
        <x:v>23483435eff9194a1858f9a71159cb4d3d661db65eff0ff4d950bb7f4e783b97</x:v>
      </x:c>
      <x:c r="S99" s="331" t="n">
        <x:v>0.0465</x:v>
      </x:c>
      <x:c r="T99" s="329"/>
    </x:row>
    <x:row r="100" ht="85" customHeight="1">
      <x:c r="A100" s="234" t="str">
        <x:v>may_notes_5</x:v>
      </x:c>
      <x:c r="B100" s="321" t="n">
        <x:v>1500000000</x:v>
      </x:c>
      <x:c r="C100" s="245" t="str">
        <x:v>Fixed 2036 — May 20 initial issue</x:v>
      </x:c>
      <x:c r="D100" s="322"/>
      <x:c r="E100" s="244" t="d">
        <x:v>2036-05-20T00:00:00.000Z</x:v>
      </x:c>
      <x:c r="F100" s="245" t="str">
        <x:v>8-K Ex. 4.3</x:v>
      </x:c>
      <x:c r="G100" s="244" t="d">
        <x:v>2026-05-20T00:00:00.000Z</x:v>
      </x:c>
      <x:c r="H100" s="245" t="str">
        <x:v>0001193125-26-232707</x:v>
      </x:c>
      <x:c r="I100" s="312"/>
      <x:c r="J100" s="312"/>
      <x:c r="K100" s="312"/>
      <x:c r="L100" s="312"/>
      <x:c r="M100" s="245" t="str">
        <x:v>https://www.sec.gov/Archives/edgar/data/59478/000119312526232707/d148580dex43.htm</x:v>
      </x:c>
      <x:c r="N100" s="245" t="str">
        <x:v>Certificate clauses (iii)–(v); note forms</x:v>
      </x:c>
      <x:c r="O100" s="245" t="str">
        <x:v>Reviewed contract text</x:v>
      </x:c>
      <x:c r="P100" s="245" t="str">
        <x:v>None (consolidated total)</x:v>
      </x:c>
      <x:c r="Q100" s="245" t="str">
        <x:v>Initial issue principal, not June outstanding balance. Issued 2026-05-20. Stated maturity subject to applicable business-day, redemption and default provisions. Not added to June debt or the December carrying-amount table.</x:v>
      </x:c>
      <x:c r="R100" s="305" t="str">
        <x:v>23483435eff9194a1858f9a71159cb4d3d661db65eff0ff4d950bb7f4e783b97</x:v>
      </x:c>
      <x:c r="S100" s="331" t="n">
        <x:v>0.0485</x:v>
      </x:c>
      <x:c r="T100" s="329"/>
    </x:row>
    <x:row r="101" ht="85" customHeight="1">
      <x:c r="A101" s="234" t="str">
        <x:v>may_notes_6</x:v>
      </x:c>
      <x:c r="B101" s="321" t="n">
        <x:v>1750000000</x:v>
      </x:c>
      <x:c r="C101" s="245" t="str">
        <x:v>Fixed 2056 — May 20 initial issue</x:v>
      </x:c>
      <x:c r="D101" s="322"/>
      <x:c r="E101" s="244" t="d">
        <x:v>2056-05-20T00:00:00.000Z</x:v>
      </x:c>
      <x:c r="F101" s="245" t="str">
        <x:v>8-K Ex. 4.3</x:v>
      </x:c>
      <x:c r="G101" s="244" t="d">
        <x:v>2026-05-20T00:00:00.000Z</x:v>
      </x:c>
      <x:c r="H101" s="245" t="str">
        <x:v>0001193125-26-232707</x:v>
      </x:c>
      <x:c r="I101" s="312"/>
      <x:c r="J101" s="312"/>
      <x:c r="K101" s="312"/>
      <x:c r="L101" s="312"/>
      <x:c r="M101" s="245" t="str">
        <x:v>https://www.sec.gov/Archives/edgar/data/59478/000119312526232707/d148580dex43.htm</x:v>
      </x:c>
      <x:c r="N101" s="245" t="str">
        <x:v>Certificate clauses (iii)–(v); note forms</x:v>
      </x:c>
      <x:c r="O101" s="245" t="str">
        <x:v>Reviewed contract text</x:v>
      </x:c>
      <x:c r="P101" s="245" t="str">
        <x:v>None (consolidated total)</x:v>
      </x:c>
      <x:c r="Q101" s="245" t="str">
        <x:v>Initial issue principal, not June outstanding balance. Issued 2026-05-20. Stated maturity subject to applicable business-day, redemption and default provisions. Not added to June debt or the December carrying-amount table.</x:v>
      </x:c>
      <x:c r="R101" s="305" t="str">
        <x:v>23483435eff9194a1858f9a71159cb4d3d661db65eff0ff4d950bb7f4e783b97</x:v>
      </x:c>
      <x:c r="S101" s="331" t="n">
        <x:v>0.056</x:v>
      </x:c>
      <x:c r="T101" s="329"/>
    </x:row>
    <x:row r="102" ht="85" customHeight="1">
      <x:c r="A102" s="234" t="str">
        <x:v>may_notes_7</x:v>
      </x:c>
      <x:c r="B102" s="321" t="n">
        <x:v>1000000000</x:v>
      </x:c>
      <x:c r="C102" s="245" t="str">
        <x:v>Fixed 2066 — May 20 initial issue</x:v>
      </x:c>
      <x:c r="D102" s="322"/>
      <x:c r="E102" s="244" t="d">
        <x:v>2066-05-20T00:00:00.000Z</x:v>
      </x:c>
      <x:c r="F102" s="245" t="str">
        <x:v>8-K Ex. 4.3</x:v>
      </x:c>
      <x:c r="G102" s="244" t="d">
        <x:v>2026-05-20T00:00:00.000Z</x:v>
      </x:c>
      <x:c r="H102" s="245" t="str">
        <x:v>0001193125-26-232707</x:v>
      </x:c>
      <x:c r="I102" s="312"/>
      <x:c r="J102" s="312"/>
      <x:c r="K102" s="312"/>
      <x:c r="L102" s="312"/>
      <x:c r="M102" s="245" t="str">
        <x:v>https://www.sec.gov/Archives/edgar/data/59478/000119312526232707/d148580dex43.htm</x:v>
      </x:c>
      <x:c r="N102" s="245" t="str">
        <x:v>Certificate clauses (iii)–(v); note forms</x:v>
      </x:c>
      <x:c r="O102" s="245" t="str">
        <x:v>Reviewed contract text</x:v>
      </x:c>
      <x:c r="P102" s="245" t="str">
        <x:v>None (consolidated total)</x:v>
      </x:c>
      <x:c r="Q102" s="245" t="str">
        <x:v>Initial issue principal, not June outstanding balance. Issued 2026-05-20. Stated maturity subject to applicable business-day, redemption and default provisions. Not added to June debt or the December carrying-amount table.</x:v>
      </x:c>
      <x:c r="R102" s="305" t="str">
        <x:v>23483435eff9194a1858f9a71159cb4d3d661db65eff0ff4d950bb7f4e783b97</x:v>
      </x:c>
      <x:c r="S102" s="331" t="n">
        <x:v>0.057</x:v>
      </x:c>
      <x:c r="T102" s="329"/>
    </x:row>
    <x:row r="103" ht="85" customHeight="1">
      <x:c r="A103" s="235" t="str">
        <x:v>may_issue_control</x:v>
      </x:c>
      <x:c r="B103" s="324" t="n">
        <x:v>9000000000</x:v>
      </x:c>
      <x:c r="C103" s="263" t="str">
        <x:v>Reported completed May issue, initial principal</x:v>
      </x:c>
      <x:c r="D103" s="332"/>
      <x:c r="E103" s="262" t="d">
        <x:v>2026-05-20T00:00:00.000Z</x:v>
      </x:c>
      <x:c r="F103" s="263" t="str">
        <x:v>8-K</x:v>
      </x:c>
      <x:c r="G103" s="262" t="d">
        <x:v>2026-05-20T00:00:00.000Z</x:v>
      </x:c>
      <x:c r="H103" s="263" t="str">
        <x:v>0001193125-26-232707</x:v>
      </x:c>
      <x:c r="I103" s="318"/>
      <x:c r="J103" s="318"/>
      <x:c r="K103" s="318"/>
      <x:c r="L103" s="318"/>
      <x:c r="M103" s="263" t="str">
        <x:v>https://www.sec.gov/Archives/edgar/data/59478/000119312526232707/d148580d8k.htm</x:v>
      </x:c>
      <x:c r="N103" s="263" t="str">
        <x:v>Item 8.01, completed offering</x:v>
      </x:c>
      <x:c r="O103" s="263" t="str">
        <x:v>Reviewed filing text</x:v>
      </x:c>
      <x:c r="P103" s="263" t="str">
        <x:v>None (consolidated total)</x:v>
      </x:c>
      <x:c r="Q103" s="263" t="str">
        <x:v>Initial issue principal, not net cash proceeds, current outstanding debt or unused financing.</x:v>
      </x:c>
      <x:c r="R103" s="314" t="str">
        <x:v>e88aeee8cddfc4b3459ec97cd166010b955ae2d8e5bcc2e59913f995c2e233f9</x:v>
      </x:c>
      <x:c r="S103" s="333"/>
      <x:c r="T103" s="334"/>
    </x:row>
    <x:row r="106" ht="72" customHeight="1">
      <x:c r="A106" s="226" t="str">
        <x:v>Funding conclusion evidence</x:v>
      </x:c>
      <x:c r="B106" s="242" t="str">
        <x:v>Filing / filed date</x:v>
      </x:c>
      <x:c r="C106" s="242" t="str">
        <x:v>Accession</x:v>
      </x:c>
      <x:c r="D106" s="277" t="str">
        <x:v>Location</x:v>
      </x:c>
      <x:c r="L106" s="335" t="str">
        <x:v>SEC source</x:v>
      </x:c>
    </x:row>
    <x:row r="107" ht="72" customHeight="1">
      <x:c r="A107" s="234" t="str">
        <x:v>Near-term obligations</x:v>
      </x:c>
      <x:c r="B107" s="245" t="str">
        <x:v>10-Q filed Aug 5, 2026</x:v>
      </x:c>
      <x:c r="C107" s="245" t="str">
        <x:v>0000059478-26-000081</x:v>
      </x:c>
      <x:c r="D107" s="305" t="str">
        <x:v>pp. 7–8, 12–14, 17, 23, 31</x:v>
      </x:c>
      <x:c r="L107" s="336" t="str">
        <x:v>https://www.sec.gov/Archives/edgar/data/59478/000005947826000081/lly-20260630.htm</x:v>
      </x:c>
    </x:row>
    <x:row r="108" ht="72" customHeight="1">
      <x:c r="A108" s="234" t="str">
        <x:v>Resources and access</x:v>
      </x:c>
      <x:c r="B108" s="245" t="str">
        <x:v>10-Q filed Aug 5, 2026</x:v>
      </x:c>
      <x:c r="C108" s="245" t="str">
        <x:v>0000059478-26-000081</x:v>
      </x:c>
      <x:c r="D108" s="305" t="str">
        <x:v>pp. 7–8, 12–14, 17, 23, 31</x:v>
      </x:c>
      <x:c r="L108" s="336" t="str">
        <x:v>https://www.sec.gov/Archives/edgar/data/59478/000005947826000081/lly-20260630.htm</x:v>
      </x:c>
    </x:row>
    <x:row r="109" ht="72" customHeight="1">
      <x:c r="A109" s="234" t="str">
        <x:v>Resources and access</x:v>
      </x:c>
      <x:c r="B109" s="245" t="str">
        <x:v>10-K filed Feb 12, 2026</x:v>
      </x:c>
      <x:c r="C109" s="245" t="str">
        <x:v>0000059478-26-000013</x:v>
      </x:c>
      <x:c r="D109" s="305" t="str">
        <x:v>pp. 51, 57, 76–77</x:v>
      </x:c>
      <x:c r="L109" s="336" t="str">
        <x:v>https://www.sec.gov/Archives/edgar/data/59478/000005947826000013/lly-20251231.htm</x:v>
      </x:c>
    </x:row>
    <x:row r="110" ht="72" customHeight="1">
      <x:c r="A110" s="234" t="str">
        <x:v>Competing cash uses</x:v>
      </x:c>
      <x:c r="B110" s="245" t="str">
        <x:v>10-Q filed Aug 5, 2026</x:v>
      </x:c>
      <x:c r="C110" s="245" t="str">
        <x:v>0000059478-26-000081</x:v>
      </x:c>
      <x:c r="D110" s="305" t="str">
        <x:v>pp. 7–8, 12–14, 17, 23, 31</x:v>
      </x:c>
      <x:c r="L110" s="336" t="str">
        <x:v>https://www.sec.gov/Archives/edgar/data/59478/000005947826000081/lly-20260630.htm</x:v>
      </x:c>
    </x:row>
    <x:row r="111" ht="72" customHeight="1">
      <x:c r="A111" s="234" t="str">
        <x:v>Competing cash uses</x:v>
      </x:c>
      <x:c r="B111" s="245" t="str">
        <x:v>Earnings exhibit filed Aug 5, 2026</x:v>
      </x:c>
      <x:c r="C111" s="245" t="str">
        <x:v>0000059478-26-000077</x:v>
      </x:c>
      <x:c r="D111" s="305" t="str">
        <x:v>Other announcements</x:v>
      </x:c>
      <x:c r="L111" s="336" t="str">
        <x:v>https://www.sec.gov/Archives/edgar/data/59478/000005947826000077/q226lillysalesandearningsp.htm</x:v>
      </x:c>
    </x:row>
    <x:row r="112" ht="72" customHeight="1">
      <x:c r="A112" s="234" t="str">
        <x:v>Decisive unknowns</x:v>
      </x:c>
      <x:c r="B112" s="245" t="str">
        <x:v>10-Q filed Aug 5, 2026</x:v>
      </x:c>
      <x:c r="C112" s="245" t="str">
        <x:v>0000059478-26-000081</x:v>
      </x:c>
      <x:c r="D112" s="305" t="str">
        <x:v>pp. 7–8, 12–14, 17, 23, 31</x:v>
      </x:c>
      <x:c r="L112" s="336" t="str">
        <x:v>https://www.sec.gov/Archives/edgar/data/59478/000005947826000081/lly-20260630.htm</x:v>
      </x:c>
    </x:row>
    <x:row r="113" ht="72" customHeight="1">
      <x:c r="A113" s="234" t="str">
        <x:v>Decisive unknowns</x:v>
      </x:c>
      <x:c r="B113" s="245" t="str">
        <x:v>10-K filed Feb 12, 2026</x:v>
      </x:c>
      <x:c r="C113" s="245" t="str">
        <x:v>0000059478-26-000013</x:v>
      </x:c>
      <x:c r="D113" s="305" t="str">
        <x:v>pp. 51, 57, 76–77</x:v>
      </x:c>
      <x:c r="L113" s="336" t="str">
        <x:v>https://www.sec.gov/Archives/edgar/data/59478/000005947826000013/lly-20251231.htm</x:v>
      </x:c>
    </x:row>
    <x:row r="114" ht="72" customHeight="1">
      <x:c r="A114" s="234" t="str">
        <x:v>Decisive unknowns</x:v>
      </x:c>
      <x:c r="B114" s="245" t="str">
        <x:v>Earnings exhibit filed Aug 5, 2026</x:v>
      </x:c>
      <x:c r="C114" s="245" t="str">
        <x:v>0000059478-26-000077</x:v>
      </x:c>
      <x:c r="D114" s="305" t="str">
        <x:v>Other announcements</x:v>
      </x:c>
      <x:c r="L114" s="336" t="str">
        <x:v>https://www.sec.gov/Archives/edgar/data/59478/000005947826000077/q226lillysalesandearningsp.htm</x:v>
      </x:c>
    </x:row>
    <x:row r="115" ht="72" customHeight="1">
      <x:c r="A115" s="234" t="str">
        <x:v>Historical coverage</x:v>
      </x:c>
      <x:c r="B115" s="245" t="str">
        <x:v>10-Q filed Aug 5, 2026</x:v>
      </x:c>
      <x:c r="C115" s="245" t="str">
        <x:v>0000059478-26-000081</x:v>
      </x:c>
      <x:c r="D115" s="305" t="str">
        <x:v>Operations p. 5; segment Note 11 p. 23</x:v>
      </x:c>
      <x:c r="L115" s="336" t="str">
        <x:v>https://www.sec.gov/Archives/edgar/data/59478/000005947826000081/lly-20260630.htm</x:v>
      </x:c>
    </x:row>
    <x:row r="116" ht="72" customHeight="1">
      <x:c r="A116" s="235" t="str">
        <x:v>Historical coverage</x:v>
      </x:c>
      <x:c r="B116" s="263" t="str">
        <x:v>10-K filed Feb 12, 2026</x:v>
      </x:c>
      <x:c r="C116" s="263" t="str">
        <x:v>0000059478-26-000013</x:v>
      </x:c>
      <x:c r="D116" s="314" t="str">
        <x:v>Operations p. 57; Borrowings Note 11 p. 77</x:v>
      </x:c>
      <x:c r="L116" s="337" t="str">
        <x:v>https://www.sec.gov/Archives/edgar/data/59478/000005947826000013/lly-20251231.htm</x:v>
      </x:c>
    </x:row>
    <x:row r="119" ht="78" customHeight="1">
      <x:c r="A119" s="226" t="str">
        <x:v>Input</x:v>
      </x:c>
      <x:c r="B119" s="242" t="str">
        <x:v>USD millions</x:v>
      </x:c>
      <x:c r="C119" s="242" t="str">
        <x:v>Period start</x:v>
      </x:c>
      <x:c r="D119" s="242" t="str">
        <x:v>Period end</x:v>
      </x:c>
      <x:c r="E119" s="242" t="str">
        <x:v>Form</x:v>
      </x:c>
      <x:c r="F119" s="242" t="str">
        <x:v>Filed</x:v>
      </x:c>
      <x:c r="G119" s="242" t="str">
        <x:v>Accession</x:v>
      </x:c>
      <x:c r="H119" s="242" t="str">
        <x:v>Tag</x:v>
      </x:c>
      <x:c r="I119" s="242" t="str">
        <x:v>Context</x:v>
      </x:c>
      <x:c r="J119" s="242" t="str">
        <x:v>Scale</x:v>
      </x:c>
      <x:c r="K119" s="242" t="str">
        <x:v>Decimals</x:v>
      </x:c>
      <x:c r="L119" s="242" t="str">
        <x:v>Source</x:v>
      </x:c>
      <x:c r="M119" s="242" t="str">
        <x:v>Filing location</x:v>
      </x:c>
      <x:c r="N119" s="242" t="str">
        <x:v>Selection / Unavailable reason</x:v>
      </x:c>
      <x:c r="O119" s="277" t="str">
        <x:v>Reviewed source SHA256</x:v>
      </x:c>
    </x:row>
    <x:row r="120" ht="78" customHeight="1">
      <x:c r="A120" s="234" t="str">
        <x:v>Current borrowing</x:v>
      </x:c>
      <x:c r="B120" s="321" t="n">
        <x:v>7050000000</x:v>
      </x:c>
      <x:c r="C120" s="312"/>
      <x:c r="D120" s="244" t="d">
        <x:v>2026-06-30T00:00:00.000Z</x:v>
      </x:c>
      <x:c r="E120" s="245" t="str">
        <x:v>10-Q</x:v>
      </x:c>
      <x:c r="F120" s="244" t="d">
        <x:v>2026-08-05T00:00:00.000Z</x:v>
      </x:c>
      <x:c r="G120" s="245" t="str">
        <x:v>0000059478-26-000081</x:v>
      </x:c>
      <x:c r="H120" s="245" t="str">
        <x:v>us-gaap:DebtCurrent</x:v>
      </x:c>
      <x:c r="I120" s="312"/>
      <x:c r="J120" s="312"/>
      <x:c r="K120" s="312"/>
      <x:c r="L120" s="245" t="str">
        <x:v>https://www.sec.gov/Archives/edgar/data/59478/000005947826000081/lly-20260630.htm</x:v>
      </x:c>
      <x:c r="M120" s="245" t="str">
        <x:v>10-Q balance sheet, p. 7</x:v>
      </x:c>
      <x:c r="N120" s="245" t="str">
        <x:v>USD instant at the balance-sheet date, from the latest original 10-K or 10-Q itself</x:v>
      </x:c>
      <x:c r="O120" s="313" t="str"/>
    </x:row>
    <x:row r="121" ht="78" customHeight="1">
      <x:c r="A121" s="234" t="str">
        <x:v>Noncurrent borrowing</x:v>
      </x:c>
      <x:c r="B121" s="321" t="n">
        <x:v>47858000000</x:v>
      </x:c>
      <x:c r="C121" s="312"/>
      <x:c r="D121" s="244" t="d">
        <x:v>2026-06-30T00:00:00.000Z</x:v>
      </x:c>
      <x:c r="E121" s="245" t="str">
        <x:v>10-Q</x:v>
      </x:c>
      <x:c r="F121" s="244" t="d">
        <x:v>2026-08-05T00:00:00.000Z</x:v>
      </x:c>
      <x:c r="G121" s="245" t="str">
        <x:v>0000059478-26-000081</x:v>
      </x:c>
      <x:c r="H121" s="245" t="str">
        <x:v>us-gaap:LongTermDebtNoncurrent</x:v>
      </x:c>
      <x:c r="I121" s="312"/>
      <x:c r="J121" s="312"/>
      <x:c r="K121" s="312"/>
      <x:c r="L121" s="245" t="str">
        <x:v>https://www.sec.gov/Archives/edgar/data/59478/000005947826000081/lly-20260630.htm</x:v>
      </x:c>
      <x:c r="M121" s="245" t="str">
        <x:v>10-Q balance sheet, p. 7</x:v>
      </x:c>
      <x:c r="N121" s="245" t="str">
        <x:v>USD instant at the balance-sheet date, from the latest original 10-K or 10-Q itself</x:v>
      </x:c>
      <x:c r="O121" s="313" t="str"/>
    </x:row>
    <x:row r="122" ht="78" customHeight="1">
      <x:c r="A122" s="234" t="str">
        <x:v>Latest-date lease liabilities — Unavailable</x:v>
      </x:c>
      <x:c r="B122" s="338"/>
      <x:c r="C122" s="312"/>
      <x:c r="D122" s="244" t="d">
        <x:v>2026-06-30T00:00:00.000Z</x:v>
      </x:c>
      <x:c r="E122" s="245" t="str">
        <x:v>10-Q</x:v>
      </x:c>
      <x:c r="F122" s="244" t="d">
        <x:v>2026-08-05T00:00:00.000Z</x:v>
      </x:c>
      <x:c r="G122" s="245" t="str">
        <x:v>0000059478-26-000081</x:v>
      </x:c>
      <x:c r="H122" s="312"/>
      <x:c r="I122" s="312"/>
      <x:c r="J122" s="312"/>
      <x:c r="K122" s="312"/>
      <x:c r="L122" s="245" t="str">
        <x:v>https://www.sec.gov/Archives/edgar/data/59478/000005947826000081/lly-20260630.htm</x:v>
      </x:c>
      <x:c r="M122" s="245" t="str">
        <x:v>10-Q balance sheet, p. 7</x:v>
      </x:c>
      <x:c r="N122" s="245" t="str">
        <x:v>USD instant at the balance-sheet date, from the latest original 10-K or 10-Q itself Latest-date lease liabilities Unavailable; no checked amount in the 10-Q.</x:v>
      </x:c>
      <x:c r="O122" s="313" t="str"/>
    </x:row>
    <x:row r="123" ht="78" customHeight="1">
      <x:c r="A123" s="234" t="str">
        <x:v>Operating lease liabilities — current</x:v>
      </x:c>
      <x:c r="B123" s="321" t="n">
        <x:v>222000000</x:v>
      </x:c>
      <x:c r="C123" s="312"/>
      <x:c r="D123" s="244" t="d">
        <x:v>2025-12-31T00:00:00.000Z</x:v>
      </x:c>
      <x:c r="E123" s="245" t="str">
        <x:v>10-K</x:v>
      </x:c>
      <x:c r="F123" s="244" t="d">
        <x:v>2026-02-12T00:00:00.000Z</x:v>
      </x:c>
      <x:c r="G123" s="245" t="str">
        <x:v>0000059478-26-000013</x:v>
      </x:c>
      <x:c r="H123" s="245" t="str">
        <x:v>us-gaap:OperatingLeaseLiabilityCurrent</x:v>
      </x:c>
      <x:c r="I123" s="245" t="str">
        <x:v>c-16</x:v>
      </x:c>
      <x:c r="J123" s="323" t="n">
        <x:v>6</x:v>
      </x:c>
      <x:c r="K123" s="245" t="str">
        <x:v>-6</x:v>
      </x:c>
      <x:c r="L123" s="245" t="str">
        <x:v>https://www.sec.gov/Archives/edgar/data/59478/000005947826000013/lly-20251231.htm</x:v>
      </x:c>
      <x:c r="M123" s="245" t="str">
        <x:v>10-K Note 10, p. 76</x:v>
      </x:c>
      <x:c r="N123" s="245" t="str">
        <x:v>Exact prefixed tag; exact stated instant; USD; no dimensions; agreeing duplicates.</x:v>
      </x:c>
      <x:c r="O123" s="305" t="str">
        <x:v>d45f8d1e0945df0b7b30254e96ff8c5dbd1df7d15b17c8ef7399c8e0206b7d7f</x:v>
      </x:c>
    </x:row>
    <x:row r="124" ht="78" customHeight="1">
      <x:c r="A124" s="234" t="str">
        <x:v>Operating lease liabilities — noncurrent</x:v>
      </x:c>
      <x:c r="B124" s="321" t="n">
        <x:v>1140000000</x:v>
      </x:c>
      <x:c r="C124" s="312"/>
      <x:c r="D124" s="244" t="d">
        <x:v>2025-12-31T00:00:00.000Z</x:v>
      </x:c>
      <x:c r="E124" s="245" t="str">
        <x:v>10-K</x:v>
      </x:c>
      <x:c r="F124" s="244" t="d">
        <x:v>2026-02-12T00:00:00.000Z</x:v>
      </x:c>
      <x:c r="G124" s="245" t="str">
        <x:v>0000059478-26-000013</x:v>
      </x:c>
      <x:c r="H124" s="245" t="str">
        <x:v>us-gaap:OperatingLeaseLiabilityNoncurrent</x:v>
      </x:c>
      <x:c r="I124" s="245" t="str">
        <x:v>c-16</x:v>
      </x:c>
      <x:c r="J124" s="323" t="n">
        <x:v>6</x:v>
      </x:c>
      <x:c r="K124" s="245" t="str">
        <x:v>-6</x:v>
      </x:c>
      <x:c r="L124" s="245" t="str">
        <x:v>https://www.sec.gov/Archives/edgar/data/59478/000005947826000013/lly-20251231.htm</x:v>
      </x:c>
      <x:c r="M124" s="245" t="str">
        <x:v>10-K Note 10, p. 76</x:v>
      </x:c>
      <x:c r="N124" s="245" t="str">
        <x:v>Exact prefixed tag; exact stated instant; USD; no dimensions; agreeing duplicates.</x:v>
      </x:c>
      <x:c r="O124" s="305" t="str">
        <x:v>d45f8d1e0945df0b7b30254e96ff8c5dbd1df7d15b17c8ef7399c8e0206b7d7f</x:v>
      </x:c>
    </x:row>
    <x:row r="125" ht="78" customHeight="1">
      <x:c r="A125" s="234" t="str">
        <x:v>Finance lease liabilities — requested date, Unavailable</x:v>
      </x:c>
      <x:c r="B125" s="338"/>
      <x:c r="C125" s="312"/>
      <x:c r="D125" s="244" t="d">
        <x:v>2026-06-30T00:00:00.000Z</x:v>
      </x:c>
      <x:c r="E125" s="245" t="str">
        <x:v>10-Q</x:v>
      </x:c>
      <x:c r="F125" s="244" t="d">
        <x:v>2026-08-05T00:00:00.000Z</x:v>
      </x:c>
      <x:c r="G125" s="245" t="str">
        <x:v>0000059478-26-000081</x:v>
      </x:c>
      <x:c r="H125" s="312"/>
      <x:c r="I125" s="312"/>
      <x:c r="J125" s="312"/>
      <x:c r="K125" s="312"/>
      <x:c r="L125" s="245" t="str">
        <x:v>https://www.sec.gov/Archives/edgar/data/59478/000005947826000081/lly-20260630.htm</x:v>
      </x:c>
      <x:c r="M125" s="245" t="str">
        <x:v>10-Q review; June amount not established</x:v>
      </x:c>
      <x:c r="N125" s="245" t="str">
        <x:v> No checked June amount. The 10-K describes operating leases only; finance leases are not reported, which is not zero.</x:v>
      </x:c>
      <x:c r="O125" s="313" t="str"/>
    </x:row>
    <x:row r="126" ht="78" customHeight="1">
      <x:c r="A126" s="235" t="str">
        <x:v>Leases not yet commenced — Unavailable</x:v>
      </x:c>
      <x:c r="B126" s="339"/>
      <x:c r="C126" s="318"/>
      <x:c r="D126" s="262" t="d">
        <x:v>2026-06-30T00:00:00.000Z</x:v>
      </x:c>
      <x:c r="E126" s="263" t="str">
        <x:v>10-Q</x:v>
      </x:c>
      <x:c r="F126" s="262" t="d">
        <x:v>2026-08-05T00:00:00.000Z</x:v>
      </x:c>
      <x:c r="G126" s="263" t="str">
        <x:v>0000059478-26-000081</x:v>
      </x:c>
      <x:c r="H126" s="318"/>
      <x:c r="I126" s="318"/>
      <x:c r="J126" s="318"/>
      <x:c r="K126" s="318"/>
      <x:c r="L126" s="263" t="str">
        <x:v>https://www.sec.gov/Archives/edgar/data/59478/000005947826000081/lly-20260630.htm</x:v>
      </x:c>
      <x:c r="M126" s="263" t="str">
        <x:v>Saved pilot evidence; 10-Q review</x:v>
      </x:c>
      <x:c r="N126" s="263" t="str">
        <x:v> No checked amount for leases not yet commenced is established in the saved pilot evidence. Unavailable does not mean zero.</x:v>
      </x:c>
      <x:c r="O126" s="326" t="str"/>
    </x:row>
    <x:row r="129" ht="70" customHeight="1">
      <x:c r="A129" s="226" t="str">
        <x:v>Input</x:v>
      </x:c>
      <x:c r="B129" s="242" t="str">
        <x:v>USD millions</x:v>
      </x:c>
      <x:c r="C129" s="242" t="str">
        <x:v>Period start</x:v>
      </x:c>
      <x:c r="D129" s="242" t="str">
        <x:v>Period end</x:v>
      </x:c>
      <x:c r="E129" s="242" t="str">
        <x:v>Form</x:v>
      </x:c>
      <x:c r="F129" s="242" t="str">
        <x:v>Filed</x:v>
      </x:c>
      <x:c r="G129" s="242" t="str">
        <x:v>Accession</x:v>
      </x:c>
      <x:c r="H129" s="242" t="str">
        <x:v>Tag</x:v>
      </x:c>
      <x:c r="I129" s="242" t="str">
        <x:v>Context</x:v>
      </x:c>
      <x:c r="J129" s="242" t="str">
        <x:v>Scale</x:v>
      </x:c>
      <x:c r="K129" s="242" t="str">
        <x:v>Decimals</x:v>
      </x:c>
      <x:c r="L129" s="242" t="str">
        <x:v>Source</x:v>
      </x:c>
      <x:c r="M129" s="242" t="str">
        <x:v>Selection rule</x:v>
      </x:c>
      <x:c r="N129" s="242" t="str">
        <x:v>Unavailable reason</x:v>
      </x:c>
      <x:c r="O129" s="277" t="str">
        <x:v>Notes</x:v>
      </x:c>
    </x:row>
    <x:row r="130" ht="70" customHeight="1">
      <x:c r="A130" s="234" t="str">
        <x:v>Cash and cash equivalents</x:v>
      </x:c>
      <x:c r="B130" s="321" t="n">
        <x:v>7268000000</x:v>
      </x:c>
      <x:c r="C130" s="322"/>
      <x:c r="D130" s="244" t="d">
        <x:v>2025-12-31T00:00:00.000Z</x:v>
      </x:c>
      <x:c r="E130" s="245" t="str">
        <x:v>10-K</x:v>
      </x:c>
      <x:c r="F130" s="244" t="d">
        <x:v>2026-02-12T00:00:00.000Z</x:v>
      </x:c>
      <x:c r="G130" s="245" t="str">
        <x:v>0000059478-26-000013</x:v>
      </x:c>
      <x:c r="H130" s="245" t="str">
        <x:v>us-gaap:CashAndCashEquivalentsAtCarryingValue</x:v>
      </x:c>
      <x:c r="I130" s="245" t="str">
        <x:v>c-16</x:v>
      </x:c>
      <x:c r="J130" s="323" t="n">
        <x:v>6</x:v>
      </x:c>
      <x:c r="K130" s="245" t="str">
        <x:v>-6</x:v>
      </x:c>
      <x:c r="L130" s="245" t="str">
        <x:v>https://www.sec.gov/Archives/edgar/data/59478/000005947826000013/lly-20251231.htm</x:v>
      </x:c>
      <x:c r="M130" s="589" t="str">
        <x:v>10-K balance sheet p. 59; cash flows p. 61</x:v>
      </x:c>
      <x:c r="N130" s="312" t="str"/>
      <x:c r="O130" s="305" t="str">
        <x:v>d45f8d1e0945df0b7b30254e96ff8c5dbd1df7d15b17c8ef7399c8e0206b7d7f</x:v>
      </x:c>
    </x:row>
    <x:row r="131" ht="70" customHeight="1">
      <x:c r="A131" s="234" t="str">
        <x:v>Current assets</x:v>
      </x:c>
      <x:c r="B131" s="321" t="n">
        <x:v>55629000000</x:v>
      </x:c>
      <x:c r="C131" s="322"/>
      <x:c r="D131" s="244" t="d">
        <x:v>2025-12-31T00:00:00.000Z</x:v>
      </x:c>
      <x:c r="E131" s="245" t="str">
        <x:v>10-K</x:v>
      </x:c>
      <x:c r="F131" s="244" t="d">
        <x:v>2026-02-12T00:00:00.000Z</x:v>
      </x:c>
      <x:c r="G131" s="245" t="str">
        <x:v>0000059478-26-000013</x:v>
      </x:c>
      <x:c r="H131" s="245" t="str">
        <x:v>us-gaap:AssetsCurrent</x:v>
      </x:c>
      <x:c r="I131" s="245" t="str">
        <x:v>c-16</x:v>
      </x:c>
      <x:c r="J131" s="323" t="n">
        <x:v>6</x:v>
      </x:c>
      <x:c r="K131" s="245" t="str">
        <x:v>-6</x:v>
      </x:c>
      <x:c r="L131" s="245" t="str">
        <x:v>https://www.sec.gov/Archives/edgar/data/59478/000005947826000013/lly-20251231.htm</x:v>
      </x:c>
      <x:c r="M131" s="589" t="str">
        <x:v>10-K balance sheet p. 59; cash flows p. 61</x:v>
      </x:c>
      <x:c r="N131" s="312" t="str"/>
      <x:c r="O131" s="305" t="str">
        <x:v>d45f8d1e0945df0b7b30254e96ff8c5dbd1df7d15b17c8ef7399c8e0206b7d7f</x:v>
      </x:c>
    </x:row>
    <x:row r="132" ht="70" customHeight="1">
      <x:c r="A132" s="234" t="str">
        <x:v>Current liabilities</x:v>
      </x:c>
      <x:c r="B132" s="321" t="n">
        <x:v>35228000000</x:v>
      </x:c>
      <x:c r="C132" s="322"/>
      <x:c r="D132" s="244" t="d">
        <x:v>2025-12-31T00:00:00.000Z</x:v>
      </x:c>
      <x:c r="E132" s="245" t="str">
        <x:v>10-K</x:v>
      </x:c>
      <x:c r="F132" s="244" t="d">
        <x:v>2026-02-12T00:00:00.000Z</x:v>
      </x:c>
      <x:c r="G132" s="245" t="str">
        <x:v>0000059478-26-000013</x:v>
      </x:c>
      <x:c r="H132" s="245" t="str">
        <x:v>us-gaap:LiabilitiesCurrent</x:v>
      </x:c>
      <x:c r="I132" s="245" t="str">
        <x:v>c-16</x:v>
      </x:c>
      <x:c r="J132" s="323" t="n">
        <x:v>6</x:v>
      </x:c>
      <x:c r="K132" s="245" t="str">
        <x:v>-6</x:v>
      </x:c>
      <x:c r="L132" s="245" t="str">
        <x:v>https://www.sec.gov/Archives/edgar/data/59478/000005947826000013/lly-20251231.htm</x:v>
      </x:c>
      <x:c r="M132" s="589" t="str">
        <x:v>10-K balance sheet p. 59; cash flows p. 61</x:v>
      </x:c>
      <x:c r="N132" s="312" t="str"/>
      <x:c r="O132" s="305" t="str">
        <x:v>d45f8d1e0945df0b7b30254e96ff8c5dbd1df7d15b17c8ef7399c8e0206b7d7f</x:v>
      </x:c>
    </x:row>
    <x:row r="133" ht="70" customHeight="1">
      <x:c r="A133" s="234" t="str">
        <x:v>Short-term borrowings and current maturities of long-term debt</x:v>
      </x:c>
      <x:c r="B133" s="321" t="n">
        <x:v>1635000000</x:v>
      </x:c>
      <x:c r="C133" s="322"/>
      <x:c r="D133" s="244" t="d">
        <x:v>2025-12-31T00:00:00.000Z</x:v>
      </x:c>
      <x:c r="E133" s="245" t="str">
        <x:v>10-K</x:v>
      </x:c>
      <x:c r="F133" s="244" t="d">
        <x:v>2026-02-12T00:00:00.000Z</x:v>
      </x:c>
      <x:c r="G133" s="245" t="str">
        <x:v>0000059478-26-000013</x:v>
      </x:c>
      <x:c r="H133" s="245" t="str">
        <x:v>us-gaap:DebtCurrent</x:v>
      </x:c>
      <x:c r="I133" s="245" t="str">
        <x:v>c-16</x:v>
      </x:c>
      <x:c r="J133" s="323" t="n">
        <x:v>6</x:v>
      </x:c>
      <x:c r="K133" s="245" t="str">
        <x:v>-6</x:v>
      </x:c>
      <x:c r="L133" s="245" t="str">
        <x:v>https://www.sec.gov/Archives/edgar/data/59478/000005947826000013/lly-20251231.htm</x:v>
      </x:c>
      <x:c r="M133" s="589" t="str">
        <x:v>10-K balance sheet p. 59; cash flows p. 61</x:v>
      </x:c>
      <x:c r="N133" s="312" t="str"/>
      <x:c r="O133" s="305" t="str">
        <x:v>d45f8d1e0945df0b7b30254e96ff8c5dbd1df7d15b17c8ef7399c8e0206b7d7f</x:v>
      </x:c>
    </x:row>
    <x:row r="134" ht="70" customHeight="1">
      <x:c r="A134" s="234" t="str">
        <x:v>Long-term debt</x:v>
      </x:c>
      <x:c r="B134" s="321" t="n">
        <x:v>40868000000</x:v>
      </x:c>
      <x:c r="C134" s="322"/>
      <x:c r="D134" s="244" t="d">
        <x:v>2025-12-31T00:00:00.000Z</x:v>
      </x:c>
      <x:c r="E134" s="245" t="str">
        <x:v>10-K</x:v>
      </x:c>
      <x:c r="F134" s="244" t="d">
        <x:v>2026-02-12T00:00:00.000Z</x:v>
      </x:c>
      <x:c r="G134" s="245" t="str">
        <x:v>0000059478-26-000013</x:v>
      </x:c>
      <x:c r="H134" s="245" t="str">
        <x:v>us-gaap:LongTermDebtNoncurrent</x:v>
      </x:c>
      <x:c r="I134" s="245" t="str">
        <x:v>c-16</x:v>
      </x:c>
      <x:c r="J134" s="323" t="n">
        <x:v>6</x:v>
      </x:c>
      <x:c r="K134" s="245" t="str">
        <x:v>-6</x:v>
      </x:c>
      <x:c r="L134" s="245" t="str">
        <x:v>https://www.sec.gov/Archives/edgar/data/59478/000005947826000013/lly-20251231.htm</x:v>
      </x:c>
      <x:c r="M134" s="589" t="str">
        <x:v>10-K balance sheet p. 59; cash flows p. 61</x:v>
      </x:c>
      <x:c r="N134" s="312" t="str"/>
      <x:c r="O134" s="305" t="str">
        <x:v>d45f8d1e0945df0b7b30254e96ff8c5dbd1df7d15b17c8ef7399c8e0206b7d7f</x:v>
      </x:c>
    </x:row>
    <x:row r="135" ht="70" customHeight="1">
      <x:c r="A135" s="234" t="str">
        <x:v>Operating cash flow · fiscal year</x:v>
      </x:c>
      <x:c r="B135" s="321" t="n">
        <x:v>16813000000</x:v>
      </x:c>
      <x:c r="C135" s="244" t="d">
        <x:v>2025-01-01T00:00:00.000Z</x:v>
      </x:c>
      <x:c r="D135" s="244" t="d">
        <x:v>2025-12-31T00:00:00.000Z</x:v>
      </x:c>
      <x:c r="E135" s="245" t="str">
        <x:v>10-K</x:v>
      </x:c>
      <x:c r="F135" s="244" t="d">
        <x:v>2026-02-12T00:00:00.000Z</x:v>
      </x:c>
      <x:c r="G135" s="245" t="str">
        <x:v>0000059478-26-000013</x:v>
      </x:c>
      <x:c r="H135" s="245" t="str">
        <x:v>us-gaap:NetCashProvidedByUsedInOperatingActivities</x:v>
      </x:c>
      <x:c r="I135" s="245" t="str">
        <x:v>c-1</x:v>
      </x:c>
      <x:c r="J135" s="323" t="n">
        <x:v>6</x:v>
      </x:c>
      <x:c r="K135" s="245" t="str">
        <x:v>-6</x:v>
      </x:c>
      <x:c r="L135" s="245" t="str">
        <x:v>https://www.sec.gov/Archives/edgar/data/59478/000005947826000013/lly-20251231.htm</x:v>
      </x:c>
      <x:c r="M135" s="245" t="str">
        <x:v>Annual cash-flow statement</x:v>
      </x:c>
      <x:c r="N135" s="312" t="str"/>
      <x:c r="O135" s="313" t="str"/>
    </x:row>
    <x:row r="136" ht="70" customHeight="1">
      <x:c r="A136" s="235" t="str">
        <x:v>Purchases of property and equipment · fiscal year</x:v>
      </x:c>
      <x:c r="B136" s="324" t="n">
        <x:v>7841000000</x:v>
      </x:c>
      <x:c r="C136" s="262" t="d">
        <x:v>2025-01-01T00:00:00.000Z</x:v>
      </x:c>
      <x:c r="D136" s="262" t="d">
        <x:v>2025-12-31T00:00:00.000Z</x:v>
      </x:c>
      <x:c r="E136" s="263" t="str">
        <x:v>10-K</x:v>
      </x:c>
      <x:c r="F136" s="262" t="d">
        <x:v>2026-02-12T00:00:00.000Z</x:v>
      </x:c>
      <x:c r="G136" s="263" t="str">
        <x:v>0000059478-26-000013</x:v>
      </x:c>
      <x:c r="H136" s="263" t="str">
        <x:v>us-gaap:PaymentsToAcquireOtherPropertyPlantAndEquipment</x:v>
      </x:c>
      <x:c r="I136" s="263" t="str">
        <x:v>c-1</x:v>
      </x:c>
      <x:c r="J136" s="325" t="n">
        <x:v>6</x:v>
      </x:c>
      <x:c r="K136" s="263" t="str">
        <x:v>-6</x:v>
      </x:c>
      <x:c r="L136" s="263" t="str">
        <x:v>https://www.sec.gov/Archives/edgar/data/59478/000005947826000013/lly-20251231.htm</x:v>
      </x:c>
      <x:c r="M136" s="263" t="str">
        <x:v>Annual cash-flow statement</x:v>
      </x:c>
      <x:c r="N136" s="318" t="str"/>
      <x:c r="O136" s="326" t="str"/>
    </x:row>
    <x:row r="139" ht="72" customHeight="1">
      <x:c r="A139" s="1454" t="str">
        <x:v>Input</x:v>
      </x:c>
      <x:c r="B139" s="1455" t="str">
        <x:v>USD millions</x:v>
      </x:c>
      <x:c r="C139" s="1455" t="str">
        <x:v>Period start</x:v>
      </x:c>
      <x:c r="D139" s="1455" t="str">
        <x:v>Period end</x:v>
      </x:c>
      <x:c r="E139" s="1455" t="str">
        <x:v>Form</x:v>
      </x:c>
      <x:c r="F139" s="1455" t="str">
        <x:v>Filed</x:v>
      </x:c>
      <x:c r="G139" s="1455" t="str">
        <x:v>Accession</x:v>
      </x:c>
      <x:c r="H139" s="1455" t="str">
        <x:v>Tag</x:v>
      </x:c>
      <x:c r="I139" s="1455" t="str">
        <x:v>Context</x:v>
      </x:c>
      <x:c r="J139" s="1455" t="str">
        <x:v>Scale</x:v>
      </x:c>
      <x:c r="K139" s="1455" t="str">
        <x:v>Decimals</x:v>
      </x:c>
      <x:c r="L139" s="1455" t="str">
        <x:v>Source</x:v>
      </x:c>
      <x:c r="M139" s="1455" t="str">
        <x:v>Filing location</x:v>
      </x:c>
      <x:c r="N139" s="1455" t="str">
        <x:v>Selection rule</x:v>
      </x:c>
      <x:c r="O139" s="1456" t="str">
        <x:v>Reviewed source SHA256</x:v>
      </x:c>
    </x:row>
    <x:row r="140" ht="72" customHeight="1">
      <x:c r="A140" s="749" t="str">
        <x:v>LLY FY2021 cash: us-gaap:CashAndCashEquivalentsAtCarryingValue</x:v>
      </x:c>
      <x:c r="B140" s="1457" t="n">
        <x:v>3818500000</x:v>
      </x:c>
      <x:c r="C140" s="1458"/>
      <x:c r="D140" s="1458" t="d">
        <x:v>2021-12-31T00:00:00.000Z</x:v>
      </x:c>
      <x:c r="E140" s="831" t="str">
        <x:v>10-K</x:v>
      </x:c>
      <x:c r="F140" s="1458" t="d">
        <x:v>2022-02-23T00:00:00.000Z</x:v>
      </x:c>
      <x:c r="G140" s="831" t="str">
        <x:v>0000059478-22-000068</x:v>
      </x:c>
      <x:c r="H140" s="831" t="str">
        <x:v>us-gaap:CashAndCashEquivalentsAtCarryingValue</x:v>
      </x:c>
      <x:c r="I140" s="831" t="str">
        <x:v>ie685003a00ac4b9e88ea5a5aad91acf6_I20211231</x:v>
      </x:c>
      <x:c r="J140" s="831" t="n">
        <x:v>6</x:v>
      </x:c>
      <x:c r="K140" s="831" t="str">
        <x:v>-5</x:v>
      </x:c>
      <x:c r="L140" s="831" t="str">
        <x:v>https://www.sec.gov/Archives/edgar/data/59478/000005947822000068/lly-20211231.htm</x:v>
      </x:c>
      <x:c r="M140" s="831" t="str">
        <x:v>Printed p. 57; Cash and cash equivalents (Note 7) $ 3,818.5 $ 3,657.1</x:v>
      </x:c>
      <x:c r="N140" s="831" t="str">
        <x:v>Exact prefixed tag; exact period; USD; no dimensions; checked source version.</x:v>
      </x:c>
      <x:c r="O140" s="740" t="str">
        <x:v>3b55fc2a0c0aff2551f8f8f10f42b91d99691169cfe6f73eab2f4ff6109f40b8</x:v>
      </x:c>
    </x:row>
    <x:row r="141" ht="72" customHeight="1">
      <x:c r="A141" s="749" t="str">
        <x:v>LLY FY2021 gross_debt: us-gaap:DebtCurrent</x:v>
      </x:c>
      <x:c r="B141" s="1457" t="n">
        <x:v>1538300000</x:v>
      </x:c>
      <x:c r="C141" s="1458"/>
      <x:c r="D141" s="1458" t="d">
        <x:v>2021-12-31T00:00:00.000Z</x:v>
      </x:c>
      <x:c r="E141" s="831" t="str">
        <x:v>10-K</x:v>
      </x:c>
      <x:c r="F141" s="1458" t="d">
        <x:v>2022-02-23T00:00:00.000Z</x:v>
      </x:c>
      <x:c r="G141" s="831" t="str">
        <x:v>0000059478-22-000068</x:v>
      </x:c>
      <x:c r="H141" s="831" t="str">
        <x:v>us-gaap:DebtCurrent</x:v>
      </x:c>
      <x:c r="I141" s="831" t="str">
        <x:v>ie685003a00ac4b9e88ea5a5aad91acf6_I20211231</x:v>
      </x:c>
      <x:c r="J141" s="831" t="n">
        <x:v>6</x:v>
      </x:c>
      <x:c r="K141" s="831" t="str">
        <x:v>-5</x:v>
      </x:c>
      <x:c r="L141" s="831" t="str">
        <x:v>https://www.sec.gov/Archives/edgar/data/59478/000005947822000068/lly-20211231.htm</x:v>
      </x:c>
      <x:c r="M141" s="831" t="str">
        <x:v>Printed p. 57; Short-term borrowings and current maturities of long-term debt (Note 11) $ 1,538.3 $ 8.7</x:v>
      </x:c>
      <x:c r="N141" s="831" t="str">
        <x:v>Exact prefixed tag; exact period; USD; no dimensions; checked source version.</x:v>
      </x:c>
      <x:c r="O141" s="740" t="str">
        <x:v>3b55fc2a0c0aff2551f8f8f10f42b91d99691169cfe6f73eab2f4ff6109f40b8</x:v>
      </x:c>
    </x:row>
    <x:row r="142" ht="72" customHeight="1">
      <x:c r="A142" s="749" t="str">
        <x:v>LLY FY2021 gross_debt: us-gaap:LongTermDebtNoncurrent</x:v>
      </x:c>
      <x:c r="B142" s="1457" t="n">
        <x:v>15346400000</x:v>
      </x:c>
      <x:c r="C142" s="1458"/>
      <x:c r="D142" s="1458" t="d">
        <x:v>2021-12-31T00:00:00.000Z</x:v>
      </x:c>
      <x:c r="E142" s="831" t="str">
        <x:v>10-K</x:v>
      </x:c>
      <x:c r="F142" s="1458" t="d">
        <x:v>2022-02-23T00:00:00.000Z</x:v>
      </x:c>
      <x:c r="G142" s="831" t="str">
        <x:v>0000059478-22-000068</x:v>
      </x:c>
      <x:c r="H142" s="831" t="str">
        <x:v>us-gaap:LongTermDebtNoncurrent</x:v>
      </x:c>
      <x:c r="I142" s="831" t="str">
        <x:v>ie685003a00ac4b9e88ea5a5aad91acf6_I20211231</x:v>
      </x:c>
      <x:c r="J142" s="831" t="n">
        <x:v>6</x:v>
      </x:c>
      <x:c r="K142" s="831" t="str">
        <x:v>-5</x:v>
      </x:c>
      <x:c r="L142" s="831" t="str">
        <x:v>https://www.sec.gov/Archives/edgar/data/59478/000005947822000068/lly-20211231.htm</x:v>
      </x:c>
      <x:c r="M142" s="831" t="str">
        <x:v>Printed p. 57; Long-term debt (Note 11) 15,346.4 16,586.6</x:v>
      </x:c>
      <x:c r="N142" s="831" t="str">
        <x:v>Exact prefixed tag; exact period; USD; no dimensions; checked source version.</x:v>
      </x:c>
      <x:c r="O142" s="740" t="str">
        <x:v>3b55fc2a0c0aff2551f8f8f10f42b91d99691169cfe6f73eab2f4ff6109f40b8</x:v>
      </x:c>
    </x:row>
    <x:row r="143" ht="72" customHeight="1">
      <x:c r="A143" s="749" t="str">
        <x:v>LLY FY2021 operating_cash_flow: us-gaap:NetCashProvidedByUsedInOperatingActivities</x:v>
      </x:c>
      <x:c r="B143" s="1457" t="n">
        <x:v>7365900000</x:v>
      </x:c>
      <x:c r="C143" s="1458" t="d">
        <x:v>2021-01-01T00:00:00.000Z</x:v>
      </x:c>
      <x:c r="D143" s="1458" t="d">
        <x:v>2021-12-31T00:00:00.000Z</x:v>
      </x:c>
      <x:c r="E143" s="831" t="str">
        <x:v>10-K</x:v>
      </x:c>
      <x:c r="F143" s="1458" t="d">
        <x:v>2024-02-21T00:00:00.000Z</x:v>
      </x:c>
      <x:c r="G143" s="831" t="str">
        <x:v>0000059478-24-000065</x:v>
      </x:c>
      <x:c r="H143" s="831" t="str">
        <x:v>us-gaap:NetCashProvidedByUsedInOperatingActivities</x:v>
      </x:c>
      <x:c r="I143" s="831" t="str">
        <x:v>c-16</x:v>
      </x:c>
      <x:c r="J143" s="831" t="n">
        <x:v>6</x:v>
      </x:c>
      <x:c r="K143" s="831" t="str">
        <x:v>-5</x:v>
      </x:c>
      <x:c r="L143" s="831" t="str">
        <x:v>https://www.sec.gov/Archives/edgar/data/59478/000005947824000065/lly-20231231.htm</x:v>
      </x:c>
      <x:c r="M143" s="831" t="str">
        <x:v>Printed p. 61; Net Cash Provided by Operating Activities 4,240.1 7,585.7 7,365.9</x:v>
      </x:c>
      <x:c r="N143" s="831" t="str">
        <x:v>Exact prefixed tag; exact period; USD; no dimensions; checked source version.</x:v>
      </x:c>
      <x:c r="O143" s="740" t="str">
        <x:v>b5fc840de60a167982197080635c29e32d2dbbcec8084d5be97e833fac19bf5c</x:v>
      </x:c>
    </x:row>
    <x:row r="144" ht="72" customHeight="1">
      <x:c r="A144" s="749" t="str">
        <x:v>LLY FY2021 capital_spending: us-gaap:PaymentsToAcquireOtherPropertyPlantAndEquipment</x:v>
      </x:c>
      <x:c r="B144" s="1457" t="n">
        <x:v>1309800000</x:v>
      </x:c>
      <x:c r="C144" s="1458" t="d">
        <x:v>2021-01-01T00:00:00.000Z</x:v>
      </x:c>
      <x:c r="D144" s="1458" t="d">
        <x:v>2021-12-31T00:00:00.000Z</x:v>
      </x:c>
      <x:c r="E144" s="831" t="str">
        <x:v>10-K</x:v>
      </x:c>
      <x:c r="F144" s="1458" t="d">
        <x:v>2024-02-21T00:00:00.000Z</x:v>
      </x:c>
      <x:c r="G144" s="831" t="str">
        <x:v>0000059478-24-000065</x:v>
      </x:c>
      <x:c r="H144" s="831" t="str">
        <x:v>us-gaap:PaymentsToAcquireOtherPropertyPlantAndEquipment</x:v>
      </x:c>
      <x:c r="I144" s="831" t="str">
        <x:v>c-16</x:v>
      </x:c>
      <x:c r="J144" s="831" t="n">
        <x:v>6</x:v>
      </x:c>
      <x:c r="K144" s="831" t="str">
        <x:v>-5</x:v>
      </x:c>
      <x:c r="L144" s="831" t="str">
        <x:v>https://www.sec.gov/Archives/edgar/data/59478/000005947824000065/lly-20231231.htm</x:v>
      </x:c>
      <x:c r="M144" s="831" t="str">
        <x:v>Printed p. 61; Purchases of property and equipment ( 3,447.6 ) ( 1,854.3 ) ( 1,309.8 )</x:v>
      </x:c>
      <x:c r="N144" s="831" t="str">
        <x:v>Exact prefixed tag; exact period; USD; no dimensions; checked source version.</x:v>
      </x:c>
      <x:c r="O144" s="740" t="str">
        <x:v>b5fc840de60a167982197080635c29e32d2dbbcec8084d5be97e833fac19bf5c</x:v>
      </x:c>
    </x:row>
    <x:row r="145" ht="72" customHeight="1">
      <x:c r="A145" s="749" t="str">
        <x:v>LLY FY2022 cash: us-gaap:CashAndCashEquivalentsAtCarryingValue</x:v>
      </x:c>
      <x:c r="B145" s="1457" t="n">
        <x:v>2067000000</x:v>
      </x:c>
      <x:c r="C145" s="1458"/>
      <x:c r="D145" s="1458" t="d">
        <x:v>2022-12-31T00:00:00.000Z</x:v>
      </x:c>
      <x:c r="E145" s="831" t="str">
        <x:v>10-K</x:v>
      </x:c>
      <x:c r="F145" s="1458" t="d">
        <x:v>2023-02-22T00:00:00.000Z</x:v>
      </x:c>
      <x:c r="G145" s="831" t="str">
        <x:v>0000059478-23-000082</x:v>
      </x:c>
      <x:c r="H145" s="831" t="str">
        <x:v>us-gaap:CashAndCashEquivalentsAtCarryingValue</x:v>
      </x:c>
      <x:c r="I145" s="831" t="str">
        <x:v>ife049f03c96e47288db50605b1356b32_I20221231</x:v>
      </x:c>
      <x:c r="J145" s="831" t="n">
        <x:v>6</x:v>
      </x:c>
      <x:c r="K145" s="831" t="str">
        <x:v>-5</x:v>
      </x:c>
      <x:c r="L145" s="831" t="str">
        <x:v>https://www.sec.gov/Archives/edgar/data/59478/000005947823000082/lly-20221231.htm</x:v>
      </x:c>
      <x:c r="M145" s="831" t="str">
        <x:v>Printed p. 58; Cash and cash equivalents (Note 7) $ 2,067.0 $ 3,818.5</x:v>
      </x:c>
      <x:c r="N145" s="831" t="str">
        <x:v>Exact prefixed tag; exact period; USD; no dimensions; checked source version.</x:v>
      </x:c>
      <x:c r="O145" s="740" t="str">
        <x:v>4cbed10c0c2bdcb9828495fbb64e9a93fed07b57c0a2ccd72c6e320d6fb763a2</x:v>
      </x:c>
    </x:row>
    <x:row r="146" ht="72" customHeight="1">
      <x:c r="A146" s="749" t="str">
        <x:v>LLY FY2022 gross_debt: us-gaap:DebtCurrent</x:v>
      </x:c>
      <x:c r="B146" s="1457" t="n">
        <x:v>1501100000</x:v>
      </x:c>
      <x:c r="C146" s="1458"/>
      <x:c r="D146" s="1458" t="d">
        <x:v>2022-12-31T00:00:00.000Z</x:v>
      </x:c>
      <x:c r="E146" s="831" t="str">
        <x:v>10-K</x:v>
      </x:c>
      <x:c r="F146" s="1458" t="d">
        <x:v>2023-02-22T00:00:00.000Z</x:v>
      </x:c>
      <x:c r="G146" s="831" t="str">
        <x:v>0000059478-23-000082</x:v>
      </x:c>
      <x:c r="H146" s="831" t="str">
        <x:v>us-gaap:DebtCurrent</x:v>
      </x:c>
      <x:c r="I146" s="831" t="str">
        <x:v>ife049f03c96e47288db50605b1356b32_I20221231</x:v>
      </x:c>
      <x:c r="J146" s="831" t="n">
        <x:v>6</x:v>
      </x:c>
      <x:c r="K146" s="831" t="str">
        <x:v>-5</x:v>
      </x:c>
      <x:c r="L146" s="831" t="str">
        <x:v>https://www.sec.gov/Archives/edgar/data/59478/000005947823000082/lly-20221231.htm</x:v>
      </x:c>
      <x:c r="M146" s="831" t="str">
        <x:v>Printed p. 58; Short-term borrowings and current maturities of long-term debt (Note 11) $ 1,501.1 $ 1,538.3</x:v>
      </x:c>
      <x:c r="N146" s="831" t="str">
        <x:v>Exact prefixed tag; exact period; USD; no dimensions; checked source version.</x:v>
      </x:c>
      <x:c r="O146" s="740" t="str">
        <x:v>4cbed10c0c2bdcb9828495fbb64e9a93fed07b57c0a2ccd72c6e320d6fb763a2</x:v>
      </x:c>
    </x:row>
    <x:row r="147" ht="72" customHeight="1">
      <x:c r="A147" s="749" t="str">
        <x:v>LLY FY2022 gross_debt: us-gaap:LongTermDebtNoncurrent</x:v>
      </x:c>
      <x:c r="B147" s="1457" t="n">
        <x:v>14737500000</x:v>
      </x:c>
      <x:c r="C147" s="1458"/>
      <x:c r="D147" s="1458" t="d">
        <x:v>2022-12-31T00:00:00.000Z</x:v>
      </x:c>
      <x:c r="E147" s="831" t="str">
        <x:v>10-K</x:v>
      </x:c>
      <x:c r="F147" s="1458" t="d">
        <x:v>2023-02-22T00:00:00.000Z</x:v>
      </x:c>
      <x:c r="G147" s="831" t="str">
        <x:v>0000059478-23-000082</x:v>
      </x:c>
      <x:c r="H147" s="831" t="str">
        <x:v>us-gaap:LongTermDebtNoncurrent</x:v>
      </x:c>
      <x:c r="I147" s="831" t="str">
        <x:v>ife049f03c96e47288db50605b1356b32_I20221231</x:v>
      </x:c>
      <x:c r="J147" s="831" t="n">
        <x:v>6</x:v>
      </x:c>
      <x:c r="K147" s="831" t="str">
        <x:v>-5</x:v>
      </x:c>
      <x:c r="L147" s="831" t="str">
        <x:v>https://www.sec.gov/Archives/edgar/data/59478/000005947823000082/lly-20221231.htm</x:v>
      </x:c>
      <x:c r="M147" s="831" t="str">
        <x:v>Printed p. 58; Long-term debt (Note 11) 14,737.5 15,346.4</x:v>
      </x:c>
      <x:c r="N147" s="831" t="str">
        <x:v>Exact prefixed tag; exact period; USD; no dimensions; checked source version.</x:v>
      </x:c>
      <x:c r="O147" s="740" t="str">
        <x:v>4cbed10c0c2bdcb9828495fbb64e9a93fed07b57c0a2ccd72c6e320d6fb763a2</x:v>
      </x:c>
    </x:row>
    <x:row r="148" ht="72" customHeight="1">
      <x:c r="A148" s="749" t="str">
        <x:v>LLY FY2022 operating_cash_flow: us-gaap:NetCashProvidedByUsedInOperatingActivities</x:v>
      </x:c>
      <x:c r="B148" s="1457" t="n">
        <x:v>7585700000</x:v>
      </x:c>
      <x:c r="C148" s="1458" t="d">
        <x:v>2022-01-01T00:00:00.000Z</x:v>
      </x:c>
      <x:c r="D148" s="1458" t="d">
        <x:v>2022-12-31T00:00:00.000Z</x:v>
      </x:c>
      <x:c r="E148" s="831" t="str">
        <x:v>10-K</x:v>
      </x:c>
      <x:c r="F148" s="1458" t="d">
        <x:v>2024-02-21T00:00:00.000Z</x:v>
      </x:c>
      <x:c r="G148" s="831" t="str">
        <x:v>0000059478-24-000065</x:v>
      </x:c>
      <x:c r="H148" s="831" t="str">
        <x:v>us-gaap:NetCashProvidedByUsedInOperatingActivities</x:v>
      </x:c>
      <x:c r="I148" s="831" t="str">
        <x:v>c-15</x:v>
      </x:c>
      <x:c r="J148" s="831" t="n">
        <x:v>6</x:v>
      </x:c>
      <x:c r="K148" s="831" t="str">
        <x:v>-5</x:v>
      </x:c>
      <x:c r="L148" s="831" t="str">
        <x:v>https://www.sec.gov/Archives/edgar/data/59478/000005947824000065/lly-20231231.htm</x:v>
      </x:c>
      <x:c r="M148" s="831" t="str">
        <x:v>Printed p. 61; Net Cash Provided by Operating Activities 4,240.1 7,585.7 7,365.9</x:v>
      </x:c>
      <x:c r="N148" s="831" t="str">
        <x:v>Exact prefixed tag; exact period; USD; no dimensions; checked source version.</x:v>
      </x:c>
      <x:c r="O148" s="740" t="str">
        <x:v>b5fc840de60a167982197080635c29e32d2dbbcec8084d5be97e833fac19bf5c</x:v>
      </x:c>
    </x:row>
    <x:row r="149" ht="72" customHeight="1">
      <x:c r="A149" s="749" t="str">
        <x:v>LLY FY2022 capital_spending: us-gaap:PaymentsToAcquireOtherPropertyPlantAndEquipment</x:v>
      </x:c>
      <x:c r="B149" s="1457" t="n">
        <x:v>1854300000</x:v>
      </x:c>
      <x:c r="C149" s="1458" t="d">
        <x:v>2022-01-01T00:00:00.000Z</x:v>
      </x:c>
      <x:c r="D149" s="1458" t="d">
        <x:v>2022-12-31T00:00:00.000Z</x:v>
      </x:c>
      <x:c r="E149" s="831" t="str">
        <x:v>10-K</x:v>
      </x:c>
      <x:c r="F149" s="1458" t="d">
        <x:v>2024-02-21T00:00:00.000Z</x:v>
      </x:c>
      <x:c r="G149" s="831" t="str">
        <x:v>0000059478-24-000065</x:v>
      </x:c>
      <x:c r="H149" s="831" t="str">
        <x:v>us-gaap:PaymentsToAcquireOtherPropertyPlantAndEquipment</x:v>
      </x:c>
      <x:c r="I149" s="831" t="str">
        <x:v>c-15</x:v>
      </x:c>
      <x:c r="J149" s="831" t="n">
        <x:v>6</x:v>
      </x:c>
      <x:c r="K149" s="831" t="str">
        <x:v>-5</x:v>
      </x:c>
      <x:c r="L149" s="831" t="str">
        <x:v>https://www.sec.gov/Archives/edgar/data/59478/000005947824000065/lly-20231231.htm</x:v>
      </x:c>
      <x:c r="M149" s="831" t="str">
        <x:v>Printed p. 61; Purchases of property and equipment ( 3,447.6 ) ( 1,854.3 ) ( 1,309.8 )</x:v>
      </x:c>
      <x:c r="N149" s="831" t="str">
        <x:v>Exact prefixed tag; exact period; USD; no dimensions; checked source version.</x:v>
      </x:c>
      <x:c r="O149" s="740" t="str">
        <x:v>b5fc840de60a167982197080635c29e32d2dbbcec8084d5be97e833fac19bf5c</x:v>
      </x:c>
    </x:row>
    <x:row r="150" ht="72" customHeight="1">
      <x:c r="A150" s="749" t="str">
        <x:v>LLY FY2023 cash: us-gaap:CashAndCashEquivalentsAtCarryingValue</x:v>
      </x:c>
      <x:c r="B150" s="1457" t="n">
        <x:v>2818600000</x:v>
      </x:c>
      <x:c r="C150" s="1458"/>
      <x:c r="D150" s="1458" t="d">
        <x:v>2023-12-31T00:00:00.000Z</x:v>
      </x:c>
      <x:c r="E150" s="831" t="str">
        <x:v>10-K</x:v>
      </x:c>
      <x:c r="F150" s="1458" t="d">
        <x:v>2024-02-21T00:00:00.000Z</x:v>
      </x:c>
      <x:c r="G150" s="831" t="str">
        <x:v>0000059478-24-000065</x:v>
      </x:c>
      <x:c r="H150" s="831" t="str">
        <x:v>us-gaap:CashAndCashEquivalentsAtCarryingValue</x:v>
      </x:c>
      <x:c r="I150" s="831" t="str">
        <x:v>c-17</x:v>
      </x:c>
      <x:c r="J150" s="831" t="n">
        <x:v>6</x:v>
      </x:c>
      <x:c r="K150" s="831" t="str">
        <x:v>-5</x:v>
      </x:c>
      <x:c r="L150" s="831" t="str">
        <x:v>https://www.sec.gov/Archives/edgar/data/59478/000005947824000065/lly-20231231.htm</x:v>
      </x:c>
      <x:c r="M150" s="831" t="str">
        <x:v>Printed p. 59; Cash and cash equivalents (Note 7) $ 2,818.6 $ 2,067.0</x:v>
      </x:c>
      <x:c r="N150" s="831" t="str">
        <x:v>Exact prefixed tag; exact period; USD; no dimensions; checked source version.</x:v>
      </x:c>
      <x:c r="O150" s="740" t="str">
        <x:v>b5fc840de60a167982197080635c29e32d2dbbcec8084d5be97e833fac19bf5c</x:v>
      </x:c>
    </x:row>
    <x:row r="151" ht="72" customHeight="1">
      <x:c r="A151" s="749" t="str">
        <x:v>LLY FY2023 gross_debt: us-gaap:DebtCurrent</x:v>
      </x:c>
      <x:c r="B151" s="1457" t="n">
        <x:v>6904500000</x:v>
      </x:c>
      <x:c r="C151" s="1458"/>
      <x:c r="D151" s="1458" t="d">
        <x:v>2023-12-31T00:00:00.000Z</x:v>
      </x:c>
      <x:c r="E151" s="831" t="str">
        <x:v>10-K</x:v>
      </x:c>
      <x:c r="F151" s="1458" t="d">
        <x:v>2024-02-21T00:00:00.000Z</x:v>
      </x:c>
      <x:c r="G151" s="831" t="str">
        <x:v>0000059478-24-000065</x:v>
      </x:c>
      <x:c r="H151" s="831" t="str">
        <x:v>us-gaap:DebtCurrent</x:v>
      </x:c>
      <x:c r="I151" s="831" t="str">
        <x:v>c-17</x:v>
      </x:c>
      <x:c r="J151" s="831" t="n">
        <x:v>6</x:v>
      </x:c>
      <x:c r="K151" s="831" t="str">
        <x:v>-5</x:v>
      </x:c>
      <x:c r="L151" s="831" t="str">
        <x:v>https://www.sec.gov/Archives/edgar/data/59478/000005947824000065/lly-20231231.htm</x:v>
      </x:c>
      <x:c r="M151" s="831" t="str">
        <x:v>Printed p. 59; Short-term borrowings and current maturities of long-term debt (Note 11) $ 6,904.5 $ 1,501.1</x:v>
      </x:c>
      <x:c r="N151" s="831" t="str">
        <x:v>Exact prefixed tag; exact period; USD; no dimensions; checked source version.</x:v>
      </x:c>
      <x:c r="O151" s="740" t="str">
        <x:v>b5fc840de60a167982197080635c29e32d2dbbcec8084d5be97e833fac19bf5c</x:v>
      </x:c>
    </x:row>
    <x:row r="152" ht="72" customHeight="1">
      <x:c r="A152" s="749" t="str">
        <x:v>LLY FY2023 gross_debt: us-gaap:LongTermDebtNoncurrent</x:v>
      </x:c>
      <x:c r="B152" s="1457" t="n">
        <x:v>18320800000</x:v>
      </x:c>
      <x:c r="C152" s="1458"/>
      <x:c r="D152" s="1458" t="d">
        <x:v>2023-12-31T00:00:00.000Z</x:v>
      </x:c>
      <x:c r="E152" s="831" t="str">
        <x:v>10-K</x:v>
      </x:c>
      <x:c r="F152" s="1458" t="d">
        <x:v>2024-02-21T00:00:00.000Z</x:v>
      </x:c>
      <x:c r="G152" s="831" t="str">
        <x:v>0000059478-24-000065</x:v>
      </x:c>
      <x:c r="H152" s="831" t="str">
        <x:v>us-gaap:LongTermDebtNoncurrent</x:v>
      </x:c>
      <x:c r="I152" s="831" t="str">
        <x:v>c-17</x:v>
      </x:c>
      <x:c r="J152" s="831" t="n">
        <x:v>6</x:v>
      </x:c>
      <x:c r="K152" s="831" t="str">
        <x:v>-5</x:v>
      </x:c>
      <x:c r="L152" s="831" t="str">
        <x:v>https://www.sec.gov/Archives/edgar/data/59478/000005947824000065/lly-20231231.htm</x:v>
      </x:c>
      <x:c r="M152" s="831" t="str">
        <x:v>Printed p. 59; Long-term debt (Note 11) 18,320.8 14,737.5</x:v>
      </x:c>
      <x:c r="N152" s="831" t="str">
        <x:v>Exact prefixed tag; exact period; USD; no dimensions; checked source version.</x:v>
      </x:c>
      <x:c r="O152" s="740" t="str">
        <x:v>b5fc840de60a167982197080635c29e32d2dbbcec8084d5be97e833fac19bf5c</x:v>
      </x:c>
    </x:row>
    <x:row r="153" ht="72" customHeight="1">
      <x:c r="A153" s="749" t="str">
        <x:v>LLY FY2023 operating_cash_flow: us-gaap:NetCashProvidedByUsedInOperatingActivities</x:v>
      </x:c>
      <x:c r="B153" s="1457" t="n">
        <x:v>4240100000</x:v>
      </x:c>
      <x:c r="C153" s="1458" t="d">
        <x:v>2023-01-01T00:00:00.000Z</x:v>
      </x:c>
      <x:c r="D153" s="1458" t="d">
        <x:v>2023-12-31T00:00:00.000Z</x:v>
      </x:c>
      <x:c r="E153" s="831" t="str">
        <x:v>10-K</x:v>
      </x:c>
      <x:c r="F153" s="1458" t="d">
        <x:v>2024-02-21T00:00:00.000Z</x:v>
      </x:c>
      <x:c r="G153" s="831" t="str">
        <x:v>0000059478-24-000065</x:v>
      </x:c>
      <x:c r="H153" s="831" t="str">
        <x:v>us-gaap:NetCashProvidedByUsedInOperatingActivities</x:v>
      </x:c>
      <x:c r="I153" s="831" t="str">
        <x:v>c-1</x:v>
      </x:c>
      <x:c r="J153" s="831" t="n">
        <x:v>6</x:v>
      </x:c>
      <x:c r="K153" s="831" t="str">
        <x:v>-5</x:v>
      </x:c>
      <x:c r="L153" s="831" t="str">
        <x:v>https://www.sec.gov/Archives/edgar/data/59478/000005947824000065/lly-20231231.htm</x:v>
      </x:c>
      <x:c r="M153" s="831" t="str">
        <x:v>Printed p. 61; Net Cash Provided by Operating Activities 4,240.1 7,585.7 7,365.9</x:v>
      </x:c>
      <x:c r="N153" s="831" t="str">
        <x:v>Exact prefixed tag; exact period; USD; no dimensions; checked source version.</x:v>
      </x:c>
      <x:c r="O153" s="740" t="str">
        <x:v>b5fc840de60a167982197080635c29e32d2dbbcec8084d5be97e833fac19bf5c</x:v>
      </x:c>
    </x:row>
    <x:row r="154" ht="72" customHeight="1">
      <x:c r="A154" s="749" t="str">
        <x:v>LLY FY2023 capital_spending: us-gaap:PaymentsToAcquireOtherPropertyPlantAndEquipment</x:v>
      </x:c>
      <x:c r="B154" s="1457" t="n">
        <x:v>3447600000</x:v>
      </x:c>
      <x:c r="C154" s="1458" t="d">
        <x:v>2023-01-01T00:00:00.000Z</x:v>
      </x:c>
      <x:c r="D154" s="1458" t="d">
        <x:v>2023-12-31T00:00:00.000Z</x:v>
      </x:c>
      <x:c r="E154" s="831" t="str">
        <x:v>10-K</x:v>
      </x:c>
      <x:c r="F154" s="1458" t="d">
        <x:v>2024-02-21T00:00:00.000Z</x:v>
      </x:c>
      <x:c r="G154" s="831" t="str">
        <x:v>0000059478-24-000065</x:v>
      </x:c>
      <x:c r="H154" s="831" t="str">
        <x:v>us-gaap:PaymentsToAcquireOtherPropertyPlantAndEquipment</x:v>
      </x:c>
      <x:c r="I154" s="831" t="str">
        <x:v>c-1</x:v>
      </x:c>
      <x:c r="J154" s="831" t="n">
        <x:v>6</x:v>
      </x:c>
      <x:c r="K154" s="831" t="str">
        <x:v>-5</x:v>
      </x:c>
      <x:c r="L154" s="831" t="str">
        <x:v>https://www.sec.gov/Archives/edgar/data/59478/000005947824000065/lly-20231231.htm</x:v>
      </x:c>
      <x:c r="M154" s="831" t="str">
        <x:v>Printed p. 61; Purchases of property and equipment ( 3,447.6 ) ( 1,854.3 ) ( 1,309.8 )</x:v>
      </x:c>
      <x:c r="N154" s="831" t="str">
        <x:v>Exact prefixed tag; exact period; USD; no dimensions; checked source version.</x:v>
      </x:c>
      <x:c r="O154" s="740" t="str">
        <x:v>b5fc840de60a167982197080635c29e32d2dbbcec8084d5be97e833fac19bf5c</x:v>
      </x:c>
    </x:row>
    <x:row r="155" ht="72" customHeight="1">
      <x:c r="A155" s="749" t="str">
        <x:v>LLY FY2024 cash: us-gaap:CashAndCashEquivalentsAtCarryingValue</x:v>
      </x:c>
      <x:c r="B155" s="1457" t="n">
        <x:v>3268400000</x:v>
      </x:c>
      <x:c r="C155" s="1458"/>
      <x:c r="D155" s="1458" t="d">
        <x:v>2024-12-31T00:00:00.000Z</x:v>
      </x:c>
      <x:c r="E155" s="831" t="str">
        <x:v>10-K</x:v>
      </x:c>
      <x:c r="F155" s="1458" t="d">
        <x:v>2025-02-19T00:00:00.000Z</x:v>
      </x:c>
      <x:c r="G155" s="831" t="str">
        <x:v>0000059478-25-000067</x:v>
      </x:c>
      <x:c r="H155" s="831" t="str">
        <x:v>us-gaap:CashAndCashEquivalentsAtCarryingValue</x:v>
      </x:c>
      <x:c r="I155" s="831" t="str">
        <x:v>c-17</x:v>
      </x:c>
      <x:c r="J155" s="831" t="n">
        <x:v>6</x:v>
      </x:c>
      <x:c r="K155" s="831" t="str">
        <x:v>-5</x:v>
      </x:c>
      <x:c r="L155" s="831" t="str">
        <x:v>https://www.sec.gov/Archives/edgar/data/59478/000005947825000067/lly-20241231.htm</x:v>
      </x:c>
      <x:c r="M155" s="831" t="str">
        <x:v>Printed p. 60; Cash and cash equivalents (Note 7) $ 3,268.4 $ 2,818.6</x:v>
      </x:c>
      <x:c r="N155" s="831" t="str">
        <x:v>Exact prefixed tag; exact period; USD; no dimensions; checked source version.</x:v>
      </x:c>
      <x:c r="O155" s="740" t="str">
        <x:v>e43c1e343f533f048fe5a0776fd1fa721cc9148206a7457e9d4468618f883fde</x:v>
      </x:c>
    </x:row>
    <x:row r="156" ht="72" customHeight="1">
      <x:c r="A156" s="749" t="str">
        <x:v>LLY FY2024 gross_debt: us-gaap:DebtCurrent</x:v>
      </x:c>
      <x:c r="B156" s="1457" t="n">
        <x:v>5117100000</x:v>
      </x:c>
      <x:c r="C156" s="1458"/>
      <x:c r="D156" s="1458" t="d">
        <x:v>2024-12-31T00:00:00.000Z</x:v>
      </x:c>
      <x:c r="E156" s="831" t="str">
        <x:v>10-K</x:v>
      </x:c>
      <x:c r="F156" s="1458" t="d">
        <x:v>2025-02-19T00:00:00.000Z</x:v>
      </x:c>
      <x:c r="G156" s="831" t="str">
        <x:v>0000059478-25-000067</x:v>
      </x:c>
      <x:c r="H156" s="831" t="str">
        <x:v>us-gaap:DebtCurrent</x:v>
      </x:c>
      <x:c r="I156" s="831" t="str">
        <x:v>c-17</x:v>
      </x:c>
      <x:c r="J156" s="831" t="n">
        <x:v>6</x:v>
      </x:c>
      <x:c r="K156" s="831" t="str">
        <x:v>-5</x:v>
      </x:c>
      <x:c r="L156" s="831" t="str">
        <x:v>https://www.sec.gov/Archives/edgar/data/59478/000005947825000067/lly-20241231.htm</x:v>
      </x:c>
      <x:c r="M156" s="831" t="str">
        <x:v>Printed p. 60; Short-term borrowings and current maturities of long-term debt (Note 11) $ 5,117.1 $ 6,904.5</x:v>
      </x:c>
      <x:c r="N156" s="831" t="str">
        <x:v>Exact prefixed tag; exact period; USD; no dimensions; checked source version.</x:v>
      </x:c>
      <x:c r="O156" s="740" t="str">
        <x:v>e43c1e343f533f048fe5a0776fd1fa721cc9148206a7457e9d4468618f883fde</x:v>
      </x:c>
    </x:row>
    <x:row r="157" ht="72" customHeight="1">
      <x:c r="A157" s="749" t="str">
        <x:v>LLY FY2024 gross_debt: us-gaap:LongTermDebtNoncurrent</x:v>
      </x:c>
      <x:c r="B157" s="1457" t="n">
        <x:v>28527100000</x:v>
      </x:c>
      <x:c r="C157" s="1458"/>
      <x:c r="D157" s="1458" t="d">
        <x:v>2024-12-31T00:00:00.000Z</x:v>
      </x:c>
      <x:c r="E157" s="831" t="str">
        <x:v>10-K</x:v>
      </x:c>
      <x:c r="F157" s="1458" t="d">
        <x:v>2025-02-19T00:00:00.000Z</x:v>
      </x:c>
      <x:c r="G157" s="831" t="str">
        <x:v>0000059478-25-000067</x:v>
      </x:c>
      <x:c r="H157" s="831" t="str">
        <x:v>us-gaap:LongTermDebtNoncurrent</x:v>
      </x:c>
      <x:c r="I157" s="831" t="str">
        <x:v>c-17</x:v>
      </x:c>
      <x:c r="J157" s="831" t="n">
        <x:v>6</x:v>
      </x:c>
      <x:c r="K157" s="831" t="str">
        <x:v>-5</x:v>
      </x:c>
      <x:c r="L157" s="831" t="str">
        <x:v>https://www.sec.gov/Archives/edgar/data/59478/000005947825000067/lly-20241231.htm</x:v>
      </x:c>
      <x:c r="M157" s="831" t="str">
        <x:v>Printed p. 60; Long-term debt (Note 11) 28,527.1 18,320.8</x:v>
      </x:c>
      <x:c r="N157" s="831" t="str">
        <x:v>Exact prefixed tag; exact period; USD; no dimensions; checked source version.</x:v>
      </x:c>
      <x:c r="O157" s="740" t="str">
        <x:v>e43c1e343f533f048fe5a0776fd1fa721cc9148206a7457e9d4468618f883fde</x:v>
      </x:c>
    </x:row>
    <x:row r="158" ht="72" customHeight="1">
      <x:c r="A158" s="749" t="str">
        <x:v>LLY FY2024 operating_cash_flow: us-gaap:NetCashProvidedByUsedInOperatingActivities</x:v>
      </x:c>
      <x:c r="B158" s="1457" t="n">
        <x:v>8817900000</x:v>
      </x:c>
      <x:c r="C158" s="1458" t="d">
        <x:v>2024-01-01T00:00:00.000Z</x:v>
      </x:c>
      <x:c r="D158" s="1458" t="d">
        <x:v>2024-12-31T00:00:00.000Z</x:v>
      </x:c>
      <x:c r="E158" s="831" t="str">
        <x:v>10-K</x:v>
      </x:c>
      <x:c r="F158" s="1458" t="d">
        <x:v>2025-02-19T00:00:00.000Z</x:v>
      </x:c>
      <x:c r="G158" s="831" t="str">
        <x:v>0000059478-25-000067</x:v>
      </x:c>
      <x:c r="H158" s="831" t="str">
        <x:v>us-gaap:NetCashProvidedByUsedInOperatingActivities</x:v>
      </x:c>
      <x:c r="I158" s="831" t="str">
        <x:v>c-1</x:v>
      </x:c>
      <x:c r="J158" s="831" t="n">
        <x:v>6</x:v>
      </x:c>
      <x:c r="K158" s="831" t="str">
        <x:v>-5</x:v>
      </x:c>
      <x:c r="L158" s="831" t="str">
        <x:v>https://www.sec.gov/Archives/edgar/data/59478/000005947825000067/lly-20241231.htm</x:v>
      </x:c>
      <x:c r="M158" s="831" t="str">
        <x:v>Printed p. 62; Net Cash Provided by Operating Activities 8,817.9 4,240.1 7,585.7</x:v>
      </x:c>
      <x:c r="N158" s="831" t="str">
        <x:v>Exact prefixed tag; exact period; USD; no dimensions; checked source version.</x:v>
      </x:c>
      <x:c r="O158" s="740" t="str">
        <x:v>e43c1e343f533f048fe5a0776fd1fa721cc9148206a7457e9d4468618f883fde</x:v>
      </x:c>
    </x:row>
    <x:row r="159" ht="72" customHeight="1">
      <x:c r="A159" s="749" t="str">
        <x:v>LLY FY2024 capital_spending: us-gaap:PaymentsToAcquireOtherPropertyPlantAndEquipment</x:v>
      </x:c>
      <x:c r="B159" s="1457" t="n">
        <x:v>5057800000</x:v>
      </x:c>
      <x:c r="C159" s="1458" t="d">
        <x:v>2024-01-01T00:00:00.000Z</x:v>
      </x:c>
      <x:c r="D159" s="1458" t="d">
        <x:v>2024-12-31T00:00:00.000Z</x:v>
      </x:c>
      <x:c r="E159" s="831" t="str">
        <x:v>10-K</x:v>
      </x:c>
      <x:c r="F159" s="1458" t="d">
        <x:v>2025-02-19T00:00:00.000Z</x:v>
      </x:c>
      <x:c r="G159" s="831" t="str">
        <x:v>0000059478-25-000067</x:v>
      </x:c>
      <x:c r="H159" s="831" t="str">
        <x:v>us-gaap:PaymentsToAcquireOtherPropertyPlantAndEquipment</x:v>
      </x:c>
      <x:c r="I159" s="831" t="str">
        <x:v>c-1</x:v>
      </x:c>
      <x:c r="J159" s="831" t="n">
        <x:v>6</x:v>
      </x:c>
      <x:c r="K159" s="831" t="str">
        <x:v>-5</x:v>
      </x:c>
      <x:c r="L159" s="831" t="str">
        <x:v>https://www.sec.gov/Archives/edgar/data/59478/000005947825000067/lly-20241231.htm</x:v>
      </x:c>
      <x:c r="M159" s="831" t="str">
        <x:v>Printed p. 62; Purchases of property and equipment ( 5,057.8 ) ( 3,447.6 ) ( 1,854.3 )</x:v>
      </x:c>
      <x:c r="N159" s="831" t="str">
        <x:v>Exact prefixed tag; exact period; USD; no dimensions; checked source version.</x:v>
      </x:c>
      <x:c r="O159" s="740" t="str">
        <x:v>e43c1e343f533f048fe5a0776fd1fa721cc9148206a7457e9d4468618f883fde</x:v>
      </x:c>
    </x:row>
    <x:row r="160" ht="72" customHeight="1">
      <x:c r="A160" s="749" t="str">
        <x:v>LLY FY2025 cash: us-gaap:CashAndCashEquivalentsAtCarryingValue</x:v>
      </x:c>
      <x:c r="B160" s="1457" t="n">
        <x:v>7268000000</x:v>
      </x:c>
      <x:c r="C160" s="1458"/>
      <x:c r="D160" s="1458" t="d">
        <x:v>2025-12-31T00:00:00.000Z</x:v>
      </x:c>
      <x:c r="E160" s="831" t="str">
        <x:v>10-K</x:v>
      </x:c>
      <x:c r="F160" s="1458" t="d">
        <x:v>2026-02-12T00:00:00.000Z</x:v>
      </x:c>
      <x:c r="G160" s="831" t="str">
        <x:v>0000059478-26-000013</x:v>
      </x:c>
      <x:c r="H160" s="831" t="str">
        <x:v>us-gaap:CashAndCashEquivalentsAtCarryingValue</x:v>
      </x:c>
      <x:c r="I160" s="831" t="str">
        <x:v>c-16</x:v>
      </x:c>
      <x:c r="J160" s="831" t="n">
        <x:v>6</x:v>
      </x:c>
      <x:c r="K160" s="831" t="str">
        <x:v>-6</x:v>
      </x:c>
      <x:c r="L160" s="831" t="str">
        <x:v>https://www.sec.gov/Archives/edgar/data/59478/000005947826000013/lly-20251231.htm</x:v>
      </x:c>
      <x:c r="M160" s="831" t="str">
        <x:v>Printed p. 59; Cash and cash equivalents $ 7,268 $ 3,268</x:v>
      </x:c>
      <x:c r="N160" s="831" t="str">
        <x:v>Exact prefixed tag; exact period; USD; no dimensions; checked source version.</x:v>
      </x:c>
      <x:c r="O160" s="740" t="str">
        <x:v>d45f8d1e0945df0b7b30254e96ff8c5dbd1df7d15b17c8ef7399c8e0206b7d7f</x:v>
      </x:c>
    </x:row>
    <x:row r="161" ht="72" customHeight="1">
      <x:c r="A161" s="749" t="str">
        <x:v>LLY FY2025 gross_debt: us-gaap:DebtCurrent</x:v>
      </x:c>
      <x:c r="B161" s="1457" t="n">
        <x:v>1635000000</x:v>
      </x:c>
      <x:c r="C161" s="1458"/>
      <x:c r="D161" s="1458" t="d">
        <x:v>2025-12-31T00:00:00.000Z</x:v>
      </x:c>
      <x:c r="E161" s="831" t="str">
        <x:v>10-K</x:v>
      </x:c>
      <x:c r="F161" s="1458" t="d">
        <x:v>2026-02-12T00:00:00.000Z</x:v>
      </x:c>
      <x:c r="G161" s="831" t="str">
        <x:v>0000059478-26-000013</x:v>
      </x:c>
      <x:c r="H161" s="831" t="str">
        <x:v>us-gaap:DebtCurrent</x:v>
      </x:c>
      <x:c r="I161" s="831" t="str">
        <x:v>c-16</x:v>
      </x:c>
      <x:c r="J161" s="831" t="n">
        <x:v>6</x:v>
      </x:c>
      <x:c r="K161" s="831" t="str">
        <x:v>-6</x:v>
      </x:c>
      <x:c r="L161" s="831" t="str">
        <x:v>https://www.sec.gov/Archives/edgar/data/59478/000005947826000013/lly-20251231.htm</x:v>
      </x:c>
      <x:c r="M161" s="831" t="str">
        <x:v>Printed p. 59; Short-term borrowings and current maturities of long-term debt $ 1,635 $ 5,117</x:v>
      </x:c>
      <x:c r="N161" s="831" t="str">
        <x:v>Exact prefixed tag; exact period; USD; no dimensions; checked source version.</x:v>
      </x:c>
      <x:c r="O161" s="740" t="str">
        <x:v>d45f8d1e0945df0b7b30254e96ff8c5dbd1df7d15b17c8ef7399c8e0206b7d7f</x:v>
      </x:c>
    </x:row>
    <x:row r="162" ht="72" customHeight="1">
      <x:c r="A162" s="749" t="str">
        <x:v>LLY FY2025 gross_debt: us-gaap:LongTermDebtNoncurrent</x:v>
      </x:c>
      <x:c r="B162" s="1457" t="n">
        <x:v>40868000000</x:v>
      </x:c>
      <x:c r="C162" s="1458"/>
      <x:c r="D162" s="1458" t="d">
        <x:v>2025-12-31T00:00:00.000Z</x:v>
      </x:c>
      <x:c r="E162" s="831" t="str">
        <x:v>10-K</x:v>
      </x:c>
      <x:c r="F162" s="1458" t="d">
        <x:v>2026-02-12T00:00:00.000Z</x:v>
      </x:c>
      <x:c r="G162" s="831" t="str">
        <x:v>0000059478-26-000013</x:v>
      </x:c>
      <x:c r="H162" s="831" t="str">
        <x:v>us-gaap:LongTermDebtNoncurrent</x:v>
      </x:c>
      <x:c r="I162" s="831" t="str">
        <x:v>c-16</x:v>
      </x:c>
      <x:c r="J162" s="831" t="n">
        <x:v>6</x:v>
      </x:c>
      <x:c r="K162" s="831" t="str">
        <x:v>-6</x:v>
      </x:c>
      <x:c r="L162" s="831" t="str">
        <x:v>https://www.sec.gov/Archives/edgar/data/59478/000005947826000013/lly-20251231.htm</x:v>
      </x:c>
      <x:c r="M162" s="831" t="str">
        <x:v>Printed p. 59; Long-term debt 40,868 28,527</x:v>
      </x:c>
      <x:c r="N162" s="831" t="str">
        <x:v>Exact prefixed tag; exact period; USD; no dimensions; checked source version.</x:v>
      </x:c>
      <x:c r="O162" s="740" t="str">
        <x:v>d45f8d1e0945df0b7b30254e96ff8c5dbd1df7d15b17c8ef7399c8e0206b7d7f</x:v>
      </x:c>
    </x:row>
    <x:row r="163" ht="72" customHeight="1">
      <x:c r="A163" s="749" t="str">
        <x:v>LLY FY2025 operating_cash_flow: us-gaap:NetCashProvidedByUsedInOperatingActivities</x:v>
      </x:c>
      <x:c r="B163" s="1457" t="n">
        <x:v>16813000000</x:v>
      </x:c>
      <x:c r="C163" s="1458" t="d">
        <x:v>2025-01-01T00:00:00.000Z</x:v>
      </x:c>
      <x:c r="D163" s="1458" t="d">
        <x:v>2025-12-31T00:00:00.000Z</x:v>
      </x:c>
      <x:c r="E163" s="831" t="str">
        <x:v>10-K</x:v>
      </x:c>
      <x:c r="F163" s="1458" t="d">
        <x:v>2026-02-12T00:00:00.000Z</x:v>
      </x:c>
      <x:c r="G163" s="831" t="str">
        <x:v>0000059478-26-000013</x:v>
      </x:c>
      <x:c r="H163" s="831" t="str">
        <x:v>us-gaap:NetCashProvidedByUsedInOperatingActivities</x:v>
      </x:c>
      <x:c r="I163" s="831" t="str">
        <x:v>c-1</x:v>
      </x:c>
      <x:c r="J163" s="831" t="n">
        <x:v>6</x:v>
      </x:c>
      <x:c r="K163" s="831" t="str">
        <x:v>-6</x:v>
      </x:c>
      <x:c r="L163" s="831" t="str">
        <x:v>https://www.sec.gov/Archives/edgar/data/59478/000005947826000013/lly-20251231.htm</x:v>
      </x:c>
      <x:c r="M163" s="831" t="str">
        <x:v>Printed p. 61; Net Cash Provided by Operating Activities 16,813 8,818 4,240</x:v>
      </x:c>
      <x:c r="N163" s="831" t="str">
        <x:v>Exact prefixed tag; exact period; USD; no dimensions; checked source version.</x:v>
      </x:c>
      <x:c r="O163" s="740" t="str">
        <x:v>d45f8d1e0945df0b7b30254e96ff8c5dbd1df7d15b17c8ef7399c8e0206b7d7f</x:v>
      </x:c>
    </x:row>
    <x:row r="164" ht="72" customHeight="1">
      <x:c r="A164" s="750" t="str">
        <x:v>LLY FY2025 capital_spending: us-gaap:PaymentsToAcquireOtherPropertyPlantAndEquipment</x:v>
      </x:c>
      <x:c r="B164" s="1459" t="n">
        <x:v>7841000000</x:v>
      </x:c>
      <x:c r="C164" s="1460" t="d">
        <x:v>2025-01-01T00:00:00.000Z</x:v>
      </x:c>
      <x:c r="D164" s="1460" t="d">
        <x:v>2025-12-31T00:00:00.000Z</x:v>
      </x:c>
      <x:c r="E164" s="833" t="str">
        <x:v>10-K</x:v>
      </x:c>
      <x:c r="F164" s="1460" t="d">
        <x:v>2026-02-12T00:00:00.000Z</x:v>
      </x:c>
      <x:c r="G164" s="833" t="str">
        <x:v>0000059478-26-000013</x:v>
      </x:c>
      <x:c r="H164" s="833" t="str">
        <x:v>us-gaap:PaymentsToAcquireOtherPropertyPlantAndEquipment</x:v>
      </x:c>
      <x:c r="I164" s="833" t="str">
        <x:v>c-1</x:v>
      </x:c>
      <x:c r="J164" s="833" t="n">
        <x:v>6</x:v>
      </x:c>
      <x:c r="K164" s="833" t="str">
        <x:v>-6</x:v>
      </x:c>
      <x:c r="L164" s="833" t="str">
        <x:v>https://www.sec.gov/Archives/edgar/data/59478/000005947826000013/lly-20251231.htm</x:v>
      </x:c>
      <x:c r="M164" s="833" t="str">
        <x:v>Printed p. 61; Purchases of property and equipment ( 7,841 ) ( 5,058 ) ( 3,448 )</x:v>
      </x:c>
      <x:c r="N164" s="833" t="str">
        <x:v>Exact prefixed tag; exact period; USD; no dimensions; checked source version.</x:v>
      </x:c>
      <x:c r="O164" s="742" t="str">
        <x:v>d45f8d1e0945df0b7b30254e96ff8c5dbd1df7d15b17c8ef7399c8e0206b7d7f</x:v>
      </x:c>
    </x:row>
  </x:sheetData>
  <x:hyperlinks>
    <x:hyperlink ref="L2" r:id="rIdSource1"/>
    <x:hyperlink ref="L3" r:id="rIdSource2"/>
    <x:hyperlink ref="L4" r:id="rIdSource3"/>
    <x:hyperlink ref="L5" r:id="rIdSource4"/>
    <x:hyperlink ref="L6" r:id="rIdSource5"/>
    <x:hyperlink ref="L7" r:id="rIdSource6"/>
    <x:hyperlink ref="L8" r:id="rIdSource7"/>
    <x:hyperlink ref="L9" r:id="rIdSource8"/>
    <x:hyperlink ref="L10" r:id="rIdSource9"/>
    <x:hyperlink ref="L11" r:id="rIdSource10"/>
    <x:hyperlink ref="L12" r:id="rIdSource11"/>
    <x:hyperlink ref="G16" r:id="rIdSource12"/>
    <x:hyperlink ref="G17" r:id="rIdSource13"/>
    <x:hyperlink ref="M21" r:id="rIdSource14"/>
    <x:hyperlink ref="M22" r:id="rIdSource15"/>
    <x:hyperlink ref="M23" r:id="rIdSource16"/>
    <x:hyperlink ref="M24" r:id="rIdSource17"/>
    <x:hyperlink ref="M25" r:id="rIdSource18"/>
    <x:hyperlink ref="M26" r:id="rIdSource19"/>
    <x:hyperlink ref="M27" r:id="rIdSource20"/>
    <x:hyperlink ref="M28" r:id="rIdSource21"/>
    <x:hyperlink ref="M29" r:id="rIdSource22"/>
    <x:hyperlink ref="M30" r:id="rIdSource23"/>
    <x:hyperlink ref="M31" r:id="rIdSource24"/>
    <x:hyperlink ref="M32" r:id="rIdSource25"/>
    <x:hyperlink ref="M33" r:id="rIdSource26"/>
    <x:hyperlink ref="M34" r:id="rIdSource27"/>
    <x:hyperlink ref="M35" r:id="rIdSource28"/>
    <x:hyperlink ref="M36" r:id="rIdSource29"/>
    <x:hyperlink ref="M37" r:id="rIdSource30"/>
    <x:hyperlink ref="M38" r:id="rIdSource31"/>
    <x:hyperlink ref="M39" r:id="rIdSource32"/>
    <x:hyperlink ref="M40" r:id="rIdSource33"/>
    <x:hyperlink ref="M41" r:id="rIdSource34"/>
    <x:hyperlink ref="M42" r:id="rIdSource35"/>
    <x:hyperlink ref="M43" r:id="rIdSource36"/>
    <x:hyperlink ref="M44" r:id="rIdSource37"/>
    <x:hyperlink ref="M45" r:id="rIdSource38"/>
    <x:hyperlink ref="M46" r:id="rIdSource39"/>
    <x:hyperlink ref="M47" r:id="rIdSource40"/>
    <x:hyperlink ref="M48" r:id="rIdSource41"/>
    <x:hyperlink ref="M49" r:id="rIdSource42"/>
    <x:hyperlink ref="M50" r:id="rIdSource43"/>
    <x:hyperlink ref="M51" r:id="rIdSource44"/>
    <x:hyperlink ref="M52" r:id="rIdSource45"/>
    <x:hyperlink ref="M53" r:id="rIdSource46"/>
    <x:hyperlink ref="M54" r:id="rIdSource47"/>
    <x:hyperlink ref="M55" r:id="rIdSource48"/>
    <x:hyperlink ref="M56" r:id="rIdSource49"/>
    <x:hyperlink ref="M57" r:id="rIdSource50"/>
    <x:hyperlink ref="M58" r:id="rIdSource51"/>
    <x:hyperlink ref="M59" r:id="rIdSource52"/>
    <x:hyperlink ref="M60" r:id="rIdSource53"/>
    <x:hyperlink ref="M61" r:id="rIdSource54"/>
    <x:hyperlink ref="M62" r:id="rIdSource55"/>
    <x:hyperlink ref="M63" r:id="rIdSource56"/>
    <x:hyperlink ref="M64" r:id="rIdSource57"/>
    <x:hyperlink ref="M65" r:id="rIdSource58"/>
    <x:hyperlink ref="M66" r:id="rIdSource59"/>
    <x:hyperlink ref="M67" r:id="rIdSource60"/>
    <x:hyperlink ref="M68" r:id="rIdSource61"/>
    <x:hyperlink ref="M69" r:id="rIdSource62"/>
    <x:hyperlink ref="M70" r:id="rIdSource63"/>
    <x:hyperlink ref="M71" r:id="rIdSource64"/>
    <x:hyperlink ref="M72" r:id="rIdSource65"/>
    <x:hyperlink ref="M73" r:id="rIdSource66"/>
    <x:hyperlink ref="M74" r:id="rIdSource67"/>
    <x:hyperlink ref="M75" r:id="rIdSource68"/>
    <x:hyperlink ref="M76" r:id="rIdSource69"/>
    <x:hyperlink ref="M77" r:id="rIdSource70"/>
    <x:hyperlink ref="M78" r:id="rIdSource71"/>
    <x:hyperlink ref="M79" r:id="rIdSource72"/>
    <x:hyperlink ref="M80" r:id="rIdSource73"/>
    <x:hyperlink ref="M81" r:id="rIdSource74"/>
    <x:hyperlink ref="M82" r:id="rIdSource75"/>
    <x:hyperlink ref="M83" r:id="rIdSource76"/>
    <x:hyperlink ref="M84" r:id="rIdSource77"/>
    <x:hyperlink ref="M85" r:id="rIdSource78"/>
    <x:hyperlink ref="M86" r:id="rIdSource79"/>
    <x:hyperlink ref="M87" r:id="rIdSource80"/>
    <x:hyperlink ref="M88" r:id="rIdSource81"/>
    <x:hyperlink ref="M89" r:id="rIdSource82"/>
    <x:hyperlink ref="M90" r:id="rIdSource83"/>
    <x:hyperlink ref="M91" r:id="rIdSource84"/>
    <x:hyperlink ref="M92" r:id="rIdSource85"/>
    <x:hyperlink ref="M93" r:id="rIdSource86"/>
    <x:hyperlink ref="M94" r:id="rIdSource87"/>
    <x:hyperlink ref="M95" r:id="rIdSource88"/>
    <x:hyperlink ref="M96" r:id="rIdSource89"/>
    <x:hyperlink ref="M97" r:id="rIdSource90"/>
    <x:hyperlink ref="M98" r:id="rIdSource91"/>
    <x:hyperlink ref="M99" r:id="rIdSource92"/>
    <x:hyperlink ref="M100" r:id="rIdSource93"/>
    <x:hyperlink ref="M101" r:id="rIdSource94"/>
    <x:hyperlink ref="M102" r:id="rIdSource95"/>
    <x:hyperlink ref="M103" r:id="rIdSource96"/>
    <x:hyperlink ref="L107" r:id="rIdSource97"/>
    <x:hyperlink ref="L108" r:id="rIdSource98"/>
    <x:hyperlink ref="L109" r:id="rIdSource99"/>
    <x:hyperlink ref="L110" r:id="rIdSource100"/>
    <x:hyperlink ref="L111" r:id="rIdSource101"/>
    <x:hyperlink ref="L112" r:id="rIdSource102"/>
    <x:hyperlink ref="L113" r:id="rIdSource103"/>
    <x:hyperlink ref="L114" r:id="rIdSource104"/>
    <x:hyperlink ref="L115" r:id="rIdSource105"/>
    <x:hyperlink ref="L116" r:id="rIdSource106"/>
    <x:hyperlink ref="L120" r:id="rIdSource107"/>
    <x:hyperlink ref="L121" r:id="rIdSource108"/>
    <x:hyperlink ref="L122" r:id="rIdSource109"/>
    <x:hyperlink ref="L123" r:id="rIdSource110"/>
    <x:hyperlink ref="L124" r:id="rIdSource111"/>
    <x:hyperlink ref="L125" r:id="rIdSource112"/>
    <x:hyperlink ref="L126" r:id="rIdSource113"/>
    <x:hyperlink ref="L130" r:id="rIdSource114"/>
    <x:hyperlink ref="L131" r:id="rIdSource115"/>
    <x:hyperlink ref="L132" r:id="rIdSource116"/>
    <x:hyperlink ref="L133" r:id="rIdSource117"/>
    <x:hyperlink ref="L134" r:id="rIdSource118"/>
    <x:hyperlink ref="L135" r:id="rIdSource119"/>
    <x:hyperlink ref="L136" r:id="rIdSource120"/>
    <x:hyperlink ref="L140" r:id="rIdAnnualSource121"/>
    <x:hyperlink ref="L141" r:id="rIdAnnualSource122"/>
    <x:hyperlink ref="L142" r:id="rIdAnnualSource123"/>
    <x:hyperlink ref="L143" r:id="rIdAnnualSource124"/>
    <x:hyperlink ref="L144" r:id="rIdAnnualSource125"/>
    <x:hyperlink ref="L145" r:id="rIdAnnualSource126"/>
    <x:hyperlink ref="L146" r:id="rIdAnnualSource127"/>
    <x:hyperlink ref="L147" r:id="rIdAnnualSource128"/>
    <x:hyperlink ref="L148" r:id="rIdAnnualSource129"/>
    <x:hyperlink ref="L149" r:id="rIdAnnualSource130"/>
    <x:hyperlink ref="L150" r:id="rIdAnnualSource131"/>
    <x:hyperlink ref="L151" r:id="rIdAnnualSource132"/>
    <x:hyperlink ref="L152" r:id="rIdAnnualSource133"/>
    <x:hyperlink ref="L153" r:id="rIdAnnualSource134"/>
    <x:hyperlink ref="L154" r:id="rIdAnnualSource135"/>
    <x:hyperlink ref="L155" r:id="rIdAnnualSource136"/>
    <x:hyperlink ref="L156" r:id="rIdAnnualSource137"/>
    <x:hyperlink ref="L157" r:id="rIdAnnualSource138"/>
    <x:hyperlink ref="L158" r:id="rIdAnnualSource139"/>
    <x:hyperlink ref="L159" r:id="rIdAnnualSource140"/>
    <x:hyperlink ref="L160" r:id="rIdAnnualSource141"/>
    <x:hyperlink ref="L161" r:id="rIdAnnualSource142"/>
    <x:hyperlink ref="L162" r:id="rIdAnnualSource143"/>
    <x:hyperlink ref="L163" r:id="rIdAnnualSource144"/>
    <x:hyperlink ref="L164" r:id="rIdAnnualSource145"/>
  </x:hyperlinks>
  <x:pageMargins left="0.7" right="0.7" top="0.75" bottom="0.75" header="0.3" footer="0.3"/>
</x:worksheet>
</file>

<file path=xl/worksheets/sheet8.xml><?xml version="1.0" encoding="utf-8"?>
<x:worksheet xmlns:r="http://schemas.openxmlformats.org/officeDocument/2006/relationships" xmlns:x="http://schemas.openxmlformats.org/spreadsheetml/2006/main">
  <x:sheetViews>
    <x:sheetView showGridLines="0" workbookViewId="0"/>
  </x:sheetViews>
  <x:sheetFormatPr defaultRowHeight="15"/>
  <x:cols>
    <x:col min="1" max="1" width="28" hidden="0" customWidth="1"/>
    <x:col min="2" max="2" width="100" hidden="0" customWidth="1"/>
    <x:col min="3" max="3" width="75" hidden="0" customWidth="1"/>
  </x:cols>
  <x:sheetData>
    <x:row r="1" ht="30" customHeight="1">
      <x:c r="A1" s="226" t="str">
        <x:v>Topic</x:v>
      </x:c>
      <x:c r="B1" s="242" t="str">
        <x:v>Explanation</x:v>
      </x:c>
      <x:c r="C1" s="227" t="str">
        <x:v>Source</x:v>
      </x:c>
    </x:row>
    <x:row r="2" ht="100" customHeight="1">
      <x:c r="A2" s="234" t="str">
        <x:v>Scope</x:v>
      </x:c>
      <x:c r="B2" s="245" t="str">
        <x:v>Lilly only. Balance-sheet facts checked October 14, 2026; financing and interest reviewed October 15; funding interpretation checked October 16. Financial statements dated June 30. Not investment advice.</x:v>
      </x:c>
      <x:c r="C2" s="229" t="str">
        <x:v>https://www.sec.gov/Archives/edgar/data/59478/000005947826000081/lly-20260630.htm</x:v>
      </x:c>
    </x:row>
    <x:row r="3" ht="70" customHeight="1">
      <x:c r="A3" s="234" t="str">
        <x:v>Colors</x:v>
      </x:c>
      <x:c r="B3" s="245" t="str">
        <x:v>Arial 10. Full USD displayed in millions. Blue reported inputs, green cross-sheet links, black same-sheet calculations. Zero is a dash. Missing inputs are not zero.</x:v>
      </x:c>
      <x:c r="C3" s="340"/>
    </x:row>
    <x:row r="4" ht="70" customHeight="1">
      <x:c r="A4" s="234" t="str">
        <x:v>Cash generation</x:v>
      </x:c>
      <x:c r="B4" s="245" t="str">
        <x:v>Fiscal year + current YTD − prior YTD. Capital spending uses Lilly’s checked other-PP&amp;E tag. FCF excludes acquisitions, dividends and other cash uses.</x:v>
      </x:c>
      <x:c r="C4" s="229" t="str">
        <x:v>https://github.com/jackconnolly1000-ux/sec-filing-research-terminal/blob/main/docs/pilot_cashflow_reconciliation.md</x:v>
      </x:c>
    </x:row>
    <x:row r="5" ht="70" customHeight="1">
      <x:c r="A5" s="234" t="str">
        <x:v>Borrowing</x:v>
      </x:c>
      <x:c r="B5" s="245" t="str">
        <x:v>Balance-sheet current and noncurrent borrowing are added once. Fair-value table carrying amounts are not added again.</x:v>
      </x:c>
      <x:c r="C5" s="229" t="str">
        <x:v>https://github.com/jackconnolly1000-ux/sec-filing-research-terminal/blob/main/docs/pilot_evidence_lly.md</x:v>
      </x:c>
    </x:row>
    <x:row r="6" ht="70" customHeight="1">
      <x:c r="A6" s="235" t="str">
        <x:v>Selected commitments</x:v>
      </x:c>
      <x:c r="B6" s="263" t="str">
        <x:v>Descriptions retain their disclosure dates; AtaiBeckley was disclosed after quarter end. They are not added to debt or to each other.</x:v>
      </x:c>
      <x:c r="C6" s="231" t="str">
        <x:v>https://www.sec.gov/Archives/edgar/data/59478/000005947826000081/lly-20260630.htm</x:v>
      </x:c>
    </x:row>
    <x:row r="7" ht="95" customHeight="1">
      <x:c r="A7" s="234" t="str">
        <x:v>Dated review</x:v>
      </x:c>
      <x:c r="B7" s="245" t="str">
        <x:v>Repayment review uses exact H1 cash flows and historical annual carrying-debt buckets. Future coverage remains Unavailable. Text disclosures are identified separately; source hashes and dimensions are in Data.</x:v>
      </x:c>
      <x:c r="C7" s="229" t="str">
        <x:v>https://github.com/jackconnolly1000-ux/sec-filing-research-terminal/blob/main/docs/lly_liquidity_review.md</x:v>
      </x:c>
    </x:row>
    <x:row r="8" ht="95" customHeight="1">
      <x:c r="A8" s="235" t="str">
        <x:v>Post-quarter events</x:v>
      </x:c>
      <x:c r="B8" s="263" t="str">
        <x:v>July acquisition cash is separate from June cash. The July $3.9B ceiling includes upfront cash. August $4.5B manufacturing announcement has no dated cash schedule. No overlap total inferred.</x:v>
      </x:c>
      <x:c r="C8" s="231" t="str">
        <x:v>https://www.sec.gov/Archives/edgar/data/59478/000005947826000077/q226lillysalesandearningsp.htm</x:v>
      </x:c>
    </x:row>
    <x:row r="9" ht="85" customHeight="1">
      <x:c r="A9" s="234" t="str">
        <x:v>Financing inventory</x:v>
      </x:c>
      <x:c r="B9" s="245" t="str">
        <x:v>SEC index screened through October 15, 2026. May offering terms added as initial principal; full June debt schedule and drawable capacity remain Unavailable.</x:v>
      </x:c>
      <x:c r="C9" s="229" t="str">
        <x:v>https://data.sec.gov/submissions/CIK0000059478.json</x:v>
      </x:c>
    </x:row>
    <x:row r="10" ht="85" customHeight="1">
      <x:c r="A10" s="235" t="str">
        <x:v>Contract evidence</x:v>
      </x:c>
      <x:c r="B10" s="263" t="str">
        <x:v>Series rates and maturities come from the final prospectus and certificates, corroborated by the completed offering. An 8-K coupon conflict is flagged; the corroborated 2029 fixed rate is 4.150%.</x:v>
      </x:c>
      <x:c r="C10" s="231" t="str">
        <x:v>https://github.com/jackconnolly1000-ux/sec-filing-research-terminal/blob/main/docs/lly_financing_audit.md</x:v>
      </x:c>
    </x:row>
    <x:row r="11" ht="100" customHeight="1">
      <x:c r="A11" s="234" t="str">
        <x:v>Historical interest coverage</x:v>
      </x:c>
      <x:c r="B11" s="245" t="str">
        <x:v>Derived TTM operating income / reported interest expense. FY + current H1 − prior H1; each operating-income period reconciles to pretax less tagged nonoperating income (expense).</x:v>
      </x:c>
      <x:c r="C11" s="229" t="str">
        <x:v>https://github.com/jackconnolly1000-ux/sec-filing-research-terminal/blob/main/docs/lly_interest_coverage.md</x:v>
      </x:c>
    </x:row>
    <x:row r="12" ht="100" customHeight="1">
      <x:c r="A12" s="235" t="str">
        <x:v>Capitalization basis</x:v>
      </x:c>
      <x:c r="B12" s="263"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C12" s="231" t="str">
        <x:v>FY2025 10-K Note 11 p. 77; June 10-Q Note 11 p. 23</x:v>
      </x:c>
    </x:row>
    <x:row r="13" ht="86" customHeight="1">
      <x:c r="A13" s="264" t="str">
        <x:v>Ratio reconciliation</x:v>
      </x:c>
      <x:c r="B13" s="267" t="str">
        <x:v>Debt and liquidity shows current ratio, same-filing net debt, TTM OCF/debt and FCF/debt, and historical interest coverage. Denominator definitions and capital-spending bases differ by company. Values are historical, not future funding coverage.</x:v>
      </x:c>
      <x:c r="C13" s="268" t="str">
        <x:v>https://github.com/jackconnolly1000-ux/sec-filing-research-terminal/blob/main/docs/ratio_reconciliation.md</x:v>
      </x:c>
    </x:row>
    <x:row r="14" ht="78" customHeight="1">
      <x:c r="A14" s="264" t="str">
        <x:v>Borrowing and leases</x:v>
      </x:c>
      <x:c r="B14" s="267" t="str">
        <x:v>The Borrowing and leases sheet reconciles baseline borrowing and shows lease balances on their own dates. Unavailable means the amount was not established in the checked evidence. Leases never enter baseline debt or its ratios.</x:v>
      </x:c>
      <x:c r="C14" s="268" t="str">
        <x:v>https://github.com/jackconnolly1000-ux/sec-filing-research-terminal/blob/main/docs/borrowing_lease_presentation.md</x:v>
      </x:c>
    </x:row>
    <x:row r="15" ht="70" customHeight="1">
      <x:c r="A15" s="341" t="str">
        <x:v>History</x:v>
      </x:c>
      <x:c r="B15" s="686" t="str">
        <x:v>Two dated observations per company. Fiscal-year and TTM flows are overlapping twelve-month windows. Vistra FY2025 borrowing and dependent ratios use the checked annual financing line once.</x:v>
      </x:c>
      <x:c r="C15" s="343" t="str">
        <x:v>https://github.com/jackconnolly1000-ux/sec-filing-research-terminal/blob/main/docs/company_history.md</x:v>
      </x:c>
    </x:row>
    <x:row r="16" ht="70" customHeight="1">
      <x:c r="A16" s="341" t="str">
        <x:v>Core charts</x:v>
      </x:c>
      <x:c r="B16" s="686" t="str">
        <x:v>Two native charts link to Debt and liquidity and History. Signed capital spending is a use; FCF is the result. Unavailable observations are omitted, never plotted as zero.</x:v>
      </x:c>
      <x:c r="C16" s="343" t="str">
        <x:v>https://github.com/jackconnolly1000-ux/sec-filing-research-terminal/blob/main/docs/core_charts.md</x:v>
      </x:c>
    </x:row>
    <x:row r="17" ht="76" customHeight="1">
      <x:c r="A17" s="341" t="str">
        <x:v>Workbook guide</x:v>
      </x:c>
      <x:c r="B17" s="342" t="str">
        <x:v>The first sheet lists all workbook tabs and their questions. Core metrics, dated history and common charts agree with the app. Source URLs are full text and open as links when selected.</x:v>
      </x:c>
      <x:c r="C17" s="343" t="str">
        <x:v>https://github.com/jackconnolly1000-ux/sec-filing-research-terminal/blob/main/docs/excel_parity.md</x:v>
      </x:c>
    </x:row>
    <x:row r="18" ht="98" customHeight="1">
      <x:c r="A18" s="871" t="str">
        <x:v>Annual history</x:v>
      </x:c>
      <x:c r="B18" s="890" t="str">
        <x:v>Annual cash and borrowing are fiscal-year-end balances. OCF and capital spending cover each full fiscal year. FCF = OCF − capital spending; it excludes acquisitions and other investing and financing uses. Historical amounts do not establish future repayment coverage. Fiscal calendars, business perimeters and capital-spending definitions differ. 2021/2022 cash flows use FY2023’s disclosed IPR&amp;D milestone reclassification. OCF increased by $105.2M/$501.3M through classification, not new cash generation. Cash and borrowing retain their original balance sheets. FCF does not deduct IPR&amp;D purchases.</x:v>
      </x:c>
      <x:c r="C18" s="891" t="str">
        <x:v>https://github.com/jackconnolly1000-ux/sec-filing-research-terminal/blob/main/docs/annual_history_reconciliation.md</x:v>
      </x:c>
    </x:row>
  </x:sheetData>
  <x:hyperlinks>
    <x:hyperlink ref="C2" r:id="rIdSource1"/>
    <x:hyperlink ref="C4" r:id="rIdSource2"/>
    <x:hyperlink ref="C5" r:id="rIdSource3"/>
    <x:hyperlink ref="C6" r:id="rIdSource4"/>
    <x:hyperlink ref="C7" r:id="rIdSource5"/>
    <x:hyperlink ref="C8" r:id="rIdSource6"/>
    <x:hyperlink ref="C9" r:id="rIdSource7"/>
    <x:hyperlink ref="C10" r:id="rIdSource8"/>
    <x:hyperlink ref="C11" r:id="rIdSource9"/>
    <x:hyperlink ref="C13" r:id="rIdSource10"/>
    <x:hyperlink ref="C14" r:id="rIdSource11"/>
    <x:hyperlink ref="C15" r:id="rIdSource12"/>
    <x:hyperlink ref="C16" r:id="rIdSource13"/>
    <x:hyperlink ref="C17" r:id="rIdSource14"/>
    <x:hyperlink ref="C18" r:id="rIdAnnualSource15"/>
  </x:hyperlinks>
  <x:pageMargins left="0.7" right="0.7" top="0.75" bottom="0.75" header="0.3" footer="0.3"/>
</x:worksheet>
</file>

<file path=xl/worksheets/sheet9.xml><?xml version="1.0" encoding="utf-8"?>
<x:worksheet xmlns:r="http://schemas.openxmlformats.org/officeDocument/2006/relationships" xmlns:x="http://schemas.openxmlformats.org/spreadsheetml/2006/main">
  <x:sheetViews>
    <x:sheetView showGridLines="0" workbookViewId="0">
      <x:pane xSplit="1" ySplit="5" topLeftCell="B6" activePane="bottomRight" state="frozen"/>
    </x:sheetView>
  </x:sheetViews>
  <x:sheetFormatPr defaultRowHeight="15"/>
  <x:cols>
    <x:col min="1" max="1" width="34" hidden="0" customWidth="1"/>
    <x:col min="2" max="2" width="20" hidden="0" customWidth="1"/>
    <x:col min="3" max="3" width="20" hidden="0" customWidth="1"/>
    <x:col min="4" max="4" width="20" hidden="0" customWidth="1"/>
    <x:col min="5" max="5" width="20" hidden="0" customWidth="1"/>
    <x:col min="6" max="6" width="20" hidden="0" customWidth="1"/>
  </x:cols>
  <x:sheetData>
    <x:row r="1">
      <x:c r="A1" s="728"/>
      <x:c r="B1" s="728"/>
      <x:c r="C1" s="728"/>
      <x:c r="D1" s="728"/>
      <x:c r="E1" s="728"/>
      <x:c r="F1" s="728"/>
    </x:row>
    <x:row r="2">
      <x:c r="A2" s="731" t="str">
        <x:v>LLY — five completed fiscal years</x:v>
      </x:c>
      <x:c r="B2" s="728"/>
      <x:c r="C2" s="728"/>
      <x:c r="D2" s="728"/>
      <x:c r="E2" s="728"/>
      <x:c r="F2" s="728"/>
    </x:row>
    <x:row r="3">
      <x:c r="A3" s="732" t="str">
        <x:v>USD millions. Full fiscal years; latest TTM remains separate.</x:v>
      </x:c>
      <x:c r="B3" s="728"/>
      <x:c r="C3" s="728"/>
      <x:c r="D3" s="728"/>
      <x:c r="E3" s="728"/>
      <x:c r="F3" s="728"/>
    </x:row>
    <x:row r="4" ht="25" customHeight="1">
      <x:c r="A4" s="728" t="str">
        <x:v>Fiscal year end</x:v>
      </x:c>
      <x:c r="B4" s="1448" t="d">
        <x:v>2021-12-31T00:00:00.000Z</x:v>
      </x:c>
      <x:c r="C4" s="1448" t="d">
        <x:v>2022-12-31T00:00:00.000Z</x:v>
      </x:c>
      <x:c r="D4" s="1448" t="d">
        <x:v>2023-12-31T00:00:00.000Z</x:v>
      </x:c>
      <x:c r="E4" s="1448" t="d">
        <x:v>2024-12-31T00:00:00.000Z</x:v>
      </x:c>
      <x:c r="F4" s="1448" t="d">
        <x:v>2025-12-31T00:00:00.000Z</x:v>
      </x:c>
    </x:row>
    <x:row r="5" ht="25" customHeight="1">
      <x:c r="A5" s="1454" t="str">
        <x:v>Measure</x:v>
      </x:c>
      <x:c r="B5" s="1455" t="str">
        <x:v>FY2021</x:v>
      </x:c>
      <x:c r="C5" s="1455" t="str">
        <x:v>FY2022</x:v>
      </x:c>
      <x:c r="D5" s="1455" t="str">
        <x:v>FY2023</x:v>
      </x:c>
      <x:c r="E5" s="1455" t="str">
        <x:v>FY2024</x:v>
      </x:c>
      <x:c r="F5" s="1456" t="str">
        <x:v>FY2025</x:v>
      </x:c>
    </x:row>
    <x:row r="6" ht="25" customHeight="1">
      <x:c r="A6" s="749" t="str">
        <x:v>Cash and equivalents</x:v>
      </x:c>
      <x:c r="B6" s="1449" t="n">
        <x:f>IF(ISNUMBER('Data'!B140),'Data'!B140,NA())</x:f>
        <x:v>3818500000</x:v>
      </x:c>
      <x:c r="C6" s="1449" t="n">
        <x:f>IF(ISNUMBER('Data'!B145),'Data'!B145,NA())</x:f>
        <x:v>2067000000</x:v>
      </x:c>
      <x:c r="D6" s="1449" t="n">
        <x:f>IF(ISNUMBER('Data'!B150),'Data'!B150,NA())</x:f>
        <x:v>2818600000</x:v>
      </x:c>
      <x:c r="E6" s="1449" t="n">
        <x:f>IF(ISNUMBER('Data'!B155),'Data'!B155,NA())</x:f>
        <x:v>3268400000</x:v>
      </x:c>
      <x:c r="F6" s="1450" t="n">
        <x:f>IF(ISNUMBER('Data'!B160),'Data'!B160,NA())</x:f>
        <x:v>7268000000</x:v>
      </x:c>
    </x:row>
    <x:row r="7" ht="25" customHeight="1">
      <x:c r="A7" s="749" t="str">
        <x:v>Baseline borrowing</x:v>
      </x:c>
      <x:c r="B7" s="1449" t="n">
        <x:f>IF(ISNUMBER('Data'!B141),'Data'!B141,NA())+IF(ISNUMBER('Data'!B142),'Data'!B142,NA())</x:f>
        <x:v>16884700000</x:v>
      </x:c>
      <x:c r="C7" s="1449" t="n">
        <x:f>IF(ISNUMBER('Data'!B146),'Data'!B146,NA())+IF(ISNUMBER('Data'!B147),'Data'!B147,NA())</x:f>
        <x:v>16238600000</x:v>
      </x:c>
      <x:c r="D7" s="1449" t="n">
        <x:f>IF(ISNUMBER('Data'!B151),'Data'!B151,NA())+IF(ISNUMBER('Data'!B152),'Data'!B152,NA())</x:f>
        <x:v>25225300000</x:v>
      </x:c>
      <x:c r="E7" s="1449" t="n">
        <x:f>IF(ISNUMBER('Data'!B156),'Data'!B156,NA())+IF(ISNUMBER('Data'!B157),'Data'!B157,NA())</x:f>
        <x:v>33644200000</x:v>
      </x:c>
      <x:c r="F7" s="1450" t="n">
        <x:f>IF(ISNUMBER('Data'!B161),'Data'!B161,NA())+IF(ISNUMBER('Data'!B162),'Data'!B162,NA())</x:f>
        <x:v>42503000000</x:v>
      </x:c>
    </x:row>
    <x:row r="8" ht="25" customHeight="1">
      <x:c r="A8" s="749" t="str">
        <x:v>Operating cash flow</x:v>
      </x:c>
      <x:c r="B8" s="1449" t="n">
        <x:f>IF(ISNUMBER('Data'!B143),'Data'!B143,NA())</x:f>
        <x:v>7365900000</x:v>
      </x:c>
      <x:c r="C8" s="1449" t="n">
        <x:f>IF(ISNUMBER('Data'!B148),'Data'!B148,NA())</x:f>
        <x:v>7585700000</x:v>
      </x:c>
      <x:c r="D8" s="1449" t="n">
        <x:f>IF(ISNUMBER('Data'!B153),'Data'!B153,NA())</x:f>
        <x:v>4240100000</x:v>
      </x:c>
      <x:c r="E8" s="1449" t="n">
        <x:f>IF(ISNUMBER('Data'!B158),'Data'!B158,NA())</x:f>
        <x:v>8817900000</x:v>
      </x:c>
      <x:c r="F8" s="1450" t="n">
        <x:f>IF(ISNUMBER('Data'!B163),'Data'!B163,NA())</x:f>
        <x:v>16813000000</x:v>
      </x:c>
    </x:row>
    <x:row r="9" ht="25" customHeight="1">
      <x:c r="A9" s="749" t="str">
        <x:v>Capital spending</x:v>
      </x:c>
      <x:c r="B9" s="1449" t="n">
        <x:f>IF(ISNUMBER('Data'!B144),'Data'!B144,NA())</x:f>
        <x:v>1309800000</x:v>
      </x:c>
      <x:c r="C9" s="1449" t="n">
        <x:f>IF(ISNUMBER('Data'!B149),'Data'!B149,NA())</x:f>
        <x:v>1854300000</x:v>
      </x:c>
      <x:c r="D9" s="1449" t="n">
        <x:f>IF(ISNUMBER('Data'!B154),'Data'!B154,NA())</x:f>
        <x:v>3447600000</x:v>
      </x:c>
      <x:c r="E9" s="1449" t="n">
        <x:f>IF(ISNUMBER('Data'!B159),'Data'!B159,NA())</x:f>
        <x:v>5057800000</x:v>
      </x:c>
      <x:c r="F9" s="1450" t="n">
        <x:f>IF(ISNUMBER('Data'!B164),'Data'!B164,NA())</x:f>
        <x:v>7841000000</x:v>
      </x:c>
    </x:row>
    <x:row r="10" ht="25" customHeight="1">
      <x:c r="A10" s="871" t="str">
        <x:v>Free cash flow</x:v>
      </x:c>
      <x:c r="B10" s="1451" t="n">
        <x:f>B8-B9</x:f>
        <x:v>6056100000</x:v>
      </x:c>
      <x:c r="C10" s="1451" t="n">
        <x:f>C8-C9</x:f>
        <x:v>5731400000</x:v>
      </x:c>
      <x:c r="D10" s="1451" t="n">
        <x:f>D8-D9</x:f>
        <x:v>792500000</x:v>
      </x:c>
      <x:c r="E10" s="1451" t="n">
        <x:f>E8-E9</x:f>
        <x:v>3760100000</x:v>
      </x:c>
      <x:c r="F10" s="1452" t="n">
        <x:f>F8-F9</x:f>
        <x:v>8972000000</x:v>
      </x:c>
    </x:row>
    <x:row r="11">
      <x:c r="A11" s="728"/>
      <x:c r="B11" s="728"/>
      <x:c r="C11" s="728"/>
      <x:c r="D11" s="728"/>
      <x:c r="E11" s="728"/>
      <x:c r="F11" s="728"/>
    </x:row>
    <x:row r="12" ht="21" customHeight="1">
      <x:c r="A12" s="728" t="str">
        <x:v>Annual basis</x:v>
      </x:c>
      <x:c r="B12" s="732" t="str">
        <x:v>Annual cash and borrowing are fiscal-year-end balances. OCF and capital spending cover each full fiscal</x:v>
      </x:c>
      <x:c r="C12" s="728"/>
      <x:c r="D12" s="728"/>
      <x:c r="E12" s="728"/>
      <x:c r="F12" s="728"/>
    </x:row>
    <x:row r="13" ht="21" customHeight="1">
      <x:c r="A13" s="728"/>
      <x:c r="B13" s="732" t="str">
        <x:v>year. FCF = OCF − capital spending; it excludes acquisitions and other investing and financing uses.</x:v>
      </x:c>
      <x:c r="C13" s="728"/>
      <x:c r="D13" s="728"/>
      <x:c r="E13" s="728"/>
      <x:c r="F13" s="728"/>
    </x:row>
    <x:row r="14" ht="21" customHeight="1">
      <x:c r="A14" s="728"/>
      <x:c r="B14" s="732" t="str">
        <x:v>Historical amounts do not establish future repayment coverage. Fiscal calendars, business perimeters and</x:v>
      </x:c>
      <x:c r="C14" s="728"/>
      <x:c r="D14" s="728"/>
      <x:c r="E14" s="728"/>
      <x:c r="F14" s="728"/>
    </x:row>
    <x:row r="15" ht="21" customHeight="1">
      <x:c r="A15" s="728"/>
      <x:c r="B15" s="732" t="str">
        <x:v>capital-spending definitions differ.</x:v>
      </x:c>
      <x:c r="C15" s="728"/>
      <x:c r="D15" s="728"/>
      <x:c r="E15" s="728"/>
      <x:c r="F15" s="728"/>
    </x:row>
    <x:row r="16" ht="21" customHeight="1">
      <x:c r="A16" s="728"/>
      <x:c r="B16" s="728"/>
      <x:c r="C16" s="728"/>
      <x:c r="D16" s="728"/>
      <x:c r="E16" s="728"/>
      <x:c r="F16" s="728"/>
    </x:row>
    <x:row r="17" ht="21" customHeight="1">
      <x:c r="A17" s="728" t="str">
        <x:v>Presentation choice</x:v>
      </x:c>
      <x:c r="B17" s="732" t="str">
        <x:v>2021/2022 cash flows use FY2023’s disclosed IPR&amp;D milestone reclassification. OCF increased by</x:v>
      </x:c>
      <x:c r="C17" s="728"/>
      <x:c r="D17" s="728"/>
      <x:c r="E17" s="728"/>
      <x:c r="F17" s="728"/>
    </x:row>
    <x:row r="18" ht="21" customHeight="1">
      <x:c r="A18" s="728"/>
      <x:c r="B18" s="732" t="str">
        <x:v>$105.2M/$501.3M through classification, not new cash generation. Cash and borrowing retain their original</x:v>
      </x:c>
      <x:c r="C18" s="728"/>
      <x:c r="D18" s="728"/>
      <x:c r="E18" s="728"/>
      <x:c r="F18" s="728"/>
    </x:row>
    <x:row r="19" ht="21" customHeight="1">
      <x:c r="A19" s="728"/>
      <x:c r="B19" s="732" t="str">
        <x:v>balance sheets. FCF does not deduct IPR&amp;D purchases.</x:v>
      </x:c>
      <x:c r="C19" s="728"/>
      <x:c r="D19" s="728"/>
      <x:c r="E19" s="728"/>
      <x:c r="F19" s="728"/>
    </x:row>
    <x:row r="20" ht="21" customHeight="1">
      <x:c r="A20" s="728"/>
      <x:c r="B20" s="728"/>
      <x:c r="C20" s="728"/>
      <x:c r="D20" s="728"/>
      <x:c r="E20" s="728"/>
      <x:c r="F20" s="728"/>
    </x:row>
    <x:row r="21" ht="21" customHeight="1">
      <x:c r="A21" s="728"/>
      <x:c r="B21" s="728"/>
      <x:c r="C21" s="728"/>
      <x:c r="D21" s="728"/>
      <x:c r="E21" s="728"/>
      <x:c r="F21" s="728"/>
    </x:row>
    <x:row r="22" ht="21" customHeight="1">
      <x:c r="A22" s="728"/>
      <x:c r="B22" s="728"/>
      <x:c r="C22" s="728"/>
      <x:c r="D22" s="728"/>
      <x:c r="E22" s="728"/>
      <x:c r="F22" s="728"/>
    </x:row>
    <x:row r="23" ht="21" customHeight="1"/>
    <x:row r="60">
      <x:c r="A60" s="728" t="str">
        <x:v>Chart data: capital spending as a use of cash, the negative of row 9 (missing years stay #N/A, so they leave a gap).</x:v>
      </x:c>
    </x:row>
    <x:row r="61">
      <x:c r="A61" s="749" t="str">
        <x:v>Capital spending (a use of cash)</x:v>
      </x:c>
      <x:c r="B61" s="1449" t="n">
        <x:f>IF(ISNUMBER(B9),-B9,NA())</x:f>
        <x:v>-1309800000</x:v>
      </x:c>
      <x:c r="C61" s="1449" t="n">
        <x:f>IF(ISNUMBER(C9),-C9,NA())</x:f>
        <x:v>-1854300000</x:v>
      </x:c>
      <x:c r="D61" s="1449" t="n">
        <x:f>IF(ISNUMBER(D9),-D9,NA())</x:f>
        <x:v>-3447600000</x:v>
      </x:c>
      <x:c r="E61" s="1449" t="n">
        <x:f>IF(ISNUMBER(E9),-E9,NA())</x:f>
        <x:v>-5057800000</x:v>
      </x:c>
      <x:c r="F61" s="1450" t="n">
        <x:f>IF(ISNUMBER(F9),-F9,NA())</x:f>
        <x:v>-7841000000</x:v>
      </x:c>
    </x:row>
  </x:sheetData>
  <x:pageMargins left="0.7" right="0.7" top="0.75" bottom="0.75" header="0.3" footer="0.3"/>
  <x:drawing r:id="rIdAnnualCharts"/>
</x:worksheet>
</file>