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6.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ce020ae7c24284" /></Relationships>
</file>

<file path=xl/workbook.xml><?xml version="1.0" encoding="utf-8"?>
<x:workbook xmlns:r="http://schemas.openxmlformats.org/officeDocument/2006/relationships" xmlns:x="http://schemas.openxmlformats.org/spreadsheetml/2006/main">
  <x:sheets>
    <x:sheet name="Funding conclusion" sheetId="1" r:id="R5d8071a01baa4740"/>
    <x:sheet name="Borrowing and leases" sheetId="2" r:id="Rdb561f41d7664885"/>
    <x:sheet name="Debt and liquidity" sheetId="3" r:id="R678973a6daee4721"/>
    <x:sheet name="History" sheetId="4" r:id="R61b303ccd30848b0"/>
    <x:sheet name="Annual history" sheetId="9" r:id="rIdAnnualHistory"/>
    <x:sheet name="Core charts" sheetId="5" r:id="R147af0f1d96f4e26"/>
    <x:sheet name="Repayment review" sheetId="6" r:id="R2d31b716f68d4673"/>
    <x:sheet name="Data" sheetId="7" r:id="Re3efeb6e05ad497b"/>
    <x:sheet name="About" sheetId="8" r:id="Rc20a55f23ee44f8d"/>
  </x:sheets>
</x:workbook>
</file>

<file path=xl/sharedStrings.xml><?xml version="1.0" encoding="utf-8"?>
<x:sst xmlns:x="http://schemas.openxmlformats.org/spreadsheetml/2006/main"/>
</file>

<file path=xl/styles.xml><?xml version="1.0" encoding="utf-8"?>
<x:styleSheet xmlns:x="http://schemas.openxmlformats.org/spreadsheetml/2006/main">
  <x:numFmts count="24">
    <x:numFmt numFmtId="200" formatCode="0.00&quot;x&quot;"/>
    <x:numFmt numFmtId="201" formatCode="#,##0,,;(#,##0,,);&quot;-&quot;"/>
    <x:numFmt numFmtId="202" formatCode="mmm d, yyyy"/>
    <x:numFmt numFmtId="203" formatCode="0.0%"/>
    <x:numFmt numFmtId="204" formatCode="0.000%"/>
    <x:numFmt numFmtId="205" formatCode="0.00&quot;x&quot;"/>
    <x:numFmt numFmtId="206" formatCode="#,##0,,;(#,##0,,);&quot;-&quot;"/>
    <x:numFmt numFmtId="207" formatCode="mmm d, yyyy"/>
    <x:numFmt numFmtId="208" formatCode="0.0%"/>
    <x:numFmt numFmtId="209" formatCode="0.000%"/>
    <x:numFmt numFmtId="210" formatCode="yyyy-mm-dd"/>
    <x:numFmt numFmtId="211" formatCode="#,##0.0,,;(#,##0.0,,);&quot;-&quot;"/>
    <x:numFmt numFmtId="212" formatCode="0.00&quot;x&quot;"/>
    <x:numFmt numFmtId="213" formatCode="#,##0,,;(#,##0,,);&quot;-&quot;"/>
    <x:numFmt numFmtId="214" formatCode="mmm d, yyyy"/>
    <x:numFmt numFmtId="215" formatCode="0.0%"/>
    <x:numFmt numFmtId="216" formatCode="0.000%"/>
    <x:numFmt numFmtId="217" formatCode="0.00&quot;x&quot;"/>
    <x:numFmt numFmtId="218" formatCode="#,##0,,;(#,##0,,);&quot;-&quot;"/>
    <x:numFmt numFmtId="219" formatCode="mmm d, yyyy"/>
    <x:numFmt numFmtId="220" formatCode="0.0%"/>
    <x:numFmt numFmtId="221" formatCode="0.000%"/>
    <x:numFmt numFmtId="222" formatCode="yyyy-mm-dd"/>
    <x:numFmt numFmtId="223" formatCode="#,##0.0,,;(#,##0.0,,);&quot;-&quot;"/>
  </x:numFmts>
  <x:fonts count="84">
    <x:font>
      <x:sz val="11"/>
      <x:name val="Carlito"/>
    </x:font>
    <x:font>
      <x:sz val="11"/>
      <x:name val="Arial"/>
    </x:font>
    <x:font>
      <x:sz val="10"/>
      <x:name val="Arial"/>
    </x:font>
    <x:font>
      <x:b/>
      <x:sz val="10"/>
      <x:name val="Arial"/>
    </x:font>
    <x:font>
      <x:b/>
      <x:sz val="14"/>
      <x:name val="Arial"/>
    </x:font>
    <x:font>
      <x:i/>
      <x:sz val="10"/>
      <x:name val="Arial"/>
    </x:font>
    <x:font>
      <x:i/>
      <x:sz val="10"/>
      <x:color rgb="FF008000"/>
      <x:name val="Arial"/>
    </x:font>
    <x:font>
      <x:sz val="11"/>
      <x:color rgb="FF0000FF"/>
      <x:name val="Carlito"/>
    </x:font>
    <x:font>
      <x:sz val="11"/>
      <x:color rgb="FF008000"/>
      <x:name val="Carlito"/>
    </x:font>
    <x:font>
      <x:sz val="11"/>
      <x:color rgb="FF000000"/>
      <x:name val="Carlito"/>
    </x:font>
    <x:font>
      <x:sz val="11"/>
      <x:color rgb="FF000000"/>
      <x:name val="Arial"/>
    </x:font>
    <x:font>
      <x:sz val="11"/>
      <x:color rgb="FF008000"/>
      <x:name val="Arial"/>
    </x:font>
    <x:font>
      <x:sz val="10"/>
      <x:color rgb="FF000000"/>
      <x:name val="Arial"/>
    </x:font>
    <x:font>
      <x:sz val="10"/>
      <x:color rgb="FF008000"/>
      <x:name val="Arial"/>
    </x:font>
    <x:font>
      <x:sz val="11"/>
      <x:color rgb="FF0000FF"/>
      <x:name val="Arial"/>
    </x:font>
    <x:font>
      <x:sz val="10"/>
      <x:color rgb="FF0000FF"/>
      <x:name val="Arial"/>
    </x:font>
    <x:font>
      <x:sz val="10"/>
      <x:name val="Arial"/>
    </x:font>
    <x:font>
      <x:sz val="14"/>
      <x:name val="Arial"/>
    </x:font>
    <x:font>
      <x:b/>
      <x:sz val="10"/>
      <x:color rgb="FF000000"/>
      <x:name val="Arial"/>
    </x:font>
    <x:font>
      <x:b/>
      <x:sz val="13"/>
      <x:name val="Arial"/>
    </x:font>
    <x:font>
      <x:b/>
      <x:sz val="10"/>
      <x:color rgb="FF008000"/>
      <x:name val="Arial"/>
    </x:font>
    <x:font>
      <x:sz val="11"/>
      <x:name val="Carlito"/>
    </x:font>
    <x:font>
      <x:sz val="11"/>
      <x:name val="Arial"/>
    </x:font>
    <x:font>
      <x:sz val="10"/>
      <x:name val="Arial"/>
    </x:font>
    <x:font>
      <x:b/>
      <x:sz val="10"/>
      <x:name val="Arial"/>
    </x:font>
    <x:font>
      <x:b/>
      <x:sz val="14"/>
      <x:name val="Arial"/>
    </x:font>
    <x:font>
      <x:i/>
      <x:sz val="10"/>
      <x:name val="Arial"/>
    </x:font>
    <x:font>
      <x:i/>
      <x:sz val="10"/>
      <x:color rgb="FF008000"/>
      <x:name val="Arial"/>
    </x:font>
    <x:font>
      <x:sz val="11"/>
      <x:color rgb="FF0000FF"/>
      <x:name val="Carlito"/>
    </x:font>
    <x:font>
      <x:sz val="11"/>
      <x:color rgb="FF008000"/>
      <x:name val="Carlito"/>
    </x:font>
    <x:font>
      <x:sz val="11"/>
      <x:color rgb="FF000000"/>
      <x:name val="Carlito"/>
    </x:font>
    <x:font>
      <x:sz val="11"/>
      <x:color rgb="FF000000"/>
      <x:name val="Arial"/>
    </x:font>
    <x:font>
      <x:sz val="11"/>
      <x:color rgb="FF008000"/>
      <x:name val="Arial"/>
    </x:font>
    <x:font>
      <x:sz val="10"/>
      <x:color rgb="FF000000"/>
      <x:name val="Arial"/>
    </x:font>
    <x:font>
      <x:sz val="10"/>
      <x:color rgb="FF008000"/>
      <x:name val="Arial"/>
    </x:font>
    <x:font>
      <x:sz val="11"/>
      <x:color rgb="FF0000FF"/>
      <x:name val="Arial"/>
    </x:font>
    <x:font>
      <x:sz val="10"/>
      <x:color rgb="FF0000FF"/>
      <x:name val="Arial"/>
    </x:font>
    <x:font>
      <x:sz val="10"/>
      <x:name val="Arial"/>
    </x:font>
    <x:font>
      <x:sz val="14"/>
      <x:name val="Arial"/>
    </x:font>
    <x:font>
      <x:b/>
      <x:sz val="10"/>
      <x:color rgb="FF000000"/>
      <x:name val="Arial"/>
    </x:font>
    <x:font>
      <x:b/>
      <x:sz val="13"/>
      <x:name val="Arial"/>
    </x:font>
    <x:font>
      <x:b/>
      <x:sz val="10"/>
      <x:color rgb="FF008000"/>
      <x:name val="Arial"/>
    </x:font>
    <x:font>
      <x:sz val="11"/>
      <x:name val="Carlito"/>
    </x:font>
    <x:font>
      <x:sz val="11"/>
      <x:name val="Arial"/>
    </x:font>
    <x:font>
      <x:sz val="10"/>
      <x:name val="Arial"/>
    </x:font>
    <x:font>
      <x:b/>
      <x:sz val="10"/>
      <x:name val="Arial"/>
    </x:font>
    <x:font>
      <x:b/>
      <x:sz val="14"/>
      <x:name val="Arial"/>
    </x:font>
    <x:font>
      <x:i/>
      <x:sz val="10"/>
      <x:name val="Arial"/>
    </x:font>
    <x:font>
      <x:i/>
      <x:sz val="10"/>
      <x:color rgb="FF008000"/>
      <x:name val="Arial"/>
    </x:font>
    <x:font>
      <x:sz val="11"/>
      <x:color rgb="FF0000FF"/>
      <x:name val="Carlito"/>
    </x:font>
    <x:font>
      <x:sz val="11"/>
      <x:color rgb="FF008000"/>
      <x:name val="Carlito"/>
    </x:font>
    <x:font>
      <x:sz val="11"/>
      <x:color rgb="FF000000"/>
      <x:name val="Carlito"/>
    </x:font>
    <x:font>
      <x:sz val="11"/>
      <x:color rgb="FF000000"/>
      <x:name val="Arial"/>
    </x:font>
    <x:font>
      <x:sz val="11"/>
      <x:color rgb="FF008000"/>
      <x:name val="Arial"/>
    </x:font>
    <x:font>
      <x:sz val="10"/>
      <x:color rgb="FF000000"/>
      <x:name val="Arial"/>
    </x:font>
    <x:font>
      <x:sz val="10"/>
      <x:color rgb="FF008000"/>
      <x:name val="Arial"/>
    </x:font>
    <x:font>
      <x:sz val="11"/>
      <x:color rgb="FF0000FF"/>
      <x:name val="Arial"/>
    </x:font>
    <x:font>
      <x:sz val="10"/>
      <x:color rgb="FF0000FF"/>
      <x:name val="Arial"/>
    </x:font>
    <x:font>
      <x:sz val="10"/>
      <x:name val="Arial"/>
    </x:font>
    <x:font>
      <x:sz val="14"/>
      <x:name val="Arial"/>
    </x:font>
    <x:font>
      <x:b/>
      <x:sz val="10"/>
      <x:color rgb="FF000000"/>
      <x:name val="Arial"/>
    </x:font>
    <x:font>
      <x:b/>
      <x:sz val="13"/>
      <x:name val="Arial"/>
    </x:font>
    <x:font>
      <x:b/>
      <x:sz val="10"/>
      <x:color rgb="FF008000"/>
      <x:name val="Arial"/>
    </x:font>
    <x:font>
      <x:sz val="11"/>
      <x:name val="Carlito"/>
    </x:font>
    <x:font>
      <x:sz val="11"/>
      <x:name val="Arial"/>
    </x:font>
    <x:font>
      <x:sz val="10"/>
      <x:name val="Arial"/>
    </x:font>
    <x:font>
      <x:b/>
      <x:sz val="10"/>
      <x:name val="Arial"/>
    </x:font>
    <x:font>
      <x:b/>
      <x:sz val="14"/>
      <x:name val="Arial"/>
    </x:font>
    <x:font>
      <x:i/>
      <x:sz val="10"/>
      <x:name val="Arial"/>
    </x:font>
    <x:font>
      <x:i/>
      <x:sz val="10"/>
      <x:color rgb="FF008000"/>
      <x:name val="Arial"/>
    </x:font>
    <x:font>
      <x:sz val="11"/>
      <x:color rgb="FF0000FF"/>
      <x:name val="Carlito"/>
    </x:font>
    <x:font>
      <x:sz val="11"/>
      <x:color rgb="FF008000"/>
      <x:name val="Carlito"/>
    </x:font>
    <x:font>
      <x:sz val="11"/>
      <x:color rgb="FF000000"/>
      <x:name val="Carlito"/>
    </x:font>
    <x:font>
      <x:sz val="11"/>
      <x:color rgb="FF000000"/>
      <x:name val="Arial"/>
    </x:font>
    <x:font>
      <x:sz val="11"/>
      <x:color rgb="FF008000"/>
      <x:name val="Arial"/>
    </x:font>
    <x:font>
      <x:sz val="10"/>
      <x:color rgb="FF000000"/>
      <x:name val="Arial"/>
    </x:font>
    <x:font>
      <x:sz val="10"/>
      <x:color rgb="FF008000"/>
      <x:name val="Arial"/>
    </x:font>
    <x:font>
      <x:sz val="11"/>
      <x:color rgb="FF0000FF"/>
      <x:name val="Arial"/>
    </x:font>
    <x:font>
      <x:sz val="10"/>
      <x:color rgb="FF0000FF"/>
      <x:name val="Arial"/>
    </x:font>
    <x:font>
      <x:sz val="10"/>
      <x:name val="Arial"/>
    </x:font>
    <x:font>
      <x:sz val="14"/>
      <x:name val="Arial"/>
    </x:font>
    <x:font>
      <x:b/>
      <x:sz val="10"/>
      <x:color rgb="FF000000"/>
      <x:name val="Arial"/>
    </x:font>
    <x:font>
      <x:b/>
      <x:sz val="13"/>
      <x:name val="Arial"/>
    </x:font>
    <x:font>
      <x:b/>
      <x:sz val="10"/>
      <x:color rgb="FF008000"/>
      <x:name val="Arial"/>
    </x:font>
  </x:fonts>
  <x:fills count="15">
    <x:fill>
      <x:patternFill patternType="none"/>
    </x:fill>
    <x:fill>
      <x:patternFill patternType="gray125"/>
    </x:fill>
    <x:fill>
      <x:patternFill patternType="solid">
        <x:fgColor rgb="FFF0F2F5"/>
      </x:patternFill>
    </x:fill>
    <x:fill>
      <x:patternFill patternType="none"/>
    </x:fill>
    <x:fill>
      <x:patternFill patternType="gray125"/>
    </x:fill>
    <x:fill>
      <x:patternFill patternType="solid">
        <x:fgColor rgb="FFF0F2F5"/>
      </x:patternFill>
    </x:fill>
    <x:fill>
      <x:patternFill patternType="solid">
        <x:fgColor rgb="FFF0F2F5"/>
      </x:patternFill>
    </x:fill>
    <x:fill>
      <x:patternFill patternType="none"/>
    </x:fill>
    <x:fill>
      <x:patternFill patternType="gray125"/>
    </x:fill>
    <x:fill>
      <x:patternFill patternType="solid">
        <x:fgColor rgb="FFF0F2F5"/>
      </x:patternFill>
    </x:fill>
    <x:fill>
      <x:patternFill patternType="none"/>
    </x:fill>
    <x:fill>
      <x:patternFill patternType="gray125"/>
    </x:fill>
    <x:fill>
      <x:patternFill patternType="solid">
        <x:fgColor rgb="FFF0F2F5"/>
      </x:patternFill>
    </x:fill>
    <x:fill>
      <x:patternFill patternType="solid">
        <x:fgColor rgb="FFF0F2F5"/>
      </x:patternFill>
    </x:fill>
    <x:fill>
      <x:patternFill patternType="solid">
        <x:fgColor rgb="FFF0F2F5"/>
      </x:patternFill>
    </x:fill>
  </x:fills>
  <x:borders count="560">
    <x:border>
      <x:left/>
      <x:right/>
      <x:top/>
      <x:bottom/>
      <x:diagonal/>
    </x:border>
    <x:border>
      <x:left/>
      <x:right/>
      <x:top/>
      <x:bottom style="thin">
        <x:color rgb="FFBBC3CD"/>
      </x:bottom>
      <x:diagonal/>
    </x:border>
    <x:border>
      <x:left style="thin">
        <x:color rgb="FFBBC3CD"/>
      </x:left>
      <x:right style="thin">
        <x:color rgb="FFDDE2E7"/>
      </x:right>
      <x:top style="thin">
        <x:color rgb="FFBBC3CD"/>
      </x:top>
      <x:bottom style="thin">
        <x:color rgb="FFBBC3CD"/>
      </x:bottom>
      <x:diagonal/>
    </x:border>
    <x:border>
      <x:left style="thin">
        <x:color rgb="FFDDE2E7"/>
      </x:left>
      <x:right style="thin">
        <x:color rgb="FFBBC3CD"/>
      </x:right>
      <x:top style="thin">
        <x:color rgb="FFBBC3CD"/>
      </x:top>
      <x:bottom style="thin">
        <x:color rgb="FFBBC3CD"/>
      </x:bottom>
      <x:diagonal/>
    </x:border>
    <x:border>
      <x:left style="thin">
        <x:color rgb="FFBBC3CD"/>
      </x:left>
      <x:right style="thin">
        <x:color rgb="FFDDE2E7"/>
      </x:right>
      <x:top/>
      <x:bottom/>
      <x:diagonal/>
    </x:border>
    <x:border>
      <x:left style="thin">
        <x:color rgb="FFDDE2E7"/>
      </x:left>
      <x:right style="thin">
        <x:color rgb="FFBBC3CD"/>
      </x:right>
      <x:top/>
      <x:bottom/>
      <x:diagonal/>
    </x:border>
    <x:border>
      <x:left style="thin">
        <x:color rgb="FFBBC3CD"/>
      </x:left>
      <x:right style="thin">
        <x:color rgb="FFDDE2E7"/>
      </x:right>
      <x:top/>
      <x:bottom style="thin">
        <x:color rgb="FFBBC3CD"/>
      </x:bottom>
      <x:diagonal/>
    </x:border>
    <x:border>
      <x:left style="thin">
        <x:color rgb="FFDDE2E7"/>
      </x:left>
      <x:right style="thin">
        <x:color rgb="FFBBC3CD"/>
      </x:right>
      <x:top/>
      <x:bottom style="thin">
        <x:color rgb="FFBBC3CD"/>
      </x:bottom>
      <x:diagonal/>
    </x:border>
    <x:border>
      <x:left style="thin">
        <x:color rgb="FFBBC3CD"/>
      </x:left>
      <x:right style="thin">
        <x:color rgb="FFDDE2E7"/>
      </x:right>
      <x:top style="thin">
        <x:color rgb="FFBBC3CD"/>
      </x:top>
      <x:bottom/>
      <x:diagonal/>
    </x:border>
    <x:border>
      <x:left style="thin">
        <x:color rgb="FFDDE2E7"/>
      </x:left>
      <x:right style="thin">
        <x:color rgb="FFDDE2E7"/>
      </x:right>
      <x:top style="thin">
        <x:color rgb="FFBBC3CD"/>
      </x:top>
      <x:bottom/>
      <x:diagonal/>
    </x:border>
    <x:border>
      <x:left style="thin">
        <x:color rgb="FFDDE2E7"/>
      </x:left>
      <x:right style="thin">
        <x:color rgb="FFBBC3CD"/>
      </x:right>
      <x:top style="thin">
        <x:color rgb="FFBBC3CD"/>
      </x:top>
      <x:bottom/>
      <x:diagonal/>
    </x:border>
    <x:border>
      <x:left style="thin">
        <x:color rgb="FFDDE2E7"/>
      </x:left>
      <x:right style="thin">
        <x:color rgb="FFDDE2E7"/>
      </x:right>
      <x:top/>
      <x:bottom/>
      <x:diagonal/>
    </x:border>
    <x:border>
      <x:left style="thin">
        <x:color rgb="FFDDE2E7"/>
      </x:left>
      <x:right style="thin">
        <x:color rgb="FFDDE2E7"/>
      </x:right>
      <x:top/>
      <x:bottom style="thin">
        <x:color rgb="FFBBC3CD"/>
      </x:bottom>
      <x:diagonal/>
    </x:border>
    <x:border>
      <x:left style="thin">
        <x:color rgb="FFDDE2E7"/>
      </x:left>
      <x:right style="thin">
        <x:color rgb="FFDDE2E7"/>
      </x:right>
      <x:top style="thin">
        <x:color rgb="FFBBC3CD"/>
      </x:top>
      <x:bottom style="thin">
        <x:color rgb="FFBBC3CD"/>
      </x:bottom>
      <x:diagonal/>
    </x:border>
    <x:border>
      <x:left style="thin">
        <x:color rgb="FFBBC3CD"/>
      </x:left>
      <x:right style="thin">
        <x:color rgb="FFBBC3CD"/>
      </x:right>
      <x:top style="thin">
        <x:color rgb="FFBBC3CD"/>
      </x:top>
      <x:bottom/>
      <x:diagonal/>
    </x:border>
    <x:border>
      <x:left style="thin">
        <x:color rgb="FFBBC3CD"/>
      </x:left>
      <x:right style="thin">
        <x:color rgb="FFBBC3CD"/>
      </x:right>
      <x:top/>
      <x:bottom/>
      <x:diagonal/>
    </x:border>
    <x:border>
      <x:left style="thin">
        <x:color rgb="FFBBC3CD"/>
      </x:left>
      <x:right style="thin">
        <x:color rgb="FFBBC3CD"/>
      </x:right>
      <x:top/>
      <x:bottom style="thin">
        <x:color rgb="FFBBC3CD"/>
      </x:bottom>
      <x:diagonal/>
    </x:border>
    <x:border>
      <x:left style="thin">
        <x:color rgb="FFBBC3CD"/>
      </x:left>
      <x:right style="thin">
        <x:color rgb="FFBBC3CD"/>
      </x:right>
      <x:top style="thin">
        <x:color rgb="FFBBC3CD"/>
      </x:top>
      <x:bottom style="thin">
        <x:color rgb="FFBBC3CD"/>
      </x:bottom>
      <x:diagonal/>
    </x:border>
    <x:border>
      <x:left/>
      <x:right style="thin">
        <x:color rgb="FFE1E5EA"/>
      </x:right>
      <x:top/>
      <x:bottom/>
      <x:diagonal/>
    </x:border>
    <x:border>
      <x:left style="thin">
        <x:color rgb="FFE1E5EA"/>
      </x:left>
      <x:right/>
      <x:top/>
      <x:bottom/>
      <x:diagonal/>
    </x:border>
    <x:border>
      <x:left/>
      <x:right style="thin">
        <x:color rgb="FFE1E5EA"/>
      </x:right>
      <x:top/>
      <x:bottom/>
      <x:diagonal/>
    </x:border>
    <x:border>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BBC3CD"/>
      </x:right>
      <x:top/>
      <x:bottom/>
      <x:diagonal/>
    </x:border>
    <x:border>
      <x:left style="thin">
        <x:color rgb="FFBBC3CD"/>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BBC3CD"/>
      </x:left>
      <x:right style="thin">
        <x:color rgb="FFE1E5EA"/>
      </x:right>
      <x:top/>
      <x:bottom/>
      <x:diagonal/>
    </x:border>
    <x:border>
      <x:left style="thin">
        <x:color rgb="FFE1E5EA"/>
      </x:left>
      <x:right style="thin">
        <x:color rgb="FFBBC3CD"/>
      </x:right>
      <x:top/>
      <x:bottom/>
      <x:diagonal/>
    </x:border>
    <x:border>
      <x:left style="thin">
        <x:color rgb="FFBBC3CD"/>
      </x:left>
      <x:right style="thin">
        <x:color rgb="FFE1E5EA"/>
      </x:right>
      <x:top/>
      <x:bottom/>
      <x:diagonal/>
    </x:border>
    <x:border>
      <x:left style="thin">
        <x:color rgb="FFBBC3CD"/>
      </x:left>
      <x:right style="thin">
        <x:color rgb="FFE1E5EA"/>
      </x:right>
      <x:top/>
      <x:bottom style="thin">
        <x:color rgb="FFBBC3CD"/>
      </x:bottom>
      <x:diagonal/>
    </x:border>
    <x:border>
      <x:left/>
      <x:right style="thin">
        <x:color rgb="FFE1E5EA"/>
      </x:right>
      <x:top/>
      <x:bottom/>
      <x:diagonal/>
    </x:border>
    <x:border>
      <x:left style="thin">
        <x:color rgb="FFE1E5EA"/>
      </x:left>
      <x:right/>
      <x:top/>
      <x:bottom/>
      <x:diagonal/>
    </x:border>
    <x:border>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x:top/>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BBC3CD"/>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x:right/>
      <x:top/>
      <x:bottom/>
      <x:diagonal/>
    </x:border>
    <x:border>
      <x:left/>
      <x:right/>
      <x:top/>
      <x:bottom style="thin">
        <x:color rgb="FFBBC3CD"/>
      </x:bottom>
      <x:diagonal/>
    </x:border>
    <x:border>
      <x:left style="thin">
        <x:color rgb="FFBBC3CD"/>
      </x:left>
      <x:right style="thin">
        <x:color rgb="FFDDE2E7"/>
      </x:right>
      <x:top style="thin">
        <x:color rgb="FFBBC3CD"/>
      </x:top>
      <x:bottom style="thin">
        <x:color rgb="FFBBC3CD"/>
      </x:bottom>
      <x:diagonal/>
    </x:border>
    <x:border>
      <x:left style="thin">
        <x:color rgb="FFDDE2E7"/>
      </x:left>
      <x:right style="thin">
        <x:color rgb="FFBBC3CD"/>
      </x:right>
      <x:top style="thin">
        <x:color rgb="FFBBC3CD"/>
      </x:top>
      <x:bottom style="thin">
        <x:color rgb="FFBBC3CD"/>
      </x:bottom>
      <x:diagonal/>
    </x:border>
    <x:border>
      <x:left style="thin">
        <x:color rgb="FFBBC3CD"/>
      </x:left>
      <x:right style="thin">
        <x:color rgb="FFDDE2E7"/>
      </x:right>
      <x:top/>
      <x:bottom/>
      <x:diagonal/>
    </x:border>
    <x:border>
      <x:left style="thin">
        <x:color rgb="FFDDE2E7"/>
      </x:left>
      <x:right style="thin">
        <x:color rgb="FFBBC3CD"/>
      </x:right>
      <x:top/>
      <x:bottom/>
      <x:diagonal/>
    </x:border>
    <x:border>
      <x:left style="thin">
        <x:color rgb="FFBBC3CD"/>
      </x:left>
      <x:right style="thin">
        <x:color rgb="FFDDE2E7"/>
      </x:right>
      <x:top/>
      <x:bottom style="thin">
        <x:color rgb="FFBBC3CD"/>
      </x:bottom>
      <x:diagonal/>
    </x:border>
    <x:border>
      <x:left style="thin">
        <x:color rgb="FFDDE2E7"/>
      </x:left>
      <x:right style="thin">
        <x:color rgb="FFBBC3CD"/>
      </x:right>
      <x:top/>
      <x:bottom style="thin">
        <x:color rgb="FFBBC3CD"/>
      </x:bottom>
      <x:diagonal/>
    </x:border>
    <x:border>
      <x:left style="thin">
        <x:color rgb="FFBBC3CD"/>
      </x:left>
      <x:right style="thin">
        <x:color rgb="FFDDE2E7"/>
      </x:right>
      <x:top style="thin">
        <x:color rgb="FFBBC3CD"/>
      </x:top>
      <x:bottom/>
      <x:diagonal/>
    </x:border>
    <x:border>
      <x:left style="thin">
        <x:color rgb="FFDDE2E7"/>
      </x:left>
      <x:right style="thin">
        <x:color rgb="FFDDE2E7"/>
      </x:right>
      <x:top style="thin">
        <x:color rgb="FFBBC3CD"/>
      </x:top>
      <x:bottom/>
      <x:diagonal/>
    </x:border>
    <x:border>
      <x:left style="thin">
        <x:color rgb="FFDDE2E7"/>
      </x:left>
      <x:right style="thin">
        <x:color rgb="FFBBC3CD"/>
      </x:right>
      <x:top style="thin">
        <x:color rgb="FFBBC3CD"/>
      </x:top>
      <x:bottom/>
      <x:diagonal/>
    </x:border>
    <x:border>
      <x:left style="thin">
        <x:color rgb="FFDDE2E7"/>
      </x:left>
      <x:right style="thin">
        <x:color rgb="FFDDE2E7"/>
      </x:right>
      <x:top/>
      <x:bottom/>
      <x:diagonal/>
    </x:border>
    <x:border>
      <x:left style="thin">
        <x:color rgb="FFDDE2E7"/>
      </x:left>
      <x:right style="thin">
        <x:color rgb="FFDDE2E7"/>
      </x:right>
      <x:top/>
      <x:bottom style="thin">
        <x:color rgb="FFBBC3CD"/>
      </x:bottom>
      <x:diagonal/>
    </x:border>
    <x:border>
      <x:left style="thin">
        <x:color rgb="FFDDE2E7"/>
      </x:left>
      <x:right style="thin">
        <x:color rgb="FFDDE2E7"/>
      </x:right>
      <x:top style="thin">
        <x:color rgb="FFBBC3CD"/>
      </x:top>
      <x:bottom style="thin">
        <x:color rgb="FFBBC3CD"/>
      </x:bottom>
      <x:diagonal/>
    </x:border>
    <x:border>
      <x:left style="thin">
        <x:color rgb="FFBBC3CD"/>
      </x:left>
      <x:right style="thin">
        <x:color rgb="FFBBC3CD"/>
      </x:right>
      <x:top style="thin">
        <x:color rgb="FFBBC3CD"/>
      </x:top>
      <x:bottom/>
      <x:diagonal/>
    </x:border>
    <x:border>
      <x:left style="thin">
        <x:color rgb="FFBBC3CD"/>
      </x:left>
      <x:right style="thin">
        <x:color rgb="FFBBC3CD"/>
      </x:right>
      <x:top/>
      <x:bottom/>
      <x:diagonal/>
    </x:border>
    <x:border>
      <x:left style="thin">
        <x:color rgb="FFBBC3CD"/>
      </x:left>
      <x:right style="thin">
        <x:color rgb="FFBBC3CD"/>
      </x:right>
      <x:top/>
      <x:bottom style="thin">
        <x:color rgb="FFBBC3CD"/>
      </x:bottom>
      <x:diagonal/>
    </x:border>
    <x:border>
      <x:left style="thin">
        <x:color rgb="FFBBC3CD"/>
      </x:left>
      <x:right style="thin">
        <x:color rgb="FFBBC3CD"/>
      </x:right>
      <x:top style="thin">
        <x:color rgb="FFBBC3CD"/>
      </x:top>
      <x:bottom style="thin">
        <x:color rgb="FFBBC3CD"/>
      </x:bottom>
      <x:diagonal/>
    </x:border>
    <x:border>
      <x:left/>
      <x:right style="thin">
        <x:color rgb="FFE1E5EA"/>
      </x:right>
      <x:top/>
      <x:bottom/>
      <x:diagonal/>
    </x:border>
    <x:border>
      <x:left style="thin">
        <x:color rgb="FFE1E5EA"/>
      </x:left>
      <x:right/>
      <x:top/>
      <x:bottom/>
      <x:diagonal/>
    </x:border>
    <x:border>
      <x:left/>
      <x:right style="thin">
        <x:color rgb="FFE1E5EA"/>
      </x:right>
      <x:top/>
      <x:bottom/>
      <x:diagonal/>
    </x:border>
    <x:border>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BBC3CD"/>
      </x:right>
      <x:top/>
      <x:bottom/>
      <x:diagonal/>
    </x:border>
    <x:border>
      <x:left style="thin">
        <x:color rgb="FFBBC3CD"/>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BBC3CD"/>
      </x:left>
      <x:right style="thin">
        <x:color rgb="FFE1E5EA"/>
      </x:right>
      <x:top/>
      <x:bottom/>
      <x:diagonal/>
    </x:border>
    <x:border>
      <x:left style="thin">
        <x:color rgb="FFE1E5EA"/>
      </x:left>
      <x:right style="thin">
        <x:color rgb="FFBBC3CD"/>
      </x:right>
      <x:top/>
      <x:bottom/>
      <x:diagonal/>
    </x:border>
    <x:border>
      <x:left style="thin">
        <x:color rgb="FFBBC3CD"/>
      </x:left>
      <x:right style="thin">
        <x:color rgb="FFE1E5EA"/>
      </x:right>
      <x:top/>
      <x:bottom/>
      <x:diagonal/>
    </x:border>
    <x:border>
      <x:left style="thin">
        <x:color rgb="FFBBC3CD"/>
      </x:left>
      <x:right style="thin">
        <x:color rgb="FFE1E5EA"/>
      </x:right>
      <x:top/>
      <x:bottom style="thin">
        <x:color rgb="FFBBC3CD"/>
      </x:bottom>
      <x:diagonal/>
    </x:border>
    <x:border>
      <x:left/>
      <x:right style="thin">
        <x:color rgb="FFE1E5EA"/>
      </x:right>
      <x:top/>
      <x:bottom/>
      <x:diagonal/>
    </x:border>
    <x:border>
      <x:left style="thin">
        <x:color rgb="FFE1E5EA"/>
      </x:left>
      <x:right/>
      <x:top/>
      <x:bottom/>
      <x:diagonal/>
    </x:border>
    <x:border>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x:top/>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BBC3CD"/>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x:right/>
      <x:top/>
      <x:bottom/>
      <x:diagonal/>
    </x:border>
    <x:border>
      <x:left/>
      <x:right/>
      <x:top/>
      <x:bottom style="thin">
        <x:color rgb="FFBBC3CD"/>
      </x:bottom>
      <x:diagonal/>
    </x:border>
    <x:border>
      <x:left style="thin">
        <x:color rgb="FFBBC3CD"/>
      </x:left>
      <x:right style="thin">
        <x:color rgb="FFDDE2E7"/>
      </x:right>
      <x:top style="thin">
        <x:color rgb="FFBBC3CD"/>
      </x:top>
      <x:bottom style="thin">
        <x:color rgb="FFBBC3CD"/>
      </x:bottom>
      <x:diagonal/>
    </x:border>
    <x:border>
      <x:left style="thin">
        <x:color rgb="FFDDE2E7"/>
      </x:left>
      <x:right style="thin">
        <x:color rgb="FFBBC3CD"/>
      </x:right>
      <x:top style="thin">
        <x:color rgb="FFBBC3CD"/>
      </x:top>
      <x:bottom style="thin">
        <x:color rgb="FFBBC3CD"/>
      </x:bottom>
      <x:diagonal/>
    </x:border>
    <x:border>
      <x:left style="thin">
        <x:color rgb="FFBBC3CD"/>
      </x:left>
      <x:right style="thin">
        <x:color rgb="FFDDE2E7"/>
      </x:right>
      <x:top/>
      <x:bottom/>
      <x:diagonal/>
    </x:border>
    <x:border>
      <x:left style="thin">
        <x:color rgb="FFDDE2E7"/>
      </x:left>
      <x:right style="thin">
        <x:color rgb="FFBBC3CD"/>
      </x:right>
      <x:top/>
      <x:bottom/>
      <x:diagonal/>
    </x:border>
    <x:border>
      <x:left style="thin">
        <x:color rgb="FFBBC3CD"/>
      </x:left>
      <x:right style="thin">
        <x:color rgb="FFDDE2E7"/>
      </x:right>
      <x:top/>
      <x:bottom style="thin">
        <x:color rgb="FFBBC3CD"/>
      </x:bottom>
      <x:diagonal/>
    </x:border>
    <x:border>
      <x:left style="thin">
        <x:color rgb="FFDDE2E7"/>
      </x:left>
      <x:right style="thin">
        <x:color rgb="FFBBC3CD"/>
      </x:right>
      <x:top/>
      <x:bottom style="thin">
        <x:color rgb="FFBBC3CD"/>
      </x:bottom>
      <x:diagonal/>
    </x:border>
    <x:border>
      <x:left style="thin">
        <x:color rgb="FFBBC3CD"/>
      </x:left>
      <x:right style="thin">
        <x:color rgb="FFDDE2E7"/>
      </x:right>
      <x:top style="thin">
        <x:color rgb="FFBBC3CD"/>
      </x:top>
      <x:bottom/>
      <x:diagonal/>
    </x:border>
    <x:border>
      <x:left style="thin">
        <x:color rgb="FFDDE2E7"/>
      </x:left>
      <x:right style="thin">
        <x:color rgb="FFDDE2E7"/>
      </x:right>
      <x:top style="thin">
        <x:color rgb="FFBBC3CD"/>
      </x:top>
      <x:bottom/>
      <x:diagonal/>
    </x:border>
    <x:border>
      <x:left style="thin">
        <x:color rgb="FFDDE2E7"/>
      </x:left>
      <x:right style="thin">
        <x:color rgb="FFBBC3CD"/>
      </x:right>
      <x:top style="thin">
        <x:color rgb="FFBBC3CD"/>
      </x:top>
      <x:bottom/>
      <x:diagonal/>
    </x:border>
    <x:border>
      <x:left style="thin">
        <x:color rgb="FFDDE2E7"/>
      </x:left>
      <x:right style="thin">
        <x:color rgb="FFDDE2E7"/>
      </x:right>
      <x:top/>
      <x:bottom/>
      <x:diagonal/>
    </x:border>
    <x:border>
      <x:left style="thin">
        <x:color rgb="FFDDE2E7"/>
      </x:left>
      <x:right style="thin">
        <x:color rgb="FFDDE2E7"/>
      </x:right>
      <x:top/>
      <x:bottom style="thin">
        <x:color rgb="FFBBC3CD"/>
      </x:bottom>
      <x:diagonal/>
    </x:border>
    <x:border>
      <x:left style="thin">
        <x:color rgb="FFDDE2E7"/>
      </x:left>
      <x:right style="thin">
        <x:color rgb="FFDDE2E7"/>
      </x:right>
      <x:top style="thin">
        <x:color rgb="FFBBC3CD"/>
      </x:top>
      <x:bottom style="thin">
        <x:color rgb="FFBBC3CD"/>
      </x:bottom>
      <x:diagonal/>
    </x:border>
    <x:border>
      <x:left style="thin">
        <x:color rgb="FFBBC3CD"/>
      </x:left>
      <x:right style="thin">
        <x:color rgb="FFBBC3CD"/>
      </x:right>
      <x:top style="thin">
        <x:color rgb="FFBBC3CD"/>
      </x:top>
      <x:bottom/>
      <x:diagonal/>
    </x:border>
    <x:border>
      <x:left style="thin">
        <x:color rgb="FFBBC3CD"/>
      </x:left>
      <x:right style="thin">
        <x:color rgb="FFBBC3CD"/>
      </x:right>
      <x:top/>
      <x:bottom/>
      <x:diagonal/>
    </x:border>
    <x:border>
      <x:left style="thin">
        <x:color rgb="FFBBC3CD"/>
      </x:left>
      <x:right style="thin">
        <x:color rgb="FFBBC3CD"/>
      </x:right>
      <x:top/>
      <x:bottom style="thin">
        <x:color rgb="FFBBC3CD"/>
      </x:bottom>
      <x:diagonal/>
    </x:border>
    <x:border>
      <x:left style="thin">
        <x:color rgb="FFBBC3CD"/>
      </x:left>
      <x:right style="thin">
        <x:color rgb="FFBBC3CD"/>
      </x:right>
      <x:top style="thin">
        <x:color rgb="FFBBC3CD"/>
      </x:top>
      <x:bottom style="thin">
        <x:color rgb="FFBBC3CD"/>
      </x:bottom>
      <x:diagonal/>
    </x:border>
    <x:border>
      <x:left/>
      <x:right style="thin">
        <x:color rgb="FFE1E5EA"/>
      </x:right>
      <x:top/>
      <x:bottom/>
      <x:diagonal/>
    </x:border>
    <x:border>
      <x:left style="thin">
        <x:color rgb="FFE1E5EA"/>
      </x:left>
      <x:right/>
      <x:top/>
      <x:bottom/>
      <x:diagonal/>
    </x:border>
    <x:border>
      <x:left/>
      <x:right style="thin">
        <x:color rgb="FFE1E5EA"/>
      </x:right>
      <x:top/>
      <x:bottom/>
      <x:diagonal/>
    </x:border>
    <x:border>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BBC3CD"/>
      </x:right>
      <x:top/>
      <x:bottom/>
      <x:diagonal/>
    </x:border>
    <x:border>
      <x:left style="thin">
        <x:color rgb="FFBBC3CD"/>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BBC3CD"/>
      </x:left>
      <x:right style="thin">
        <x:color rgb="FFE1E5EA"/>
      </x:right>
      <x:top/>
      <x:bottom/>
      <x:diagonal/>
    </x:border>
    <x:border>
      <x:left style="thin">
        <x:color rgb="FFE1E5EA"/>
      </x:left>
      <x:right style="thin">
        <x:color rgb="FFBBC3CD"/>
      </x:right>
      <x:top/>
      <x:bottom/>
      <x:diagonal/>
    </x:border>
    <x:border>
      <x:left style="thin">
        <x:color rgb="FFBBC3CD"/>
      </x:left>
      <x:right style="thin">
        <x:color rgb="FFE1E5EA"/>
      </x:right>
      <x:top/>
      <x:bottom/>
      <x:diagonal/>
    </x:border>
    <x:border>
      <x:left style="thin">
        <x:color rgb="FFBBC3CD"/>
      </x:left>
      <x:right style="thin">
        <x:color rgb="FFE1E5EA"/>
      </x:right>
      <x:top/>
      <x:bottom style="thin">
        <x:color rgb="FFBBC3CD"/>
      </x:bottom>
      <x:diagonal/>
    </x:border>
    <x:border>
      <x:left/>
      <x:right style="thin">
        <x:color rgb="FFE1E5EA"/>
      </x:right>
      <x:top/>
      <x:bottom/>
      <x:diagonal/>
    </x:border>
    <x:border>
      <x:left style="thin">
        <x:color rgb="FFE1E5EA"/>
      </x:left>
      <x:right/>
      <x:top/>
      <x:bottom/>
      <x:diagonal/>
    </x:border>
    <x:border>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x:top/>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BBC3CD"/>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x:right/>
      <x:top/>
      <x:bottom/>
      <x:diagonal/>
    </x:border>
    <x:border>
      <x:left/>
      <x:right/>
      <x:top/>
      <x:bottom style="thin">
        <x:color rgb="FFBBC3CD"/>
      </x:bottom>
      <x:diagonal/>
    </x:border>
    <x:border>
      <x:left style="thin">
        <x:color rgb="FFBBC3CD"/>
      </x:left>
      <x:right style="thin">
        <x:color rgb="FFDDE2E7"/>
      </x:right>
      <x:top style="thin">
        <x:color rgb="FFBBC3CD"/>
      </x:top>
      <x:bottom style="thin">
        <x:color rgb="FFBBC3CD"/>
      </x:bottom>
      <x:diagonal/>
    </x:border>
    <x:border>
      <x:left style="thin">
        <x:color rgb="FFDDE2E7"/>
      </x:left>
      <x:right style="thin">
        <x:color rgb="FFBBC3CD"/>
      </x:right>
      <x:top style="thin">
        <x:color rgb="FFBBC3CD"/>
      </x:top>
      <x:bottom style="thin">
        <x:color rgb="FFBBC3CD"/>
      </x:bottom>
      <x:diagonal/>
    </x:border>
    <x:border>
      <x:left style="thin">
        <x:color rgb="FFBBC3CD"/>
      </x:left>
      <x:right style="thin">
        <x:color rgb="FFDDE2E7"/>
      </x:right>
      <x:top/>
      <x:bottom/>
      <x:diagonal/>
    </x:border>
    <x:border>
      <x:left style="thin">
        <x:color rgb="FFDDE2E7"/>
      </x:left>
      <x:right style="thin">
        <x:color rgb="FFBBC3CD"/>
      </x:right>
      <x:top/>
      <x:bottom/>
      <x:diagonal/>
    </x:border>
    <x:border>
      <x:left style="thin">
        <x:color rgb="FFBBC3CD"/>
      </x:left>
      <x:right style="thin">
        <x:color rgb="FFDDE2E7"/>
      </x:right>
      <x:top/>
      <x:bottom style="thin">
        <x:color rgb="FFBBC3CD"/>
      </x:bottom>
      <x:diagonal/>
    </x:border>
    <x:border>
      <x:left style="thin">
        <x:color rgb="FFDDE2E7"/>
      </x:left>
      <x:right style="thin">
        <x:color rgb="FFBBC3CD"/>
      </x:right>
      <x:top/>
      <x:bottom style="thin">
        <x:color rgb="FFBBC3CD"/>
      </x:bottom>
      <x:diagonal/>
    </x:border>
    <x:border>
      <x:left style="thin">
        <x:color rgb="FFBBC3CD"/>
      </x:left>
      <x:right style="thin">
        <x:color rgb="FFDDE2E7"/>
      </x:right>
      <x:top style="thin">
        <x:color rgb="FFBBC3CD"/>
      </x:top>
      <x:bottom/>
      <x:diagonal/>
    </x:border>
    <x:border>
      <x:left style="thin">
        <x:color rgb="FFDDE2E7"/>
      </x:left>
      <x:right style="thin">
        <x:color rgb="FFDDE2E7"/>
      </x:right>
      <x:top style="thin">
        <x:color rgb="FFBBC3CD"/>
      </x:top>
      <x:bottom/>
      <x:diagonal/>
    </x:border>
    <x:border>
      <x:left style="thin">
        <x:color rgb="FFDDE2E7"/>
      </x:left>
      <x:right style="thin">
        <x:color rgb="FFBBC3CD"/>
      </x:right>
      <x:top style="thin">
        <x:color rgb="FFBBC3CD"/>
      </x:top>
      <x:bottom/>
      <x:diagonal/>
    </x:border>
    <x:border>
      <x:left style="thin">
        <x:color rgb="FFDDE2E7"/>
      </x:left>
      <x:right style="thin">
        <x:color rgb="FFDDE2E7"/>
      </x:right>
      <x:top/>
      <x:bottom/>
      <x:diagonal/>
    </x:border>
    <x:border>
      <x:left style="thin">
        <x:color rgb="FFDDE2E7"/>
      </x:left>
      <x:right style="thin">
        <x:color rgb="FFDDE2E7"/>
      </x:right>
      <x:top/>
      <x:bottom style="thin">
        <x:color rgb="FFBBC3CD"/>
      </x:bottom>
      <x:diagonal/>
    </x:border>
    <x:border>
      <x:left style="thin">
        <x:color rgb="FFDDE2E7"/>
      </x:left>
      <x:right style="thin">
        <x:color rgb="FFDDE2E7"/>
      </x:right>
      <x:top style="thin">
        <x:color rgb="FFBBC3CD"/>
      </x:top>
      <x:bottom style="thin">
        <x:color rgb="FFBBC3CD"/>
      </x:bottom>
      <x:diagonal/>
    </x:border>
    <x:border>
      <x:left style="thin">
        <x:color rgb="FFBBC3CD"/>
      </x:left>
      <x:right style="thin">
        <x:color rgb="FFBBC3CD"/>
      </x:right>
      <x:top style="thin">
        <x:color rgb="FFBBC3CD"/>
      </x:top>
      <x:bottom/>
      <x:diagonal/>
    </x:border>
    <x:border>
      <x:left style="thin">
        <x:color rgb="FFBBC3CD"/>
      </x:left>
      <x:right style="thin">
        <x:color rgb="FFBBC3CD"/>
      </x:right>
      <x:top/>
      <x:bottom/>
      <x:diagonal/>
    </x:border>
    <x:border>
      <x:left style="thin">
        <x:color rgb="FFBBC3CD"/>
      </x:left>
      <x:right style="thin">
        <x:color rgb="FFBBC3CD"/>
      </x:right>
      <x:top/>
      <x:bottom style="thin">
        <x:color rgb="FFBBC3CD"/>
      </x:bottom>
      <x:diagonal/>
    </x:border>
    <x:border>
      <x:left style="thin">
        <x:color rgb="FFBBC3CD"/>
      </x:left>
      <x:right style="thin">
        <x:color rgb="FFBBC3CD"/>
      </x:right>
      <x:top style="thin">
        <x:color rgb="FFBBC3CD"/>
      </x:top>
      <x:bottom style="thin">
        <x:color rgb="FFBBC3CD"/>
      </x:bottom>
      <x:diagonal/>
    </x:border>
    <x:border>
      <x:left/>
      <x:right style="thin">
        <x:color rgb="FFE1E5EA"/>
      </x:right>
      <x:top/>
      <x:bottom/>
      <x:diagonal/>
    </x:border>
    <x:border>
      <x:left style="thin">
        <x:color rgb="FFE1E5EA"/>
      </x:left>
      <x:right/>
      <x:top/>
      <x:bottom/>
      <x:diagonal/>
    </x:border>
    <x:border>
      <x:left/>
      <x:right style="thin">
        <x:color rgb="FFE1E5EA"/>
      </x:right>
      <x:top/>
      <x:bottom/>
      <x:diagonal/>
    </x:border>
    <x:border>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BBC3CD"/>
      </x:right>
      <x:top/>
      <x:bottom/>
      <x:diagonal/>
    </x:border>
    <x:border>
      <x:left style="thin">
        <x:color rgb="FFBBC3CD"/>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BBC3CD"/>
      </x:left>
      <x:right style="thin">
        <x:color rgb="FFE1E5EA"/>
      </x:right>
      <x:top/>
      <x:bottom/>
      <x:diagonal/>
    </x:border>
    <x:border>
      <x:left style="thin">
        <x:color rgb="FFE1E5EA"/>
      </x:left>
      <x:right style="thin">
        <x:color rgb="FFBBC3CD"/>
      </x:right>
      <x:top/>
      <x:bottom/>
      <x:diagonal/>
    </x:border>
    <x:border>
      <x:left style="thin">
        <x:color rgb="FFBBC3CD"/>
      </x:left>
      <x:right style="thin">
        <x:color rgb="FFE1E5EA"/>
      </x:right>
      <x:top/>
      <x:bottom/>
      <x:diagonal/>
    </x:border>
    <x:border>
      <x:left style="thin">
        <x:color rgb="FFBBC3CD"/>
      </x:left>
      <x:right style="thin">
        <x:color rgb="FFE1E5EA"/>
      </x:right>
      <x:top/>
      <x:bottom style="thin">
        <x:color rgb="FFBBC3CD"/>
      </x:bottom>
      <x:diagonal/>
    </x:border>
    <x:border>
      <x:left/>
      <x:right style="thin">
        <x:color rgb="FFE1E5EA"/>
      </x:right>
      <x:top/>
      <x:bottom/>
      <x:diagonal/>
    </x:border>
    <x:border>
      <x:left style="thin">
        <x:color rgb="FFE1E5EA"/>
      </x:left>
      <x:right/>
      <x:top/>
      <x:bottom/>
      <x:diagonal/>
    </x:border>
    <x:border>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x:top/>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BBC3CD"/>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s>
  <x:cellStyleXfs count="4">
    <x:xf numFmtId="0" fontId="0" fillId="0" borderId="0"/>
    <x:xf numFmtId="0" fontId="21" fillId="3" borderId="140"/>
    <x:xf numFmtId="0" fontId="42" fillId="7" borderId="280"/>
    <x:xf numFmtId="0" fontId="63" fillId="10" borderId="420"/>
  </x:cellStyleXfs>
  <x:cellXfs count="1469">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0"/>
    </x:xf>
    <x:xf numFmtId="0" fontId="2" fillId="0" borderId="0" xfId="0" applyNumberFormat="1" applyFont="1" applyFill="1" applyBorder="1" applyAlignment="1">
      <x:alignment vertical="top" wrapText="0"/>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top" wrapText="1"/>
    </x:xf>
    <x:xf numFmtId="0" fontId="3" fillId="2" borderId="2" xfId="0" applyNumberFormat="1" applyFont="1" applyFill="1" applyBorder="1" applyAlignment="1">
      <x:alignment horizontal="center" vertical="top" wrapText="1"/>
    </x:xf>
    <x:xf numFmtId="0" fontId="3" fillId="2" borderId="3" xfId="0" applyNumberFormat="1" applyFont="1" applyFill="1" applyBorder="1" applyAlignment="1">
      <x:alignment horizontal="center" vertical="top" wrapText="1"/>
    </x:xf>
    <x:xf numFmtId="0" fontId="3"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0" fontId="5" fillId="0" borderId="4" xfId="0" applyNumberFormat="1" applyFont="1" applyFill="1" applyBorder="1" applyAlignment="1">
      <x:alignment vertical="top" wrapText="1"/>
    </x:xf>
    <x:xf numFmtId="200" fontId="6" fillId="0" borderId="5"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7" fillId="0" borderId="0" xfId="0" applyNumberFormat="1" applyFont="1" applyFill="1" applyBorder="1"/>
    <x:xf numFmtId="201" fontId="7" fillId="0" borderId="0" xfId="0" applyNumberFormat="1" applyFont="1" applyFill="1" applyBorder="1"/>
    <x:xf numFmtId="202" fontId="0" fillId="0" borderId="0" xfId="0" applyNumberFormat="1" applyFont="1" applyFill="1" applyBorder="1"/>
    <x:xf numFmtId="201" fontId="0" fillId="0" borderId="0" xfId="0" applyNumberFormat="1" applyFont="1" applyFill="1" applyBorder="1"/>
    <x:xf numFmtId="200" fontId="0" fillId="0" borderId="0" xfId="0" applyNumberFormat="1" applyFont="1" applyFill="1" applyBorder="1"/>
    <x:xf numFmtId="203" fontId="0" fillId="0" borderId="0" xfId="0" applyNumberFormat="1" applyFont="1" applyFill="1" applyBorder="1"/>
    <x:xf numFmtId="0" fontId="8" fillId="0" borderId="0" xfId="0" applyNumberFormat="1" applyFont="1" applyFill="1" applyBorder="1"/>
    <x:xf numFmtId="0" fontId="9" fillId="0" borderId="0" xfId="0" applyNumberFormat="1" applyFont="1" applyFill="1" applyBorder="1"/>
    <x:xf numFmtId="204" fontId="8" fillId="0" borderId="0" xfId="0" applyNumberFormat="1" applyFont="1" applyFill="1" applyBorder="1"/>
    <x:xf numFmtId="200" fontId="9" fillId="0" borderId="0" xfId="0" applyNumberFormat="1" applyFont="1" applyFill="1" applyBorder="1"/>
    <x:xf numFmtId="201" fontId="1" fillId="0" borderId="0" xfId="0" applyNumberFormat="1" applyFont="1" applyFill="1" applyBorder="1"/>
    <x:xf numFmtId="202" fontId="1" fillId="0" borderId="0" xfId="0" applyNumberFormat="1" applyFont="1" applyFill="1" applyBorder="1"/>
    <x:xf numFmtId="200" fontId="1" fillId="0" borderId="0" xfId="0" applyNumberFormat="1" applyFont="1" applyFill="1" applyBorder="1"/>
    <x:xf numFmtId="203" fontId="1" fillId="0" borderId="0" xfId="0" applyNumberFormat="1" applyFont="1" applyFill="1" applyBorder="1"/>
    <x:xf numFmtId="200" fontId="10" fillId="0" borderId="0" xfId="0" applyNumberFormat="1" applyFont="1" applyFill="1" applyBorder="1"/>
    <x:xf numFmtId="0" fontId="11" fillId="0" borderId="0" xfId="0" applyNumberFormat="1" applyFont="1" applyFill="1" applyBorder="1"/>
    <x:xf numFmtId="201" fontId="2" fillId="0" borderId="0" xfId="0" applyNumberFormat="1" applyFont="1" applyFill="1" applyBorder="1"/>
    <x:xf numFmtId="202" fontId="2" fillId="0" borderId="0" xfId="0" applyNumberFormat="1" applyFont="1" applyFill="1" applyBorder="1"/>
    <x:xf numFmtId="200" fontId="2" fillId="0" borderId="0" xfId="0" applyNumberFormat="1" applyFont="1" applyFill="1" applyBorder="1"/>
    <x:xf numFmtId="203" fontId="2" fillId="0" borderId="0" xfId="0" applyNumberFormat="1" applyFont="1" applyFill="1" applyBorder="1"/>
    <x:xf numFmtId="200" fontId="12" fillId="0" borderId="0" xfId="0" applyNumberFormat="1" applyFont="1" applyFill="1" applyBorder="1"/>
    <x:xf numFmtId="0" fontId="13" fillId="0" borderId="0" xfId="0" applyNumberFormat="1" applyFont="1" applyFill="1" applyBorder="1"/>
    <x:xf numFmtId="201" fontId="2" fillId="0" borderId="0" xfId="0" applyNumberFormat="1" applyFont="1" applyFill="1" applyBorder="1" applyAlignment="1">
      <x:alignment vertical="top"/>
    </x:xf>
    <x:xf numFmtId="202" fontId="2" fillId="0" borderId="0" xfId="0" applyNumberFormat="1" applyFont="1" applyFill="1" applyBorder="1" applyAlignment="1">
      <x:alignment vertical="top"/>
    </x:xf>
    <x:xf numFmtId="200" fontId="2" fillId="0" borderId="0" xfId="0" applyNumberFormat="1" applyFont="1" applyFill="1" applyBorder="1" applyAlignment="1">
      <x:alignment vertical="top"/>
    </x:xf>
    <x:xf numFmtId="203" fontId="2" fillId="0" borderId="0" xfId="0" applyNumberFormat="1" applyFont="1" applyFill="1" applyBorder="1" applyAlignment="1">
      <x:alignment vertical="top"/>
    </x:xf>
    <x:xf numFmtId="200" fontId="12" fillId="0" borderId="0" xfId="0" applyNumberFormat="1" applyFont="1" applyFill="1" applyBorder="1" applyAlignment="1">
      <x:alignment vertical="top"/>
    </x:xf>
    <x:xf numFmtId="0" fontId="13" fillId="0" borderId="0" xfId="0" applyNumberFormat="1" applyFont="1" applyFill="1" applyBorder="1" applyAlignment="1">
      <x:alignment vertical="top"/>
    </x:xf>
    <x:xf numFmtId="201" fontId="2" fillId="0" borderId="0" xfId="0" applyNumberFormat="1" applyFont="1" applyFill="1" applyBorder="1" applyAlignment="1">
      <x:alignment vertical="top" wrapText="1"/>
    </x:xf>
    <x:xf numFmtId="202" fontId="2" fillId="0" borderId="0" xfId="0" applyNumberFormat="1" applyFont="1" applyFill="1" applyBorder="1" applyAlignment="1">
      <x:alignment vertical="top" wrapText="1"/>
    </x:xf>
    <x:xf numFmtId="203" fontId="2" fillId="0" borderId="0" xfId="0" applyNumberFormat="1" applyFont="1" applyFill="1" applyBorder="1" applyAlignment="1">
      <x:alignment vertical="top" wrapText="1"/>
    </x:xf>
    <x:xf numFmtId="200" fontId="12" fillId="0" borderId="0" xfId="0" applyNumberFormat="1" applyFont="1" applyFill="1" applyBorder="1" applyAlignment="1">
      <x:alignment vertical="top" wrapText="1"/>
    </x:xf>
    <x:xf numFmtId="0" fontId="13" fillId="0" borderId="0" xfId="0" applyNumberFormat="1" applyFont="1" applyFill="1" applyBorder="1" applyAlignment="1">
      <x:alignment vertical="top" wrapText="1"/>
    </x:xf>
    <x:xf numFmtId="0" fontId="10" fillId="0" borderId="0" xfId="0" applyNumberFormat="1" applyFont="1" applyFill="1" applyBorder="1"/>
    <x:xf numFmtId="204" fontId="11" fillId="0" borderId="0" xfId="0" applyNumberFormat="1" applyFont="1" applyFill="1" applyBorder="1"/>
    <x:xf numFmtId="0" fontId="12" fillId="0" borderId="0" xfId="0" applyNumberFormat="1" applyFont="1" applyFill="1" applyBorder="1"/>
    <x:xf numFmtId="204" fontId="13" fillId="0" borderId="0" xfId="0" applyNumberFormat="1" applyFont="1" applyFill="1" applyBorder="1"/>
    <x:xf numFmtId="0" fontId="12" fillId="0" borderId="0" xfId="0" applyNumberFormat="1" applyFont="1" applyFill="1" applyBorder="1" applyAlignment="1">
      <x:alignment vertical="top"/>
    </x:xf>
    <x:xf numFmtId="204" fontId="13" fillId="0" borderId="0" xfId="0" applyNumberFormat="1" applyFont="1" applyFill="1" applyBorder="1" applyAlignment="1">
      <x:alignment vertical="top"/>
    </x:xf>
    <x:xf numFmtId="0" fontId="12" fillId="0" borderId="0" xfId="0" applyNumberFormat="1" applyFont="1" applyFill="1" applyBorder="1" applyAlignment="1">
      <x:alignment vertical="top" wrapText="1"/>
    </x:xf>
    <x:xf numFmtId="204" fontId="13" fillId="0" borderId="0" xfId="0" applyNumberFormat="1" applyFont="1" applyFill="1" applyBorder="1" applyAlignment="1">
      <x:alignment vertical="top" wrapText="1"/>
    </x:xf>
    <x:xf numFmtId="201" fontId="14" fillId="0" borderId="0" xfId="0" applyNumberFormat="1" applyFont="1" applyFill="1" applyBorder="1"/>
    <x:xf numFmtId="201" fontId="15" fillId="0" borderId="0" xfId="0" applyNumberFormat="1" applyFont="1" applyFill="1" applyBorder="1"/>
    <x:xf numFmtId="201" fontId="15" fillId="0" borderId="0" xfId="0" applyNumberFormat="1" applyFont="1" applyFill="1" applyBorder="1" applyAlignment="1">
      <x:alignment vertical="top"/>
    </x:xf>
    <x:xf numFmtId="201" fontId="15" fillId="0" borderId="0"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201" fontId="2" fillId="0" borderId="11" xfId="0" applyNumberFormat="1" applyFont="1" applyFill="1" applyBorder="1" applyAlignment="1">
      <x:alignment vertical="top" wrapText="1"/>
    </x:xf>
    <x:xf numFmtId="202" fontId="2" fillId="0" borderId="11" xfId="0" applyNumberFormat="1" applyFont="1" applyFill="1" applyBorder="1" applyAlignment="1">
      <x:alignment vertical="top" wrapText="1"/>
    </x:xf>
    <x:xf numFmtId="200" fontId="2" fillId="0" borderId="11" xfId="0" applyNumberFormat="1" applyFont="1" applyFill="1" applyBorder="1" applyAlignment="1">
      <x:alignment vertical="top" wrapText="1"/>
    </x:xf>
    <x:xf numFmtId="203" fontId="2" fillId="0" borderId="11" xfId="0" applyNumberFormat="1" applyFont="1" applyFill="1" applyBorder="1" applyAlignment="1">
      <x:alignment vertical="top" wrapText="1"/>
    </x:xf>
    <x:xf numFmtId="200" fontId="12" fillId="0" borderId="12" xfId="0" applyNumberFormat="1" applyFont="1" applyFill="1" applyBorder="1" applyAlignment="1">
      <x:alignment vertical="top" wrapText="1"/>
    </x:xf>
    <x:xf numFmtId="202" fontId="2" fillId="0" borderId="12" xfId="0" applyNumberFormat="1" applyFont="1" applyFill="1" applyBorder="1" applyAlignment="1">
      <x:alignment vertical="top" wrapText="1"/>
    </x:xf>
    <x:xf numFmtId="0" fontId="13" fillId="0" borderId="4" xfId="0" applyNumberFormat="1" applyFont="1" applyFill="1" applyBorder="1" applyAlignment="1">
      <x:alignment vertical="top" wrapText="1"/>
    </x:xf>
    <x:xf numFmtId="0" fontId="13" fillId="0" borderId="11" xfId="0" applyNumberFormat="1" applyFont="1" applyFill="1" applyBorder="1" applyAlignment="1">
      <x:alignment vertical="top" wrapText="1"/>
    </x:xf>
    <x:xf numFmtId="0" fontId="13" fillId="0" borderId="5" xfId="0" applyNumberFormat="1" applyFont="1" applyFill="1" applyBorder="1" applyAlignment="1">
      <x:alignment vertical="top" wrapText="1"/>
    </x:xf>
    <x:xf numFmtId="0" fontId="13" fillId="0" borderId="6" xfId="0" applyNumberFormat="1" applyFont="1" applyFill="1" applyBorder="1" applyAlignment="1">
      <x:alignment vertical="top" wrapText="1"/>
    </x:xf>
    <x:xf numFmtId="0" fontId="13" fillId="0" borderId="12" xfId="0" applyNumberFormat="1" applyFont="1" applyFill="1" applyBorder="1" applyAlignment="1">
      <x:alignment vertical="top" wrapText="1"/>
    </x:xf>
    <x:xf numFmtId="0" fontId="13" fillId="0" borderId="7" xfId="0" applyNumberFormat="1" applyFont="1" applyFill="1" applyBorder="1" applyAlignment="1">
      <x:alignment vertical="top" wrapText="1"/>
    </x:xf>
    <x:xf numFmtId="0" fontId="2" fillId="2" borderId="8" xfId="0" applyNumberFormat="1" applyFont="1" applyFill="1" applyBorder="1" applyAlignment="1">
      <x:alignment vertical="top" wrapText="1"/>
    </x:xf>
    <x:xf numFmtId="0" fontId="2" fillId="2" borderId="9" xfId="0" applyNumberFormat="1" applyFont="1" applyFill="1" applyBorder="1" applyAlignment="1">
      <x:alignment vertical="top" wrapText="1"/>
    </x:xf>
    <x:xf numFmtId="0" fontId="2" fillId="2" borderId="10" xfId="0" applyNumberFormat="1" applyFont="1" applyFill="1" applyBorder="1" applyAlignment="1">
      <x:alignment vertical="top" wrapText="1"/>
    </x:xf>
    <x:xf numFmtId="0" fontId="3" fillId="2" borderId="8" xfId="0" applyNumberFormat="1" applyFont="1" applyFill="1" applyBorder="1" applyAlignment="1">
      <x:alignment vertical="top" wrapText="1"/>
    </x:xf>
    <x:xf numFmtId="0" fontId="3" fillId="2" borderId="9" xfId="0" applyNumberFormat="1" applyFont="1" applyFill="1" applyBorder="1" applyAlignment="1">
      <x:alignment vertical="top" wrapText="1"/>
    </x:xf>
    <x:xf numFmtId="0" fontId="3" fillId="2" borderId="10" xfId="0" applyNumberFormat="1" applyFont="1" applyFill="1" applyBorder="1" applyAlignment="1">
      <x:alignment vertical="top" wrapText="1"/>
    </x:xf>
    <x:xf numFmtId="0" fontId="3" fillId="2" borderId="8" xfId="0" applyNumberFormat="1" applyFont="1" applyFill="1" applyBorder="1" applyAlignment="1">
      <x:alignment horizontal="center" vertical="top" wrapText="1"/>
    </x:xf>
    <x:xf numFmtId="0" fontId="3" fillId="2" borderId="9" xfId="0" applyNumberFormat="1" applyFont="1" applyFill="1" applyBorder="1" applyAlignment="1">
      <x:alignment horizontal="center" vertical="top" wrapText="1"/>
    </x:xf>
    <x:xf numFmtId="0" fontId="3" fillId="2" borderId="10" xfId="0" applyNumberFormat="1" applyFont="1" applyFill="1" applyBorder="1" applyAlignment="1">
      <x:alignment horizontal="center" vertical="top" wrapText="1"/>
    </x:xf>
    <x:xf numFmtId="0" fontId="3" fillId="2" borderId="13" xfId="0" applyNumberFormat="1" applyFont="1" applyFill="1" applyBorder="1" applyAlignment="1">
      <x:alignment horizontal="center" vertical="top" wrapText="1"/>
    </x:xf>
    <x:xf numFmtId="201" fontId="3" fillId="0" borderId="11" xfId="0" applyNumberFormat="1" applyFont="1" applyFill="1" applyBorder="1" applyAlignment="1">
      <x:alignment vertical="top" wrapText="1"/>
    </x:xf>
    <x:xf numFmtId="202" fontId="3" fillId="0" borderId="11"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8" xfId="0" applyNumberFormat="1" applyFont="1" applyFill="1" applyBorder="1" applyAlignment="1">
      <x:alignment vertical="top" wrapText="1"/>
    </x:xf>
    <x:xf numFmtId="201" fontId="3" fillId="0" borderId="9" xfId="0" applyNumberFormat="1" applyFont="1" applyFill="1" applyBorder="1" applyAlignment="1">
      <x:alignment vertical="top" wrapText="1"/>
    </x:xf>
    <x:xf numFmtId="202" fontId="3" fillId="0" borderId="9"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16" fillId="0" borderId="5" xfId="0" applyNumberFormat="1" applyFont="1" applyFill="1" applyBorder="1" applyAlignment="1">
      <x:alignment vertical="top" wrapText="1"/>
    </x:xf>
    <x:xf numFmtId="0" fontId="16" fillId="0" borderId="10" xfId="0" applyNumberFormat="1" applyFont="1" applyFill="1" applyBorder="1" applyAlignment="1">
      <x:alignment vertical="top" wrapText="1"/>
    </x:xf>
    <x:xf numFmtId="201" fontId="15" fillId="0" borderId="11"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201" fontId="15" fillId="0" borderId="12"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2" fillId="0" borderId="11" xfId="0" applyNumberFormat="1" applyFont="1" applyFill="1" applyBorder="1" applyAlignment="1">
      <x:alignment vertical="top" wrapText="1"/>
    </x:xf>
    <x:xf numFmtId="0" fontId="12" fillId="0" borderId="12" xfId="0" applyNumberFormat="1" applyFont="1" applyFill="1" applyBorder="1" applyAlignment="1">
      <x:alignment vertical="top" wrapText="1"/>
    </x:xf>
    <x:xf numFmtId="0" fontId="13" fillId="0" borderId="9" xfId="0" applyNumberFormat="1" applyFont="1" applyFill="1" applyBorder="1" applyAlignment="1">
      <x:alignment vertical="top" wrapText="1"/>
    </x:xf>
    <x:xf numFmtId="0" fontId="18" fillId="0" borderId="11"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18" fillId="0" borderId="9"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18" fillId="0" borderId="12"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18" fillId="0" borderId="13" xfId="0" applyNumberFormat="1" applyFont="1" applyFill="1" applyBorder="1" applyAlignment="1">
      <x:alignment vertical="top" wrapText="1"/>
    </x:xf>
    <x:xf numFmtId="0" fontId="3" fillId="0" borderId="13" xfId="0" applyNumberFormat="1" applyFont="1" applyFill="1" applyBorder="1" applyAlignment="1">
      <x:alignment vertical="top" wrapText="1"/>
    </x:xf>
    <x:xf numFmtId="0" fontId="3" fillId="0" borderId="3" xfId="0" applyNumberFormat="1" applyFont="1" applyFill="1" applyBorder="1" applyAlignment="1">
      <x:alignment vertical="top" wrapText="1"/>
    </x:xf>
    <x:xf numFmtId="201" fontId="13" fillId="0" borderId="11" xfId="0" applyNumberFormat="1" applyFont="1" applyFill="1" applyBorder="1" applyAlignment="1">
      <x:alignment vertical="top" wrapText="1"/>
    </x:xf>
    <x:xf numFmtId="201" fontId="18" fillId="0" borderId="9" xfId="0" applyNumberFormat="1" applyFont="1" applyFill="1" applyBorder="1" applyAlignment="1">
      <x:alignment vertical="top" wrapText="1"/>
    </x:xf>
    <x:xf numFmtId="201" fontId="18" fillId="0" borderId="13" xfId="0" applyNumberFormat="1" applyFont="1" applyFill="1" applyBorder="1" applyAlignment="1">
      <x:alignment vertical="top" wrapText="1"/>
    </x:xf>
    <x:xf numFmtId="201" fontId="3" fillId="2" borderId="13" xfId="0" applyNumberFormat="1" applyFont="1" applyFill="1" applyBorder="1" applyAlignment="1">
      <x:alignment horizontal="center" vertical="top" wrapText="1"/>
    </x:xf>
    <x:xf numFmtId="201" fontId="13" fillId="0" borderId="12" xfId="0" applyNumberFormat="1" applyFont="1" applyFill="1" applyBorder="1" applyAlignment="1">
      <x:alignment vertical="top" wrapText="1"/>
    </x:xf>
    <x:xf numFmtId="201" fontId="13" fillId="0" borderId="9" xfId="0" applyNumberFormat="1" applyFont="1" applyFill="1" applyBorder="1" applyAlignment="1">
      <x:alignment vertical="top" wrapText="1"/>
    </x:xf>
    <x:xf numFmtId="201" fontId="2" fillId="0" borderId="12" xfId="0" applyNumberFormat="1" applyFont="1" applyFill="1" applyBorder="1" applyAlignment="1">
      <x:alignment vertical="top" wrapText="1"/>
    </x:xf>
    <x:xf numFmtId="0" fontId="15" fillId="0" borderId="11" xfId="0" applyNumberFormat="1" applyFont="1" applyFill="1" applyBorder="1" applyAlignment="1">
      <x:alignment vertical="top" wrapText="1"/>
    </x:xf>
    <x:xf numFmtId="0" fontId="15" fillId="0" borderId="12" xfId="0" applyNumberFormat="1" applyFont="1" applyFill="1" applyBorder="1" applyAlignment="1">
      <x:alignment vertical="top" wrapText="1"/>
    </x:xf>
    <x:xf numFmtId="204" fontId="13" fillId="0" borderId="5" xfId="0" applyNumberFormat="1" applyFont="1" applyFill="1" applyBorder="1" applyAlignment="1">
      <x:alignment vertical="top" wrapText="1"/>
    </x:xf>
    <x:xf numFmtId="202" fontId="13" fillId="0" borderId="11" xfId="0" applyNumberFormat="1" applyFont="1" applyFill="1" applyBorder="1" applyAlignment="1">
      <x:alignment vertical="top" wrapText="1"/>
    </x:xf>
    <x:xf numFmtId="204" fontId="2" fillId="0" borderId="0" xfId="0" applyNumberFormat="1" applyFont="1" applyFill="1" applyBorder="1" applyAlignment="1">
      <x:alignment vertical="top" wrapText="1"/>
    </x:xf>
    <x:xf numFmtId="204" fontId="15" fillId="0" borderId="0" xfId="0" applyNumberFormat="1" applyFont="1" applyFill="1" applyBorder="1" applyAlignment="1">
      <x:alignment vertical="top" wrapText="1"/>
    </x:xf>
    <x:xf numFmtId="204" fontId="15" fillId="0" borderId="4" xfId="0" applyNumberFormat="1" applyFont="1" applyFill="1" applyBorder="1" applyAlignment="1">
      <x:alignment vertical="top" wrapText="1"/>
    </x:xf>
    <x:xf numFmtId="204" fontId="15" fillId="0" borderId="5" xfId="0" applyNumberFormat="1" applyFont="1" applyFill="1" applyBorder="1" applyAlignment="1">
      <x:alignment vertical="top" wrapText="1"/>
    </x:xf>
    <x:xf numFmtId="204" fontId="15" fillId="0" borderId="6" xfId="0" applyNumberFormat="1" applyFont="1" applyFill="1" applyBorder="1" applyAlignment="1">
      <x:alignment vertical="top" wrapText="1"/>
    </x:xf>
    <x:xf numFmtId="204" fontId="15" fillId="0" borderId="7" xfId="0" applyNumberFormat="1" applyFont="1" applyFill="1" applyBorder="1" applyAlignment="1">
      <x:alignment vertical="top" wrapText="1"/>
    </x:xf>
    <x:xf numFmtId="0" fontId="19" fillId="0" borderId="0" xfId="0" applyNumberFormat="1" applyFont="1" applyFill="1" applyBorder="1" applyAlignment="1">
      <x:alignment vertical="top" wrapText="1"/>
    </x:xf>
    <x:xf numFmtId="201" fontId="13" fillId="0" borderId="0" xfId="0" applyNumberFormat="1" applyFont="1" applyFill="1" applyBorder="1" applyAlignment="1">
      <x:alignment vertical="top" wrapText="1"/>
    </x:xf>
    <x:xf numFmtId="201" fontId="13" fillId="0" borderId="5" xfId="0" applyNumberFormat="1" applyFont="1" applyFill="1" applyBorder="1" applyAlignment="1">
      <x:alignment vertical="top" wrapText="1"/>
    </x:xf>
    <x:xf numFmtId="201" fontId="2" fillId="0" borderId="5" xfId="0" applyNumberFormat="1" applyFont="1" applyFill="1" applyBorder="1" applyAlignment="1">
      <x:alignment vertical="top" wrapText="1"/>
    </x:xf>
    <x:xf numFmtId="201" fontId="2" fillId="0" borderId="7" xfId="0" applyNumberFormat="1" applyFont="1" applyFill="1" applyBorder="1" applyAlignment="1">
      <x:alignment vertical="top" wrapText="1"/>
    </x:xf>
    <x:xf numFmtId="0" fontId="2" fillId="0" borderId="2" xfId="0" applyNumberFormat="1" applyFont="1" applyFill="1" applyBorder="1" applyAlignment="1">
      <x:alignment vertical="top" wrapText="1"/>
    </x:xf>
    <x:xf numFmtId="201" fontId="13" fillId="0" borderId="13" xfId="0" applyNumberFormat="1" applyFont="1" applyFill="1" applyBorder="1" applyAlignment="1">
      <x:alignment vertical="top" wrapText="1"/>
    </x:xf>
    <x:xf numFmtId="201" fontId="13" fillId="0" borderId="3" xfId="0" applyNumberFormat="1" applyFont="1" applyFill="1" applyBorder="1" applyAlignment="1">
      <x:alignment vertical="top" wrapText="1"/>
    </x:xf>
    <x:xf numFmtId="201" fontId="2" fillId="0" borderId="9" xfId="0" applyNumberFormat="1" applyFont="1" applyFill="1" applyBorder="1" applyAlignment="1">
      <x:alignment vertical="top" wrapText="1"/>
    </x:xf>
    <x:xf numFmtId="201" fontId="2" fillId="0" borderId="10" xfId="0" applyNumberFormat="1" applyFont="1" applyFill="1" applyBorder="1" applyAlignment="1">
      <x:alignment vertical="top" wrapText="1"/>
    </x:xf>
    <x:xf numFmtId="200" fontId="2" fillId="0" borderId="12" xfId="0" applyNumberFormat="1" applyFont="1" applyFill="1" applyBorder="1" applyAlignment="1">
      <x:alignment vertical="top" wrapText="1"/>
    </x:xf>
    <x:xf numFmtId="201" fontId="3" fillId="0" borderId="5" xfId="0" applyNumberFormat="1" applyFont="1" applyFill="1" applyBorder="1" applyAlignment="1">
      <x:alignment vertical="top" wrapText="1"/>
    </x:xf>
    <x:xf numFmtId="201" fontId="3" fillId="0" borderId="10" xfId="0" applyNumberFormat="1" applyFont="1" applyFill="1" applyBorder="1" applyAlignment="1">
      <x:alignment vertical="top" wrapText="1"/>
    </x:xf>
    <x:xf numFmtId="201" fontId="3" fillId="0" borderId="12" xfId="0" applyNumberFormat="1" applyFont="1" applyFill="1" applyBorder="1" applyAlignment="1">
      <x:alignment vertical="top" wrapText="1"/>
    </x:xf>
    <x:xf numFmtId="201" fontId="3" fillId="0" borderId="7" xfId="0" applyNumberFormat="1" applyFont="1" applyFill="1" applyBorder="1" applyAlignment="1">
      <x:alignment vertical="top" wrapText="1"/>
    </x:xf>
    <x:xf numFmtId="201" fontId="3" fillId="0" borderId="13" xfId="0" applyNumberFormat="1" applyFont="1" applyFill="1" applyBorder="1" applyAlignment="1">
      <x:alignment vertical="top" wrapText="1"/>
    </x:xf>
    <x:xf numFmtId="201" fontId="3" fillId="0" borderId="3" xfId="0" applyNumberFormat="1" applyFont="1" applyFill="1" applyBorder="1" applyAlignment="1">
      <x:alignment vertical="top" wrapText="1"/>
    </x:xf>
    <x:xf numFmtId="200" fontId="3" fillId="0" borderId="12" xfId="0" applyNumberFormat="1" applyFont="1" applyFill="1" applyBorder="1" applyAlignment="1">
      <x:alignment vertical="top" wrapText="1"/>
    </x:xf>
    <x:xf numFmtId="200" fontId="3" fillId="0" borderId="13" xfId="0" applyNumberFormat="1" applyFont="1" applyFill="1" applyBorder="1" applyAlignment="1">
      <x:alignment vertical="top" wrapText="1"/>
    </x:xf>
    <x:xf numFmtId="201" fontId="20" fillId="0" borderId="9" xfId="0" applyNumberFormat="1" applyFont="1" applyFill="1" applyBorder="1" applyAlignment="1">
      <x:alignment vertical="top" wrapText="1"/>
    </x:xf>
    <x:xf numFmtId="200" fontId="13" fillId="0" borderId="11" xfId="0" applyNumberFormat="1" applyFont="1" applyFill="1" applyBorder="1" applyAlignment="1">
      <x:alignment vertical="top" wrapText="1"/>
    </x:xf>
    <x:xf numFmtId="203" fontId="12" fillId="0" borderId="11" xfId="0" applyNumberFormat="1" applyFont="1" applyFill="1" applyBorder="1" applyAlignment="1">
      <x:alignment vertical="top" wrapText="1"/>
    </x:xf>
    <x:xf numFmtId="0" fontId="16" fillId="0" borderId="7" xfId="0" applyNumberFormat="1" applyFont="1" applyFill="1" applyBorder="1" applyAlignment="1">
      <x:alignment vertical="top" wrapText="1"/>
    </x:xf>
    <x:xf numFmtId="0" fontId="2" fillId="0" borderId="0" xfId="0" applyNumberFormat="1" applyFont="1" applyFill="1" applyBorder="1" applyAlignment="1">
      <x:alignment wrapText="1"/>
    </x:xf>
    <x:xf numFmtId="0" fontId="2" fillId="0" borderId="13"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14" xfId="0" applyNumberFormat="1" applyFont="1" applyFill="1" applyBorder="1" applyAlignment="1">
      <x:alignment vertical="top" wrapText="1"/>
    </x:xf>
    <x:xf numFmtId="0" fontId="2" fillId="0" borderId="15" xfId="0" applyNumberFormat="1" applyFont="1" applyFill="1" applyBorder="1" applyAlignment="1">
      <x:alignment vertical="top" wrapText="1"/>
    </x:xf>
    <x:xf numFmtId="0" fontId="2" fillId="0" borderId="16" xfId="0" applyNumberFormat="1" applyFont="1" applyFill="1" applyBorder="1" applyAlignment="1">
      <x:alignment vertical="top" wrapText="1"/>
    </x:xf>
    <x:xf numFmtId="0" fontId="2" fillId="2" borderId="14" xfId="0" applyNumberFormat="1" applyFont="1" applyFill="1" applyBorder="1" applyAlignment="1">
      <x:alignment vertical="top" wrapText="1"/>
    </x:xf>
    <x:xf numFmtId="0" fontId="3" fillId="2" borderId="14" xfId="0" applyNumberFormat="1" applyFont="1" applyFill="1" applyBorder="1" applyAlignment="1">
      <x:alignment vertical="top" wrapText="1"/>
    </x:xf>
    <x:xf numFmtId="0" fontId="3" fillId="2" borderId="14" xfId="0" applyNumberFormat="1" applyFont="1" applyFill="1" applyBorder="1" applyAlignment="1">
      <x:alignment horizontal="center" vertical="top" wrapText="1"/>
    </x:xf>
    <x:xf numFmtId="0" fontId="3" fillId="2" borderId="17" xfId="0" applyNumberFormat="1" applyFont="1" applyFill="1" applyBorder="1" applyAlignment="1">
      <x:alignment horizontal="center" vertical="top" wrapText="1"/>
    </x:xf>
    <x:xf numFmtId="201" fontId="12" fillId="0" borderId="0" xfId="0" applyNumberFormat="1" applyFont="1" applyFill="1" applyBorder="1" applyAlignment="1">
      <x:alignment vertical="top" wrapText="1"/>
    </x:xf>
    <x:xf numFmtId="201" fontId="2" fillId="2" borderId="0" xfId="0" applyNumberFormat="1" applyFont="1" applyFill="1" applyBorder="1" applyAlignment="1">
      <x:alignment vertical="top" wrapText="1"/>
    </x:xf>
    <x:xf numFmtId="202" fontId="2" fillId="2" borderId="0" xfId="0" applyNumberFormat="1" applyFont="1" applyFill="1" applyBorder="1" applyAlignment="1">
      <x:alignment vertical="top" wrapText="1"/>
    </x:xf>
    <x:xf numFmtId="201" fontId="3" fillId="2" borderId="0" xfId="0" applyNumberFormat="1" applyFont="1" applyFill="1" applyBorder="1" applyAlignment="1">
      <x:alignment vertical="top" wrapText="1"/>
    </x:xf>
    <x:xf numFmtId="202" fontId="3" fillId="2" borderId="0" xfId="0" applyNumberFormat="1" applyFont="1" applyFill="1" applyBorder="1" applyAlignment="1">
      <x:alignment vertical="top" wrapText="1"/>
    </x:xf>
    <x:xf numFmtId="201" fontId="3" fillId="2" borderId="0" xfId="0" applyNumberFormat="1" applyFont="1" applyFill="1" applyBorder="1" applyAlignment="1">
      <x:alignment horizontal="center" vertical="top" wrapText="1"/>
    </x:xf>
    <x:xf numFmtId="202" fontId="3" fillId="2" borderId="0" xfId="0" applyNumberFormat="1" applyFont="1" applyFill="1" applyBorder="1" applyAlignment="1">
      <x:alignment horizontal="center" vertical="top" wrapText="1"/>
    </x:xf>
    <x:xf numFmtId="201" fontId="3" fillId="2" borderId="1" xfId="0" applyNumberFormat="1" applyFont="1" applyFill="1" applyBorder="1" applyAlignment="1">
      <x:alignment horizontal="center" vertical="top" wrapText="1"/>
    </x:xf>
    <x:xf numFmtId="202" fontId="3" fillId="2" borderId="1" xfId="0" applyNumberFormat="1" applyFont="1" applyFill="1" applyBorder="1" applyAlignment="1">
      <x:alignment horizontal="center" vertical="top" wrapText="1"/>
    </x:xf>
    <x:xf numFmtId="201" fontId="12" fillId="0" borderId="12" xfId="0" applyNumberFormat="1" applyFont="1" applyFill="1" applyBorder="1" applyAlignment="1">
      <x:alignment vertical="top" wrapText="1"/>
    </x:xf>
    <x:xf numFmtId="202" fontId="3" fillId="2" borderId="13" xfId="0" applyNumberFormat="1" applyFont="1" applyFill="1" applyBorder="1" applyAlignment="1">
      <x:alignment horizontal="center" vertical="top" wrapText="1"/>
    </x:xf>
    <x:xf numFmtId="201" fontId="12" fillId="0" borderId="11" xfId="0" applyNumberFormat="1" applyFont="1" applyFill="1" applyBorder="1" applyAlignment="1">
      <x:alignment vertical="top" wrapText="1"/>
    </x:xf>
    <x:xf numFmtId="201" fontId="2" fillId="0" borderId="13" xfId="0" applyNumberFormat="1" applyFont="1" applyFill="1" applyBorder="1" applyAlignment="1">
      <x:alignment vertical="top" wrapText="1"/>
    </x:xf>
    <x:xf numFmtId="202" fontId="2" fillId="0" borderId="13" xfId="0" applyNumberFormat="1" applyFont="1" applyFill="1" applyBorder="1" applyAlignment="1">
      <x:alignment vertical="top" wrapText="1"/>
    </x:xf>
    <x:xf numFmtId="201" fontId="18" fillId="0" borderId="12" xfId="0" applyNumberFormat="1" applyFont="1" applyFill="1" applyBorder="1" applyAlignment="1">
      <x:alignment vertical="top" wrapText="1"/>
    </x:xf>
    <x:xf numFmtId="202" fontId="3" fillId="0" borderId="12" xfId="0" applyNumberFormat="1" applyFont="1" applyFill="1" applyBorder="1" applyAlignment="1">
      <x:alignment vertical="top" wrapText="1"/>
    </x:xf>
    <x:xf numFmtId="202" fontId="3" fillId="0" borderId="13" xfId="0" applyNumberFormat="1" applyFont="1" applyFill="1" applyBorder="1" applyAlignment="1">
      <x:alignment vertical="top" wrapText="1"/>
    </x:xf>
    <x:xf numFmtId="201" fontId="18" fillId="0" borderId="11" xfId="0" applyNumberFormat="1" applyFont="1" applyFill="1" applyBorder="1" applyAlignment="1">
      <x:alignment vertical="top" wrapText="1"/>
    </x:xf>
    <x:xf numFmtId="201" fontId="8" fillId="0" borderId="0" xfId="0" applyNumberFormat="1" applyFont="1" applyFill="1" applyBorder="1"/>
    <x:xf numFmtId="201" fontId="9" fillId="0" borderId="0" xfId="0" applyNumberFormat="1" applyFont="1" applyFill="1" applyBorder="1"/>
    <x:xf numFmtId="200" fontId="8" fillId="0" borderId="0" xfId="0" applyNumberFormat="1" applyFont="1" applyFill="1" applyBorder="1"/>
    <x:xf numFmtId="203" fontId="9" fillId="0" borderId="0" xfId="0" applyNumberFormat="1" applyFont="1" applyFill="1" applyBorder="1"/>
    <x:xf numFmtId="203" fontId="8" fillId="0" borderId="0" xfId="0" applyNumberFormat="1" applyFont="1" applyFill="1" applyBorder="1"/>
    <x:xf numFmtId="201" fontId="11" fillId="0" borderId="0" xfId="0" applyNumberFormat="1" applyFont="1" applyFill="1" applyBorder="1"/>
    <x:xf numFmtId="201" fontId="10" fillId="0" borderId="0" xfId="0" applyNumberFormat="1" applyFont="1" applyFill="1" applyBorder="1"/>
    <x:xf numFmtId="200" fontId="11" fillId="0" borderId="0" xfId="0" applyNumberFormat="1" applyFont="1" applyFill="1" applyBorder="1"/>
    <x:xf numFmtId="203" fontId="10" fillId="0" borderId="0" xfId="0" applyNumberFormat="1" applyFont="1" applyFill="1" applyBorder="1"/>
    <x:xf numFmtId="203" fontId="11" fillId="0" borderId="0" xfId="0" applyNumberFormat="1" applyFont="1" applyFill="1" applyBorder="1"/>
    <x:xf numFmtId="201" fontId="13" fillId="0" borderId="0" xfId="0" applyNumberFormat="1" applyFont="1" applyFill="1" applyBorder="1"/>
    <x:xf numFmtId="201" fontId="12" fillId="0" borderId="0" xfId="0" applyNumberFormat="1" applyFont="1" applyFill="1" applyBorder="1"/>
    <x:xf numFmtId="200" fontId="13" fillId="0" borderId="0" xfId="0" applyNumberFormat="1" applyFont="1" applyFill="1" applyBorder="1"/>
    <x:xf numFmtId="203" fontId="12" fillId="0" borderId="0" xfId="0" applyNumberFormat="1" applyFont="1" applyFill="1" applyBorder="1"/>
    <x:xf numFmtId="203" fontId="13" fillId="0" borderId="0" xfId="0" applyNumberFormat="1" applyFont="1" applyFill="1" applyBorder="1"/>
    <x:xf numFmtId="201" fontId="13" fillId="0" borderId="0" xfId="0" applyNumberFormat="1" applyFont="1" applyFill="1" applyBorder="1" applyAlignment="1">
      <x:alignment wrapText="1"/>
    </x:xf>
    <x:xf numFmtId="201" fontId="12" fillId="0" borderId="0" xfId="0" applyNumberFormat="1" applyFont="1" applyFill="1" applyBorder="1" applyAlignment="1">
      <x:alignment wrapText="1"/>
    </x:xf>
    <x:xf numFmtId="200" fontId="13" fillId="0" borderId="0" xfId="0" applyNumberFormat="1" applyFont="1" applyFill="1" applyBorder="1" applyAlignment="1">
      <x:alignment wrapText="1"/>
    </x:xf>
    <x:xf numFmtId="203" fontId="12" fillId="0" borderId="0" xfId="0" applyNumberFormat="1" applyFont="1" applyFill="1" applyBorder="1" applyAlignment="1">
      <x:alignment wrapText="1"/>
    </x:xf>
    <x:xf numFmtId="203" fontId="13" fillId="0" borderId="0" xfId="0" applyNumberFormat="1" applyFont="1" applyFill="1" applyBorder="1" applyAlignment="1">
      <x:alignment wrapText="1"/>
    </x:xf>
    <x:xf numFmtId="200" fontId="13" fillId="0" borderId="0" xfId="0" applyNumberFormat="1" applyFont="1" applyFill="1" applyBorder="1" applyAlignment="1">
      <x:alignment vertical="top" wrapText="1"/>
    </x:xf>
    <x:xf numFmtId="203" fontId="12" fillId="0" borderId="0" xfId="0" applyNumberFormat="1" applyFont="1" applyFill="1" applyBorder="1" applyAlignment="1">
      <x:alignment vertical="top" wrapText="1"/>
    </x:xf>
    <x:xf numFmtId="203" fontId="13" fillId="0" borderId="0" xfId="0" applyNumberFormat="1" applyFont="1" applyFill="1" applyBorder="1" applyAlignment="1">
      <x:alignment vertical="top" wrapText="1"/>
    </x:xf>
    <x:xf numFmtId="203" fontId="13" fillId="0" borderId="11" xfId="0" applyNumberFormat="1" applyFont="1" applyFill="1" applyBorder="1" applyAlignment="1">
      <x:alignment vertical="top" wrapText="1"/>
    </x:xf>
    <x:xf numFmtId="200" fontId="13" fillId="0" borderId="12" xfId="0" applyNumberFormat="1" applyFont="1" applyFill="1" applyBorder="1" applyAlignment="1">
      <x:alignment vertical="top" wrapText="1"/>
    </x:xf>
    <x:xf numFmtId="0" fontId="2" fillId="0" borderId="2" xfId="0" applyNumberFormat="1" applyFont="1" applyFill="1" applyBorder="1" applyAlignment="1">
      <x:alignment wrapText="1"/>
    </x:xf>
    <x:xf numFmtId="0" fontId="2" fillId="0" borderId="13" xfId="0" applyNumberFormat="1" applyFont="1" applyFill="1" applyBorder="1" applyAlignment="1">
      <x:alignment wrapText="1"/>
    </x:xf>
    <x:xf numFmtId="0" fontId="2" fillId="0" borderId="3" xfId="0" applyNumberFormat="1" applyFont="1" applyFill="1" applyBorder="1" applyAlignment="1">
      <x:alignment wrapText="1"/>
    </x:xf>
    <x:xf numFmtId="201" fontId="13" fillId="0" borderId="7" xfId="0" applyNumberFormat="1" applyFont="1" applyFill="1" applyBorder="1" applyAlignment="1">
      <x:alignment vertical="top" wrapText="1"/>
    </x:xf>
    <x:xf numFmtId="0" fontId="2" fillId="0" borderId="18" xfId="0" applyNumberFormat="1" applyFont="1" applyFill="1" applyBorder="1" applyAlignment="1">
      <x:alignment vertical="top" wrapText="1"/>
    </x:xf>
    <x:xf numFmtId="0" fontId="2" fillId="0" borderId="19" xfId="0" applyNumberFormat="1" applyFont="1" applyFill="1" applyBorder="1" applyAlignment="1">
      <x:alignment vertical="top" wrapText="1"/>
    </x:xf>
    <x:xf numFmtId="0" fontId="4" fillId="0" borderId="20" xfId="0" applyNumberFormat="1" applyFont="1" applyFill="1" applyBorder="1" applyAlignment="1">
      <x:alignment vertical="top" wrapText="0"/>
    </x:xf>
    <x:xf numFmtId="0" fontId="2" fillId="0" borderId="21" xfId="0" applyNumberFormat="1" applyFont="1" applyFill="1" applyBorder="1" applyAlignment="1">
      <x:alignment vertical="top" wrapText="0"/>
    </x:xf>
    <x:xf numFmtId="0" fontId="3" fillId="2" borderId="22" xfId="0" applyNumberFormat="1" applyFont="1" applyFill="1" applyBorder="1" applyAlignment="1">
      <x:alignment horizontal="center" vertical="top" wrapText="1"/>
    </x:xf>
    <x:xf numFmtId="0" fontId="3" fillId="2" borderId="23" xfId="0" applyNumberFormat="1" applyFont="1" applyFill="1" applyBorder="1" applyAlignment="1">
      <x:alignment horizontal="center" vertical="top" wrapText="1"/>
    </x:xf>
    <x:xf numFmtId="0" fontId="3" fillId="0" borderId="24" xfId="0" applyNumberFormat="1" applyFont="1" applyFill="1" applyBorder="1" applyAlignment="1">
      <x:alignment vertical="top" wrapText="1"/>
    </x:xf>
    <x:xf numFmtId="0" fontId="2" fillId="0" borderId="25" xfId="0" applyNumberFormat="1" applyFont="1" applyFill="1" applyBorder="1" applyAlignment="1">
      <x:alignment vertical="top" wrapText="1"/>
    </x:xf>
    <x:xf numFmtId="0" fontId="3" fillId="0" borderId="26" xfId="0" applyNumberFormat="1" applyFont="1" applyFill="1" applyBorder="1" applyAlignment="1">
      <x:alignment vertical="top" wrapText="1"/>
    </x:xf>
    <x:xf numFmtId="0" fontId="2" fillId="0" borderId="27" xfId="0" applyNumberFormat="1" applyFont="1" applyFill="1" applyBorder="1" applyAlignment="1">
      <x:alignment vertical="top" wrapText="1"/>
    </x:xf>
    <x:xf numFmtId="0" fontId="5" fillId="0" borderId="28" xfId="0" applyNumberFormat="1" applyFont="1" applyFill="1" applyBorder="1" applyAlignment="1">
      <x:alignment vertical="top" wrapText="1"/>
    </x:xf>
    <x:xf numFmtId="200" fontId="6" fillId="0" borderId="29" xfId="0" applyNumberFormat="1" applyFont="1" applyFill="1" applyBorder="1" applyAlignment="1">
      <x:alignment vertical="top" wrapText="1"/>
    </x:xf>
    <x:xf numFmtId="0" fontId="2" fillId="0" borderId="30" xfId="0" applyNumberFormat="1" applyFont="1" applyFill="1" applyBorder="1" applyAlignment="1">
      <x:alignment vertical="top" wrapText="1"/>
    </x:xf>
    <x:xf numFmtId="0" fontId="2" fillId="0" borderId="31" xfId="0" applyNumberFormat="1" applyFont="1" applyFill="1" applyBorder="1" applyAlignment="1">
      <x:alignment vertical="top" wrapText="1"/>
    </x:xf>
    <x:xf numFmtId="0" fontId="3" fillId="0" borderId="32" xfId="0" applyNumberFormat="1" applyFont="1" applyFill="1" applyBorder="1" applyAlignment="1">
      <x:alignment vertical="top" wrapText="1"/>
    </x:xf>
    <x:xf numFmtId="0" fontId="2" fillId="0" borderId="33" xfId="0" applyNumberFormat="1" applyFont="1" applyFill="1" applyBorder="1" applyAlignment="1">
      <x:alignment vertical="top" wrapText="1"/>
    </x:xf>
    <x:xf numFmtId="0" fontId="2" fillId="0" borderId="34" xfId="0" applyNumberFormat="1" applyFont="1" applyFill="1" applyBorder="1" applyAlignment="1">
      <x:alignment vertical="top" wrapText="1"/>
    </x:xf>
    <x:xf numFmtId="0" fontId="2" fillId="0" borderId="35" xfId="0" applyNumberFormat="1" applyFont="1" applyFill="1" applyBorder="1" applyAlignment="1">
      <x:alignment vertical="top" wrapText="1"/>
    </x:xf>
    <x:xf numFmtId="0" fontId="2" fillId="0" borderId="36" xfId="0" applyNumberFormat="1" applyFont="1" applyFill="1" applyBorder="1" applyAlignment="1">
      <x:alignment vertical="top" wrapText="1"/>
    </x:xf>
    <x:xf numFmtId="0" fontId="2" fillId="0" borderId="37" xfId="0" applyNumberFormat="1" applyFont="1" applyFill="1" applyBorder="1" applyAlignment="1">
      <x:alignment vertical="top" wrapText="1"/>
    </x:xf>
    <x:xf numFmtId="0" fontId="3" fillId="2" borderId="38" xfId="0" applyNumberFormat="1" applyFont="1" applyFill="1" applyBorder="1" applyAlignment="1">
      <x:alignment horizontal="center" vertical="top" wrapText="1"/>
    </x:xf>
    <x:xf numFmtId="201" fontId="13" fillId="0" borderId="39" xfId="0" applyNumberFormat="1" applyFont="1" applyFill="1" applyBorder="1" applyAlignment="1">
      <x:alignment vertical="top" wrapText="1"/>
    </x:xf>
    <x:xf numFmtId="202" fontId="2" fillId="0" borderId="40" xfId="0" applyNumberFormat="1" applyFont="1" applyFill="1" applyBorder="1" applyAlignment="1">
      <x:alignment vertical="top" wrapText="1"/>
    </x:xf>
    <x:xf numFmtId="0" fontId="2" fillId="0" borderId="41" xfId="0" applyNumberFormat="1" applyFont="1" applyFill="1" applyBorder="1" applyAlignment="1">
      <x:alignment vertical="top" wrapText="1"/>
    </x:xf>
    <x:xf numFmtId="0" fontId="3" fillId="0" borderId="42" xfId="0" applyNumberFormat="1" applyFont="1" applyFill="1" applyBorder="1" applyAlignment="1">
      <x:alignment vertical="top" wrapText="1"/>
    </x:xf>
    <x:xf numFmtId="201" fontId="18" fillId="0" borderId="43" xfId="0" applyNumberFormat="1" applyFont="1" applyFill="1" applyBorder="1" applyAlignment="1">
      <x:alignment vertical="top" wrapText="1"/>
    </x:xf>
    <x:xf numFmtId="202" fontId="3" fillId="0" borderId="44" xfId="0" applyNumberFormat="1" applyFont="1" applyFill="1" applyBorder="1" applyAlignment="1">
      <x:alignment vertical="top" wrapText="1"/>
    </x:xf>
    <x:xf numFmtId="0" fontId="3" fillId="0" borderId="45" xfId="0" applyNumberFormat="1" applyFont="1" applyFill="1" applyBorder="1" applyAlignment="1">
      <x:alignment vertical="top" wrapText="1"/>
    </x:xf>
    <x:xf numFmtId="0" fontId="3" fillId="0" borderId="46" xfId="0" applyNumberFormat="1" applyFont="1" applyFill="1" applyBorder="1" applyAlignment="1">
      <x:alignment vertical="top" wrapText="1"/>
    </x:xf>
    <x:xf numFmtId="201" fontId="2" fillId="0" borderId="47" xfId="0" applyNumberFormat="1" applyFont="1" applyFill="1" applyBorder="1" applyAlignment="1">
      <x:alignment vertical="top" wrapText="1"/>
    </x:xf>
    <x:xf numFmtId="202" fontId="2" fillId="0" borderId="48" xfId="0" applyNumberFormat="1" applyFont="1" applyFill="1" applyBorder="1" applyAlignment="1">
      <x:alignment vertical="top" wrapText="1"/>
    </x:xf>
    <x:xf numFmtId="201" fontId="3" fillId="2" borderId="49" xfId="0" applyNumberFormat="1" applyFont="1" applyFill="1" applyBorder="1" applyAlignment="1">
      <x:alignment horizontal="center" vertical="top" wrapText="1"/>
    </x:xf>
    <x:xf numFmtId="202" fontId="3" fillId="2" borderId="50" xfId="0" applyNumberFormat="1" applyFont="1" applyFill="1" applyBorder="1" applyAlignment="1">
      <x:alignment horizontal="center" vertical="top" wrapText="1"/>
    </x:xf>
    <x:xf numFmtId="201" fontId="2" fillId="0" borderId="51" xfId="0" applyNumberFormat="1" applyFont="1" applyFill="1" applyBorder="1" applyAlignment="1">
      <x:alignment vertical="top" wrapText="1"/>
    </x:xf>
    <x:xf numFmtId="0" fontId="3" fillId="0" borderId="52" xfId="0" applyNumberFormat="1" applyFont="1" applyFill="1" applyBorder="1" applyAlignment="1">
      <x:alignment vertical="top" wrapText="1"/>
    </x:xf>
    <x:xf numFmtId="201" fontId="18" fillId="0" borderId="53" xfId="0" applyNumberFormat="1" applyFont="1" applyFill="1" applyBorder="1" applyAlignment="1">
      <x:alignment vertical="top" wrapText="1"/>
    </x:xf>
    <x:xf numFmtId="202" fontId="3" fillId="0" borderId="54" xfId="0" applyNumberFormat="1" applyFont="1" applyFill="1" applyBorder="1" applyAlignment="1">
      <x:alignment vertical="top" wrapText="1"/>
    </x:xf>
    <x:xf numFmtId="0" fontId="3" fillId="0" borderId="55" xfId="0" applyNumberFormat="1" applyFont="1" applyFill="1" applyBorder="1" applyAlignment="1">
      <x:alignment vertical="top" wrapText="1"/>
    </x:xf>
    <x:xf numFmtId="0" fontId="3" fillId="0" borderId="56" xfId="0" applyNumberFormat="1" applyFont="1" applyFill="1" applyBorder="1" applyAlignment="1">
      <x:alignment vertical="top" wrapText="1"/>
    </x:xf>
    <x:xf numFmtId="201" fontId="2" fillId="0" borderId="57" xfId="0" applyNumberFormat="1" applyFont="1" applyFill="1" applyBorder="1" applyAlignment="1">
      <x:alignment vertical="top" wrapText="1"/>
    </x:xf>
    <x:xf numFmtId="202" fontId="2" fillId="0" borderId="58" xfId="0" applyNumberFormat="1" applyFont="1" applyFill="1" applyBorder="1" applyAlignment="1">
      <x:alignment vertical="top" wrapText="1"/>
    </x:xf>
    <x:xf numFmtId="0" fontId="2" fillId="0" borderId="59" xfId="0" applyNumberFormat="1" applyFont="1" applyFill="1" applyBorder="1" applyAlignment="1">
      <x:alignment vertical="top" wrapText="1"/>
    </x:xf>
    <x:xf numFmtId="0" fontId="2" fillId="0" borderId="60" xfId="0" applyNumberFormat="1" applyFont="1" applyFill="1" applyBorder="1" applyAlignment="1">
      <x:alignment vertical="top" wrapText="1"/>
    </x:xf>
    <x:xf numFmtId="201" fontId="2" fillId="0" borderId="61" xfId="0" applyNumberFormat="1" applyFont="1" applyFill="1" applyBorder="1" applyAlignment="1">
      <x:alignment vertical="top" wrapText="1"/>
    </x:xf>
    <x:xf numFmtId="202" fontId="2" fillId="0" borderId="62" xfId="0" applyNumberFormat="1" applyFont="1" applyFill="1" applyBorder="1" applyAlignment="1">
      <x:alignment vertical="top" wrapText="1"/>
    </x:xf>
    <x:xf numFmtId="0" fontId="2" fillId="0" borderId="63" xfId="0" applyNumberFormat="1" applyFont="1" applyFill="1" applyBorder="1" applyAlignment="1">
      <x:alignment vertical="top" wrapText="1"/>
    </x:xf>
    <x:xf numFmtId="0" fontId="2" fillId="0" borderId="64" xfId="0" applyNumberFormat="1" applyFont="1" applyFill="1" applyBorder="1" applyAlignment="1">
      <x:alignment vertical="top" wrapText="1"/>
    </x:xf>
    <x:xf numFmtId="0" fontId="4" fillId="0" borderId="65" xfId="0" applyNumberFormat="1" applyFont="1" applyFill="1" applyBorder="1" applyAlignment="1">
      <x:alignment vertical="top" wrapText="1"/>
    </x:xf>
    <x:xf numFmtId="0" fontId="16" fillId="0" borderId="66" xfId="0" applyNumberFormat="1" applyFont="1" applyFill="1" applyBorder="1" applyAlignment="1">
      <x:alignment vertical="top" wrapText="1"/>
    </x:xf>
    <x:xf numFmtId="201" fontId="20" fillId="0" borderId="67" xfId="0" applyNumberFormat="1" applyFont="1" applyFill="1" applyBorder="1" applyAlignment="1">
      <x:alignment vertical="top" wrapText="1"/>
    </x:xf>
    <x:xf numFmtId="0" fontId="16" fillId="0" borderId="68" xfId="0" applyNumberFormat="1" applyFont="1" applyFill="1" applyBorder="1" applyAlignment="1">
      <x:alignment vertical="top" wrapText="1"/>
    </x:xf>
    <x:xf numFmtId="200" fontId="13" fillId="0" borderId="69" xfId="0" applyNumberFormat="1" applyFont="1" applyFill="1" applyBorder="1" applyAlignment="1">
      <x:alignment vertical="top" wrapText="1"/>
    </x:xf>
    <x:xf numFmtId="203" fontId="12" fillId="0" borderId="70" xfId="0" applyNumberFormat="1" applyFont="1" applyFill="1" applyBorder="1" applyAlignment="1">
      <x:alignment vertical="top" wrapText="1"/>
    </x:xf>
    <x:xf numFmtId="200" fontId="12" fillId="0" borderId="71" xfId="0" applyNumberFormat="1" applyFont="1" applyFill="1" applyBorder="1" applyAlignment="1">
      <x:alignment vertical="top" wrapText="1"/>
    </x:xf>
    <x:xf numFmtId="0" fontId="16" fillId="0" borderId="72" xfId="0" applyNumberFormat="1" applyFont="1" applyFill="1" applyBorder="1" applyAlignment="1">
      <x:alignment vertical="top" wrapText="1"/>
    </x:xf>
    <x:xf numFmtId="0" fontId="3" fillId="2" borderId="73" xfId="0" applyNumberFormat="1" applyFont="1" applyFill="1" applyBorder="1" applyAlignment="1">
      <x:alignment horizontal="center" vertical="top" wrapText="1"/>
    </x:xf>
    <x:xf numFmtId="0" fontId="13" fillId="0" borderId="74" xfId="0" applyNumberFormat="1" applyFont="1" applyFill="1" applyBorder="1" applyAlignment="1">
      <x:alignment vertical="top" wrapText="1"/>
    </x:xf>
    <x:xf numFmtId="0" fontId="13" fillId="0" borderId="75" xfId="0" applyNumberFormat="1" applyFont="1" applyFill="1" applyBorder="1" applyAlignment="1">
      <x:alignment vertical="top" wrapText="1"/>
    </x:xf>
    <x:xf numFmtId="0" fontId="13" fillId="0" borderId="76" xfId="0" applyNumberFormat="1" applyFont="1" applyFill="1" applyBorder="1" applyAlignment="1">
      <x:alignment vertical="top" wrapText="1"/>
    </x:xf>
    <x:xf numFmtId="0" fontId="13" fillId="0" borderId="77" xfId="0" applyNumberFormat="1" applyFont="1" applyFill="1" applyBorder="1" applyAlignment="1">
      <x:alignment vertical="top" wrapText="1"/>
    </x:xf>
    <x:xf numFmtId="0" fontId="13" fillId="0" borderId="78" xfId="0" applyNumberFormat="1" applyFont="1" applyFill="1" applyBorder="1" applyAlignment="1">
      <x:alignment vertical="top" wrapText="1"/>
    </x:xf>
    <x:xf numFmtId="0" fontId="13" fillId="0" borderId="79" xfId="0" applyNumberFormat="1" applyFont="1" applyFill="1" applyBorder="1" applyAlignment="1">
      <x:alignment vertical="top" wrapText="1"/>
    </x:xf>
    <x:xf numFmtId="0" fontId="19" fillId="0" borderId="80" xfId="0" applyNumberFormat="1" applyFont="1" applyFill="1" applyBorder="1" applyAlignment="1">
      <x:alignment vertical="top" wrapText="1"/>
    </x:xf>
    <x:xf numFmtId="201" fontId="13" fillId="0" borderId="81" xfId="0" applyNumberFormat="1" applyFont="1" applyFill="1" applyBorder="1" applyAlignment="1">
      <x:alignment vertical="top" wrapText="1"/>
    </x:xf>
    <x:xf numFmtId="201" fontId="3" fillId="0" borderId="82" xfId="0" applyNumberFormat="1" applyFont="1" applyFill="1" applyBorder="1" applyAlignment="1">
      <x:alignment vertical="top" wrapText="1"/>
    </x:xf>
    <x:xf numFmtId="201" fontId="3" fillId="0" borderId="83" xfId="0" applyNumberFormat="1" applyFont="1" applyFill="1" applyBorder="1" applyAlignment="1">
      <x:alignment vertical="top" wrapText="1"/>
    </x:xf>
    <x:xf numFmtId="201" fontId="2" fillId="0" borderId="84" xfId="0" applyNumberFormat="1" applyFont="1" applyFill="1" applyBorder="1" applyAlignment="1">
      <x:alignment vertical="top" wrapText="1"/>
    </x:xf>
    <x:xf numFmtId="201" fontId="2" fillId="0" borderId="85" xfId="0" applyNumberFormat="1" applyFont="1" applyFill="1" applyBorder="1" applyAlignment="1">
      <x:alignment vertical="top" wrapText="1"/>
    </x:xf>
    <x:xf numFmtId="201" fontId="3" fillId="0" borderId="86" xfId="0" applyNumberFormat="1" applyFont="1" applyFill="1" applyBorder="1" applyAlignment="1">
      <x:alignment vertical="top" wrapText="1"/>
    </x:xf>
    <x:xf numFmtId="201" fontId="3" fillId="0" borderId="87" xfId="0" applyNumberFormat="1" applyFont="1" applyFill="1" applyBorder="1" applyAlignment="1">
      <x:alignment vertical="top" wrapText="1"/>
    </x:xf>
    <x:xf numFmtId="201" fontId="2" fillId="0" borderId="88" xfId="0" applyNumberFormat="1" applyFont="1" applyFill="1" applyBorder="1" applyAlignment="1">
      <x:alignment vertical="top" wrapText="1"/>
    </x:xf>
    <x:xf numFmtId="201" fontId="13" fillId="0" borderId="89" xfId="0" applyNumberFormat="1" applyFont="1" applyFill="1" applyBorder="1" applyAlignment="1">
      <x:alignment vertical="top" wrapText="1"/>
    </x:xf>
    <x:xf numFmtId="201" fontId="13" fillId="0" borderId="90" xfId="0" applyNumberFormat="1" applyFont="1" applyFill="1" applyBorder="1" applyAlignment="1">
      <x:alignment vertical="top" wrapText="1"/>
    </x:xf>
    <x:xf numFmtId="201" fontId="3" fillId="0" borderId="91" xfId="0" applyNumberFormat="1" applyFont="1" applyFill="1" applyBorder="1" applyAlignment="1">
      <x:alignment vertical="top" wrapText="1"/>
    </x:xf>
    <x:xf numFmtId="201" fontId="3" fillId="0" borderId="92" xfId="0" applyNumberFormat="1" applyFont="1" applyFill="1" applyBorder="1" applyAlignment="1">
      <x:alignment vertical="top" wrapText="1"/>
    </x:xf>
    <x:xf numFmtId="200" fontId="3" fillId="0" borderId="93" xfId="0" applyNumberFormat="1" applyFont="1" applyFill="1" applyBorder="1" applyAlignment="1">
      <x:alignment vertical="top" wrapText="1"/>
    </x:xf>
    <x:xf numFmtId="201" fontId="12" fillId="0" borderId="94" xfId="0" applyNumberFormat="1" applyFont="1" applyFill="1" applyBorder="1" applyAlignment="1">
      <x:alignment vertical="top" wrapText="1"/>
    </x:xf>
    <x:xf numFmtId="203" fontId="13" fillId="0" borderId="95" xfId="0" applyNumberFormat="1" applyFont="1" applyFill="1" applyBorder="1" applyAlignment="1">
      <x:alignment vertical="top" wrapText="1"/>
    </x:xf>
    <x:xf numFmtId="200" fontId="13" fillId="0" borderId="96" xfId="0" applyNumberFormat="1" applyFont="1" applyFill="1" applyBorder="1" applyAlignment="1">
      <x:alignment vertical="top" wrapText="1"/>
    </x:xf>
    <x:xf numFmtId="0" fontId="2" fillId="0" borderId="97" xfId="0" applyNumberFormat="1" applyFont="1" applyFill="1" applyBorder="1"/>
    <x:xf numFmtId="201" fontId="13" fillId="0" borderId="98" xfId="0" applyNumberFormat="1" applyFont="1" applyFill="1" applyBorder="1" applyAlignment="1">
      <x:alignment vertical="top" wrapText="1"/>
    </x:xf>
    <x:xf numFmtId="201" fontId="13" fillId="0" borderId="99" xfId="0" applyNumberFormat="1" applyFont="1" applyFill="1" applyBorder="1" applyAlignment="1">
      <x:alignment vertical="top" wrapText="1"/>
    </x:xf>
    <x:xf numFmtId="201" fontId="13" fillId="0" borderId="100" xfId="0" applyNumberFormat="1" applyFont="1" applyFill="1" applyBorder="1" applyAlignment="1">
      <x:alignment vertical="top" wrapText="1"/>
    </x:xf>
    <x:xf numFmtId="0" fontId="2" fillId="0" borderId="101" xfId="0" applyNumberFormat="1" applyFont="1" applyFill="1" applyBorder="1" applyAlignment="1">
      <x:alignment vertical="top" wrapText="1"/>
    </x:xf>
    <x:xf numFmtId="0" fontId="3" fillId="0" borderId="102" xfId="0" applyNumberFormat="1" applyFont="1" applyFill="1" applyBorder="1" applyAlignment="1">
      <x:alignment vertical="top" wrapText="1"/>
    </x:xf>
    <x:xf numFmtId="0" fontId="3" fillId="0" borderId="103" xfId="0" applyNumberFormat="1" applyFont="1" applyFill="1" applyBorder="1" applyAlignment="1">
      <x:alignment vertical="top" wrapText="1"/>
    </x:xf>
    <x:xf numFmtId="0" fontId="2" fillId="0" borderId="104" xfId="0" applyNumberFormat="1" applyFont="1" applyFill="1" applyBorder="1" applyAlignment="1">
      <x:alignment vertical="top" wrapText="1"/>
    </x:xf>
    <x:xf numFmtId="201" fontId="2" fillId="0" borderId="105" xfId="0" applyNumberFormat="1" applyFont="1" applyFill="1" applyBorder="1" applyAlignment="1">
      <x:alignment vertical="top" wrapText="1"/>
    </x:xf>
    <x:xf numFmtId="0" fontId="2" fillId="0" borderId="106" xfId="0" applyNumberFormat="1" applyFont="1" applyFill="1" applyBorder="1" applyAlignment="1">
      <x:alignment vertical="top" wrapText="1"/>
    </x:xf>
    <x:xf numFmtId="201" fontId="2" fillId="0" borderId="107" xfId="0" applyNumberFormat="1" applyFont="1" applyFill="1" applyBorder="1" applyAlignment="1">
      <x:alignment vertical="top" wrapText="1"/>
    </x:xf>
    <x:xf numFmtId="0" fontId="2" fillId="0" borderId="108" xfId="0" applyNumberFormat="1" applyFont="1" applyFill="1" applyBorder="1" applyAlignment="1">
      <x:alignment vertical="top" wrapText="1"/>
    </x:xf>
    <x:xf numFmtId="0" fontId="2" fillId="0" borderId="109" xfId="0" applyNumberFormat="1" applyFont="1" applyFill="1" applyBorder="1" applyAlignment="1">
      <x:alignment vertical="top" wrapText="1"/>
    </x:xf>
    <x:xf numFmtId="0" fontId="2" fillId="0" borderId="110" xfId="0" applyNumberFormat="1" applyFont="1" applyFill="1" applyBorder="1" applyAlignment="1">
      <x:alignment vertical="top" wrapText="1"/>
    </x:xf>
    <x:xf numFmtId="201" fontId="13" fillId="0" borderId="111" xfId="0" applyNumberFormat="1" applyFont="1" applyFill="1" applyBorder="1" applyAlignment="1">
      <x:alignment vertical="top" wrapText="1"/>
    </x:xf>
    <x:xf numFmtId="0" fontId="2" fillId="0" borderId="112" xfId="0" applyNumberFormat="1" applyFont="1" applyFill="1" applyBorder="1" applyAlignment="1">
      <x:alignment vertical="top" wrapText="1"/>
    </x:xf>
    <x:xf numFmtId="0" fontId="2" fillId="0" borderId="113" xfId="0" applyNumberFormat="1" applyFont="1" applyFill="1" applyBorder="1" applyAlignment="1">
      <x:alignment vertical="top" wrapText="1"/>
    </x:xf>
    <x:xf numFmtId="0" fontId="2" fillId="0" borderId="114" xfId="0" applyNumberFormat="1" applyFont="1" applyFill="1" applyBorder="1" applyAlignment="1">
      <x:alignment vertical="top" wrapText="1"/>
    </x:xf>
    <x:xf numFmtId="202" fontId="13" fillId="0" borderId="115" xfId="0" applyNumberFormat="1" applyFont="1" applyFill="1" applyBorder="1" applyAlignment="1">
      <x:alignment vertical="top" wrapText="1"/>
    </x:xf>
    <x:xf numFmtId="204" fontId="13" fillId="0" borderId="116" xfId="0" applyNumberFormat="1" applyFont="1" applyFill="1" applyBorder="1" applyAlignment="1">
      <x:alignment vertical="top" wrapText="1"/>
    </x:xf>
    <x:xf numFmtId="201" fontId="15" fillId="0" borderId="117" xfId="0" applyNumberFormat="1" applyFont="1" applyFill="1" applyBorder="1" applyAlignment="1">
      <x:alignment vertical="top" wrapText="1"/>
    </x:xf>
    <x:xf numFmtId="202" fontId="2" fillId="0" borderId="118" xfId="0" applyNumberFormat="1" applyFont="1" applyFill="1" applyBorder="1" applyAlignment="1">
      <x:alignment vertical="top" wrapText="1"/>
    </x:xf>
    <x:xf numFmtId="0" fontId="2" fillId="0" borderId="119" xfId="0" applyNumberFormat="1" applyFont="1" applyFill="1" applyBorder="1" applyAlignment="1">
      <x:alignment vertical="top" wrapText="1"/>
    </x:xf>
    <x:xf numFmtId="201" fontId="15" fillId="0" borderId="120" xfId="0" applyNumberFormat="1" applyFont="1" applyFill="1" applyBorder="1" applyAlignment="1">
      <x:alignment vertical="top" wrapText="1"/>
    </x:xf>
    <x:xf numFmtId="0" fontId="2" fillId="0" borderId="121" xfId="0" applyNumberFormat="1" applyFont="1" applyFill="1" applyBorder="1" applyAlignment="1">
      <x:alignment vertical="top" wrapText="1"/>
    </x:xf>
    <x:xf numFmtId="0" fontId="2" fillId="0" borderId="122" xfId="0" applyNumberFormat="1" applyFont="1" applyFill="1" applyBorder="1" applyAlignment="1">
      <x:alignment vertical="top" wrapText="1"/>
    </x:xf>
    <x:xf numFmtId="0" fontId="3" fillId="2" borderId="123" xfId="0" applyNumberFormat="1" applyFont="1" applyFill="1" applyBorder="1" applyAlignment="1">
      <x:alignment horizontal="center" vertical="top" wrapText="1"/>
    </x:xf>
    <x:xf numFmtId="204" fontId="15" fillId="0" borderId="124" xfId="0" applyNumberFormat="1" applyFont="1" applyFill="1" applyBorder="1" applyAlignment="1">
      <x:alignment vertical="top" wrapText="1"/>
    </x:xf>
    <x:xf numFmtId="204" fontId="15" fillId="0" borderId="125" xfId="0" applyNumberFormat="1" applyFont="1" applyFill="1" applyBorder="1" applyAlignment="1">
      <x:alignment vertical="top" wrapText="1"/>
    </x:xf>
    <x:xf numFmtId="204" fontId="15" fillId="0" borderId="126" xfId="0" applyNumberFormat="1" applyFont="1" applyFill="1" applyBorder="1" applyAlignment="1">
      <x:alignment vertical="top" wrapText="1"/>
    </x:xf>
    <x:xf numFmtId="204" fontId="15" fillId="0" borderId="127" xfId="0" applyNumberFormat="1" applyFont="1" applyFill="1" applyBorder="1" applyAlignment="1">
      <x:alignment vertical="top" wrapText="1"/>
    </x:xf>
    <x:xf numFmtId="202" fontId="2" fillId="0" borderId="128" xfId="0" applyNumberFormat="1" applyFont="1" applyFill="1" applyBorder="1" applyAlignment="1">
      <x:alignment vertical="top" wrapText="1"/>
    </x:xf>
    <x:xf numFmtId="204" fontId="15" fillId="0" borderId="129" xfId="0" applyNumberFormat="1" applyFont="1" applyFill="1" applyBorder="1" applyAlignment="1">
      <x:alignment vertical="top" wrapText="1"/>
    </x:xf>
    <x:xf numFmtId="204" fontId="15" fillId="0" borderId="130" xfId="0" applyNumberFormat="1" applyFont="1" applyFill="1" applyBorder="1" applyAlignment="1">
      <x:alignment vertical="top" wrapText="1"/>
    </x:xf>
    <x:xf numFmtId="0" fontId="3" fillId="2" borderId="131" xfId="0" applyNumberFormat="1" applyFont="1" applyFill="1" applyBorder="1" applyAlignment="1">
      <x:alignment horizontal="center" vertical="top" wrapText="1"/>
    </x:xf>
    <x:xf numFmtId="0" fontId="2" fillId="0" borderId="132" xfId="0" applyNumberFormat="1" applyFont="1" applyFill="1" applyBorder="1" applyAlignment="1">
      <x:alignment vertical="top" wrapText="1"/>
    </x:xf>
    <x:xf numFmtId="0" fontId="2" fillId="0" borderId="133" xfId="0" applyNumberFormat="1" applyFont="1" applyFill="1" applyBorder="1" applyAlignment="1">
      <x:alignment vertical="top" wrapText="1"/>
    </x:xf>
    <x:xf numFmtId="201" fontId="15" fillId="0" borderId="134" xfId="0" applyNumberFormat="1" applyFont="1" applyFill="1" applyBorder="1" applyAlignment="1">
      <x:alignment vertical="top" wrapText="1"/>
    </x:xf>
    <x:xf numFmtId="201" fontId="15" fillId="0" borderId="135" xfId="0" applyNumberFormat="1" applyFont="1" applyFill="1" applyBorder="1" applyAlignment="1">
      <x:alignment vertical="top" wrapText="1"/>
    </x:xf>
    <x:xf numFmtId="0" fontId="2" fillId="0" borderId="136" xfId="0" applyNumberFormat="1" applyFont="1" applyFill="1" applyBorder="1" applyAlignment="1">
      <x:alignment vertical="top" wrapText="1"/>
    </x:xf>
    <x:xf numFmtId="0" fontId="2" fillId="0" borderId="137" xfId="0" applyNumberFormat="1" applyFont="1" applyFill="1" applyBorder="1" applyAlignment="1">
      <x:alignment wrapText="1"/>
    </x:xf>
    <x:xf numFmtId="0" fontId="2" fillId="0" borderId="138" xfId="0" applyNumberFormat="1" applyFont="1" applyFill="1" applyBorder="1" applyAlignment="1">
      <x:alignment wrapText="1"/>
    </x:xf>
    <x:xf numFmtId="0" fontId="2" fillId="0" borderId="139" xfId="0" applyNumberFormat="1" applyFont="1" applyFill="1" applyBorder="1" applyAlignment="1">
      <x:alignment wrapText="1"/>
    </x:xf>
    <x:xf numFmtId="0" fontId="21" fillId="3" borderId="140" xfId="1"/>
    <x:xf numFmtId="0" fontId="22" fillId="3" borderId="140" xfId="1" applyNumberFormat="1" applyFont="1" applyFill="1" applyBorder="1"/>
    <x:xf numFmtId="0" fontId="23" fillId="3" borderId="140" xfId="1" applyNumberFormat="1" applyFont="1" applyFill="1" applyBorder="1"/>
    <x:xf numFmtId="0" fontId="23" fillId="3" borderId="140" xfId="1" applyNumberFormat="1" applyFont="1" applyFill="1" applyBorder="1" applyAlignment="1">
      <x:alignment vertical="top"/>
    </x:xf>
    <x:xf numFmtId="0" fontId="23" fillId="3" borderId="140" xfId="1" applyNumberFormat="1" applyFont="1" applyFill="1" applyBorder="1" applyAlignment="1">
      <x:alignment vertical="top" wrapText="1"/>
    </x:xf>
    <x:xf numFmtId="0" fontId="24" fillId="3" borderId="140" xfId="1" applyNumberFormat="1" applyFont="1" applyFill="1" applyBorder="1" applyAlignment="1">
      <x:alignment vertical="top" wrapText="1"/>
    </x:xf>
    <x:xf numFmtId="0" fontId="25" fillId="3" borderId="140" xfId="1" applyNumberFormat="1" applyFont="1" applyFill="1" applyBorder="1" applyAlignment="1">
      <x:alignment vertical="top" wrapText="1"/>
    </x:xf>
    <x:xf numFmtId="0" fontId="25" fillId="3" borderId="140" xfId="1" applyNumberFormat="1" applyFont="1" applyFill="1" applyBorder="1" applyAlignment="1">
      <x:alignment vertical="top" wrapText="0"/>
    </x:xf>
    <x:xf numFmtId="0" fontId="23" fillId="3" borderId="140" xfId="1" applyNumberFormat="1" applyFont="1" applyFill="1" applyBorder="1" applyAlignment="1">
      <x:alignment vertical="top" wrapText="0"/>
    </x:xf>
    <x:xf numFmtId="0" fontId="23" fillId="5" borderId="140" xfId="1" applyNumberFormat="1" applyFont="1" applyFill="1" applyBorder="1" applyAlignment="1">
      <x:alignment vertical="top" wrapText="1"/>
    </x:xf>
    <x:xf numFmtId="0" fontId="24" fillId="5" borderId="140" xfId="1" applyNumberFormat="1" applyFont="1" applyFill="1" applyBorder="1" applyAlignment="1">
      <x:alignment vertical="top" wrapText="1"/>
    </x:xf>
    <x:xf numFmtId="0" fontId="24" fillId="5" borderId="140" xfId="1" applyNumberFormat="1" applyFont="1" applyFill="1" applyBorder="1" applyAlignment="1">
      <x:alignment horizontal="center" vertical="top" wrapText="1"/>
    </x:xf>
    <x:xf numFmtId="0" fontId="24" fillId="5" borderId="141" xfId="1" applyNumberFormat="1" applyFont="1" applyFill="1" applyBorder="1" applyAlignment="1">
      <x:alignment horizontal="center" vertical="top" wrapText="1"/>
    </x:xf>
    <x:xf numFmtId="0" fontId="24" fillId="5" borderId="142" xfId="1" applyNumberFormat="1" applyFont="1" applyFill="1" applyBorder="1" applyAlignment="1">
      <x:alignment horizontal="center" vertical="top" wrapText="1"/>
    </x:xf>
    <x:xf numFmtId="0" fontId="24" fillId="5" borderId="143" xfId="1" applyNumberFormat="1" applyFont="1" applyFill="1" applyBorder="1" applyAlignment="1">
      <x:alignment horizontal="center" vertical="top" wrapText="1"/>
    </x:xf>
    <x:xf numFmtId="0" fontId="24" fillId="3" borderId="144" xfId="1" applyNumberFormat="1" applyFont="1" applyFill="1" applyBorder="1" applyAlignment="1">
      <x:alignment vertical="top" wrapText="1"/>
    </x:xf>
    <x:xf numFmtId="0" fontId="23" fillId="3" borderId="145" xfId="1" applyNumberFormat="1" applyFont="1" applyFill="1" applyBorder="1" applyAlignment="1">
      <x:alignment vertical="top" wrapText="1"/>
    </x:xf>
    <x:xf numFmtId="0" fontId="24" fillId="3" borderId="146" xfId="1" applyNumberFormat="1" applyFont="1" applyFill="1" applyBorder="1" applyAlignment="1">
      <x:alignment vertical="top" wrapText="1"/>
    </x:xf>
    <x:xf numFmtId="0" fontId="23" fillId="3" borderId="147" xfId="1" applyNumberFormat="1" applyFont="1" applyFill="1" applyBorder="1" applyAlignment="1">
      <x:alignment vertical="top" wrapText="1"/>
    </x:xf>
    <x:xf numFmtId="205" fontId="23" fillId="3" borderId="140" xfId="1" applyNumberFormat="1" applyFont="1" applyFill="1" applyBorder="1" applyAlignment="1">
      <x:alignment vertical="top" wrapText="1"/>
    </x:xf>
    <x:xf numFmtId="0" fontId="26" fillId="3" borderId="140" xfId="1" applyNumberFormat="1" applyFont="1" applyFill="1" applyBorder="1" applyAlignment="1">
      <x:alignment vertical="top" wrapText="1"/>
    </x:xf>
    <x:xf numFmtId="205" fontId="26" fillId="3" borderId="140" xfId="1" applyNumberFormat="1" applyFont="1" applyFill="1" applyBorder="1" applyAlignment="1">
      <x:alignment vertical="top" wrapText="1"/>
    </x:xf>
    <x:xf numFmtId="205" fontId="27" fillId="3" borderId="140" xfId="1" applyNumberFormat="1" applyFont="1" applyFill="1" applyBorder="1" applyAlignment="1">
      <x:alignment vertical="top" wrapText="1"/>
    </x:xf>
    <x:xf numFmtId="0" fontId="26" fillId="3" borderId="144" xfId="1" applyNumberFormat="1" applyFont="1" applyFill="1" applyBorder="1" applyAlignment="1">
      <x:alignment vertical="top" wrapText="1"/>
    </x:xf>
    <x:xf numFmtId="205" fontId="27" fillId="3" borderId="145" xfId="1" applyNumberFormat="1" applyFont="1" applyFill="1" applyBorder="1" applyAlignment="1">
      <x:alignment vertical="top" wrapText="1"/>
    </x:xf>
    <x:xf numFmtId="0" fontId="23" fillId="3" borderId="144" xfId="1" applyNumberFormat="1" applyFont="1" applyFill="1" applyBorder="1" applyAlignment="1">
      <x:alignment vertical="top" wrapText="1"/>
    </x:xf>
    <x:xf numFmtId="0" fontId="23" fillId="3" borderId="146" xfId="1" applyNumberFormat="1" applyFont="1" applyFill="1" applyBorder="1" applyAlignment="1">
      <x:alignment vertical="top" wrapText="1"/>
    </x:xf>
    <x:xf numFmtId="0" fontId="28" fillId="3" borderId="140" xfId="1" applyNumberFormat="1" applyFont="1" applyFill="1" applyBorder="1"/>
    <x:xf numFmtId="206" fontId="28" fillId="3" borderId="140" xfId="1" applyNumberFormat="1" applyFont="1" applyFill="1" applyBorder="1"/>
    <x:xf numFmtId="207" fontId="21" fillId="3" borderId="140" xfId="1" applyNumberFormat="1" applyFont="1" applyFill="1" applyBorder="1"/>
    <x:xf numFmtId="206" fontId="21" fillId="3" borderId="140" xfId="1" applyNumberFormat="1" applyFont="1" applyFill="1" applyBorder="1"/>
    <x:xf numFmtId="205" fontId="21" fillId="3" borderId="140" xfId="1" applyNumberFormat="1" applyFont="1" applyFill="1" applyBorder="1"/>
    <x:xf numFmtId="208" fontId="21" fillId="3" borderId="140" xfId="1" applyNumberFormat="1" applyFont="1" applyFill="1" applyBorder="1"/>
    <x:xf numFmtId="0" fontId="29" fillId="3" borderId="140" xfId="1" applyNumberFormat="1" applyFont="1" applyFill="1" applyBorder="1"/>
    <x:xf numFmtId="0" fontId="30" fillId="3" borderId="140" xfId="1" applyNumberFormat="1" applyFont="1" applyFill="1" applyBorder="1"/>
    <x:xf numFmtId="209" fontId="29" fillId="3" borderId="140" xfId="1" applyNumberFormat="1" applyFont="1" applyFill="1" applyBorder="1"/>
    <x:xf numFmtId="205" fontId="30" fillId="3" borderId="140" xfId="1" applyNumberFormat="1" applyFont="1" applyFill="1" applyBorder="1"/>
    <x:xf numFmtId="206" fontId="22" fillId="3" borderId="140" xfId="1" applyNumberFormat="1" applyFont="1" applyFill="1" applyBorder="1"/>
    <x:xf numFmtId="207" fontId="22" fillId="3" borderId="140" xfId="1" applyNumberFormat="1" applyFont="1" applyFill="1" applyBorder="1"/>
    <x:xf numFmtId="205" fontId="22" fillId="3" borderId="140" xfId="1" applyNumberFormat="1" applyFont="1" applyFill="1" applyBorder="1"/>
    <x:xf numFmtId="208" fontId="22" fillId="3" borderId="140" xfId="1" applyNumberFormat="1" applyFont="1" applyFill="1" applyBorder="1"/>
    <x:xf numFmtId="205" fontId="31" fillId="3" borderId="140" xfId="1" applyNumberFormat="1" applyFont="1" applyFill="1" applyBorder="1"/>
    <x:xf numFmtId="0" fontId="32" fillId="3" borderId="140" xfId="1" applyNumberFormat="1" applyFont="1" applyFill="1" applyBorder="1"/>
    <x:xf numFmtId="206" fontId="23" fillId="3" borderId="140" xfId="1" applyNumberFormat="1" applyFont="1" applyFill="1" applyBorder="1"/>
    <x:xf numFmtId="207" fontId="23" fillId="3" borderId="140" xfId="1" applyNumberFormat="1" applyFont="1" applyFill="1" applyBorder="1"/>
    <x:xf numFmtId="205" fontId="23" fillId="3" borderId="140" xfId="1" applyNumberFormat="1" applyFont="1" applyFill="1" applyBorder="1"/>
    <x:xf numFmtId="208" fontId="23" fillId="3" borderId="140" xfId="1" applyNumberFormat="1" applyFont="1" applyFill="1" applyBorder="1"/>
    <x:xf numFmtId="205" fontId="33" fillId="3" borderId="140" xfId="1" applyNumberFormat="1" applyFont="1" applyFill="1" applyBorder="1"/>
    <x:xf numFmtId="0" fontId="34" fillId="3" borderId="140" xfId="1" applyNumberFormat="1" applyFont="1" applyFill="1" applyBorder="1"/>
    <x:xf numFmtId="206" fontId="23" fillId="3" borderId="140" xfId="1" applyNumberFormat="1" applyFont="1" applyFill="1" applyBorder="1" applyAlignment="1">
      <x:alignment vertical="top"/>
    </x:xf>
    <x:xf numFmtId="207" fontId="23" fillId="3" borderId="140" xfId="1" applyNumberFormat="1" applyFont="1" applyFill="1" applyBorder="1" applyAlignment="1">
      <x:alignment vertical="top"/>
    </x:xf>
    <x:xf numFmtId="205" fontId="23" fillId="3" borderId="140" xfId="1" applyNumberFormat="1" applyFont="1" applyFill="1" applyBorder="1" applyAlignment="1">
      <x:alignment vertical="top"/>
    </x:xf>
    <x:xf numFmtId="208" fontId="23" fillId="3" borderId="140" xfId="1" applyNumberFormat="1" applyFont="1" applyFill="1" applyBorder="1" applyAlignment="1">
      <x:alignment vertical="top"/>
    </x:xf>
    <x:xf numFmtId="205" fontId="33" fillId="3" borderId="140" xfId="1" applyNumberFormat="1" applyFont="1" applyFill="1" applyBorder="1" applyAlignment="1">
      <x:alignment vertical="top"/>
    </x:xf>
    <x:xf numFmtId="0" fontId="34" fillId="3" borderId="140" xfId="1" applyNumberFormat="1" applyFont="1" applyFill="1" applyBorder="1" applyAlignment="1">
      <x:alignment vertical="top"/>
    </x:xf>
    <x:xf numFmtId="206" fontId="23" fillId="3" borderId="140" xfId="1" applyNumberFormat="1" applyFont="1" applyFill="1" applyBorder="1" applyAlignment="1">
      <x:alignment vertical="top" wrapText="1"/>
    </x:xf>
    <x:xf numFmtId="207" fontId="23" fillId="3" borderId="140" xfId="1" applyNumberFormat="1" applyFont="1" applyFill="1" applyBorder="1" applyAlignment="1">
      <x:alignment vertical="top" wrapText="1"/>
    </x:xf>
    <x:xf numFmtId="208" fontId="23" fillId="3" borderId="140" xfId="1" applyNumberFormat="1" applyFont="1" applyFill="1" applyBorder="1" applyAlignment="1">
      <x:alignment vertical="top" wrapText="1"/>
    </x:xf>
    <x:xf numFmtId="205" fontId="33" fillId="3" borderId="140" xfId="1" applyNumberFormat="1" applyFont="1" applyFill="1" applyBorder="1" applyAlignment="1">
      <x:alignment vertical="top" wrapText="1"/>
    </x:xf>
    <x:xf numFmtId="0" fontId="34" fillId="3" borderId="140" xfId="1" applyNumberFormat="1" applyFont="1" applyFill="1" applyBorder="1" applyAlignment="1">
      <x:alignment vertical="top" wrapText="1"/>
    </x:xf>
    <x:xf numFmtId="0" fontId="31" fillId="3" borderId="140" xfId="1" applyNumberFormat="1" applyFont="1" applyFill="1" applyBorder="1"/>
    <x:xf numFmtId="209" fontId="32" fillId="3" borderId="140" xfId="1" applyNumberFormat="1" applyFont="1" applyFill="1" applyBorder="1"/>
    <x:xf numFmtId="0" fontId="33" fillId="3" borderId="140" xfId="1" applyNumberFormat="1" applyFont="1" applyFill="1" applyBorder="1"/>
    <x:xf numFmtId="209" fontId="34" fillId="3" borderId="140" xfId="1" applyNumberFormat="1" applyFont="1" applyFill="1" applyBorder="1"/>
    <x:xf numFmtId="0" fontId="33" fillId="3" borderId="140" xfId="1" applyNumberFormat="1" applyFont="1" applyFill="1" applyBorder="1" applyAlignment="1">
      <x:alignment vertical="top"/>
    </x:xf>
    <x:xf numFmtId="209" fontId="34" fillId="3" borderId="140" xfId="1" applyNumberFormat="1" applyFont="1" applyFill="1" applyBorder="1" applyAlignment="1">
      <x:alignment vertical="top"/>
    </x:xf>
    <x:xf numFmtId="0" fontId="33" fillId="3" borderId="140" xfId="1" applyNumberFormat="1" applyFont="1" applyFill="1" applyBorder="1" applyAlignment="1">
      <x:alignment vertical="top" wrapText="1"/>
    </x:xf>
    <x:xf numFmtId="209" fontId="34" fillId="3" borderId="140" xfId="1" applyNumberFormat="1" applyFont="1" applyFill="1" applyBorder="1" applyAlignment="1">
      <x:alignment vertical="top" wrapText="1"/>
    </x:xf>
    <x:xf numFmtId="206" fontId="35" fillId="3" borderId="140" xfId="1" applyNumberFormat="1" applyFont="1" applyFill="1" applyBorder="1"/>
    <x:xf numFmtId="206" fontId="36" fillId="3" borderId="140" xfId="1" applyNumberFormat="1" applyFont="1" applyFill="1" applyBorder="1"/>
    <x:xf numFmtId="206" fontId="36" fillId="3" borderId="140" xfId="1" applyNumberFormat="1" applyFont="1" applyFill="1" applyBorder="1" applyAlignment="1">
      <x:alignment vertical="top"/>
    </x:xf>
    <x:xf numFmtId="206" fontId="36" fillId="3" borderId="140" xfId="1" applyNumberFormat="1" applyFont="1" applyFill="1" applyBorder="1" applyAlignment="1">
      <x:alignment vertical="top" wrapText="1"/>
    </x:xf>
    <x:xf numFmtId="0" fontId="23" fillId="3" borderId="148" xfId="1" applyNumberFormat="1" applyFont="1" applyFill="1" applyBorder="1" applyAlignment="1">
      <x:alignment vertical="top" wrapText="1"/>
    </x:xf>
    <x:xf numFmtId="0" fontId="23" fillId="3" borderId="149" xfId="1" applyNumberFormat="1" applyFont="1" applyFill="1" applyBorder="1" applyAlignment="1">
      <x:alignment vertical="top" wrapText="1"/>
    </x:xf>
    <x:xf numFmtId="0" fontId="23" fillId="3" borderId="150" xfId="1" applyNumberFormat="1" applyFont="1" applyFill="1" applyBorder="1" applyAlignment="1">
      <x:alignment vertical="top" wrapText="1"/>
    </x:xf>
    <x:xf numFmtId="206" fontId="23" fillId="3" borderId="151" xfId="1" applyNumberFormat="1" applyFont="1" applyFill="1" applyBorder="1" applyAlignment="1">
      <x:alignment vertical="top" wrapText="1"/>
    </x:xf>
    <x:xf numFmtId="207" fontId="23" fillId="3" borderId="151" xfId="1" applyNumberFormat="1" applyFont="1" applyFill="1" applyBorder="1" applyAlignment="1">
      <x:alignment vertical="top" wrapText="1"/>
    </x:xf>
    <x:xf numFmtId="205" fontId="23" fillId="3" borderId="151" xfId="1" applyNumberFormat="1" applyFont="1" applyFill="1" applyBorder="1" applyAlignment="1">
      <x:alignment vertical="top" wrapText="1"/>
    </x:xf>
    <x:xf numFmtId="208" fontId="23" fillId="3" borderId="151" xfId="1" applyNumberFormat="1" applyFont="1" applyFill="1" applyBorder="1" applyAlignment="1">
      <x:alignment vertical="top" wrapText="1"/>
    </x:xf>
    <x:xf numFmtId="205" fontId="33" fillId="3" borderId="152" xfId="1" applyNumberFormat="1" applyFont="1" applyFill="1" applyBorder="1" applyAlignment="1">
      <x:alignment vertical="top" wrapText="1"/>
    </x:xf>
    <x:xf numFmtId="207" fontId="23" fillId="3" borderId="152" xfId="1" applyNumberFormat="1" applyFont="1" applyFill="1" applyBorder="1" applyAlignment="1">
      <x:alignment vertical="top" wrapText="1"/>
    </x:xf>
    <x:xf numFmtId="0" fontId="34" fillId="3" borderId="144" xfId="1" applyNumberFormat="1" applyFont="1" applyFill="1" applyBorder="1" applyAlignment="1">
      <x:alignment vertical="top" wrapText="1"/>
    </x:xf>
    <x:xf numFmtId="0" fontId="34" fillId="3" borderId="151" xfId="1" applyNumberFormat="1" applyFont="1" applyFill="1" applyBorder="1" applyAlignment="1">
      <x:alignment vertical="top" wrapText="1"/>
    </x:xf>
    <x:xf numFmtId="0" fontId="34" fillId="3" borderId="145" xfId="1" applyNumberFormat="1" applyFont="1" applyFill="1" applyBorder="1" applyAlignment="1">
      <x:alignment vertical="top" wrapText="1"/>
    </x:xf>
    <x:xf numFmtId="0" fontId="34" fillId="3" borderId="146" xfId="1" applyNumberFormat="1" applyFont="1" applyFill="1" applyBorder="1" applyAlignment="1">
      <x:alignment vertical="top" wrapText="1"/>
    </x:xf>
    <x:xf numFmtId="0" fontId="34" fillId="3" borderId="152" xfId="1" applyNumberFormat="1" applyFont="1" applyFill="1" applyBorder="1" applyAlignment="1">
      <x:alignment vertical="top" wrapText="1"/>
    </x:xf>
    <x:xf numFmtId="0" fontId="34" fillId="3" borderId="147" xfId="1" applyNumberFormat="1" applyFont="1" applyFill="1" applyBorder="1" applyAlignment="1">
      <x:alignment vertical="top" wrapText="1"/>
    </x:xf>
    <x:xf numFmtId="0" fontId="23" fillId="5" borderId="148" xfId="1" applyNumberFormat="1" applyFont="1" applyFill="1" applyBorder="1" applyAlignment="1">
      <x:alignment vertical="top" wrapText="1"/>
    </x:xf>
    <x:xf numFmtId="0" fontId="23" fillId="5" borderId="149" xfId="1" applyNumberFormat="1" applyFont="1" applyFill="1" applyBorder="1" applyAlignment="1">
      <x:alignment vertical="top" wrapText="1"/>
    </x:xf>
    <x:xf numFmtId="0" fontId="23" fillId="5" borderId="150" xfId="1" applyNumberFormat="1" applyFont="1" applyFill="1" applyBorder="1" applyAlignment="1">
      <x:alignment vertical="top" wrapText="1"/>
    </x:xf>
    <x:xf numFmtId="0" fontId="24" fillId="5" borderId="148" xfId="1" applyNumberFormat="1" applyFont="1" applyFill="1" applyBorder="1" applyAlignment="1">
      <x:alignment vertical="top" wrapText="1"/>
    </x:xf>
    <x:xf numFmtId="0" fontId="24" fillId="5" borderId="149" xfId="1" applyNumberFormat="1" applyFont="1" applyFill="1" applyBorder="1" applyAlignment="1">
      <x:alignment vertical="top" wrapText="1"/>
    </x:xf>
    <x:xf numFmtId="0" fontId="24" fillId="5" borderId="150" xfId="1" applyNumberFormat="1" applyFont="1" applyFill="1" applyBorder="1" applyAlignment="1">
      <x:alignment vertical="top" wrapText="1"/>
    </x:xf>
    <x:xf numFmtId="0" fontId="24" fillId="5" borderId="148" xfId="1" applyNumberFormat="1" applyFont="1" applyFill="1" applyBorder="1" applyAlignment="1">
      <x:alignment horizontal="center" vertical="top" wrapText="1"/>
    </x:xf>
    <x:xf numFmtId="0" fontId="24" fillId="5" borderId="149" xfId="1" applyNumberFormat="1" applyFont="1" applyFill="1" applyBorder="1" applyAlignment="1">
      <x:alignment horizontal="center" vertical="top" wrapText="1"/>
    </x:xf>
    <x:xf numFmtId="0" fontId="24" fillId="5" borderId="150" xfId="1" applyNumberFormat="1" applyFont="1" applyFill="1" applyBorder="1" applyAlignment="1">
      <x:alignment horizontal="center" vertical="top" wrapText="1"/>
    </x:xf>
    <x:xf numFmtId="0" fontId="24" fillId="5" borderId="153" xfId="1" applyNumberFormat="1" applyFont="1" applyFill="1" applyBorder="1" applyAlignment="1">
      <x:alignment horizontal="center" vertical="top" wrapText="1"/>
    </x:xf>
    <x:xf numFmtId="206" fontId="24" fillId="3" borderId="151" xfId="1" applyNumberFormat="1" applyFont="1" applyFill="1" applyBorder="1" applyAlignment="1">
      <x:alignment vertical="top" wrapText="1"/>
    </x:xf>
    <x:xf numFmtId="207" fontId="24" fillId="3" borderId="151" xfId="1" applyNumberFormat="1" applyFont="1" applyFill="1" applyBorder="1" applyAlignment="1">
      <x:alignment vertical="top" wrapText="1"/>
    </x:xf>
    <x:xf numFmtId="0" fontId="24" fillId="3" borderId="145" xfId="1" applyNumberFormat="1" applyFont="1" applyFill="1" applyBorder="1" applyAlignment="1">
      <x:alignment vertical="top" wrapText="1"/>
    </x:xf>
    <x:xf numFmtId="0" fontId="24" fillId="3" borderId="148" xfId="1" applyNumberFormat="1" applyFont="1" applyFill="1" applyBorder="1" applyAlignment="1">
      <x:alignment vertical="top" wrapText="1"/>
    </x:xf>
    <x:xf numFmtId="206" fontId="24" fillId="3" borderId="149" xfId="1" applyNumberFormat="1" applyFont="1" applyFill="1" applyBorder="1" applyAlignment="1">
      <x:alignment vertical="top" wrapText="1"/>
    </x:xf>
    <x:xf numFmtId="207" fontId="24" fillId="3" borderId="149" xfId="1" applyNumberFormat="1" applyFont="1" applyFill="1" applyBorder="1" applyAlignment="1">
      <x:alignment vertical="top" wrapText="1"/>
    </x:xf>
    <x:xf numFmtId="0" fontId="24" fillId="3" borderId="150" xfId="1" applyNumberFormat="1" applyFont="1" applyFill="1" applyBorder="1" applyAlignment="1">
      <x:alignment vertical="top" wrapText="1"/>
    </x:xf>
    <x:xf numFmtId="0" fontId="37" fillId="3" borderId="145" xfId="1" applyNumberFormat="1" applyFont="1" applyFill="1" applyBorder="1" applyAlignment="1">
      <x:alignment vertical="top" wrapText="1"/>
    </x:xf>
    <x:xf numFmtId="0" fontId="37" fillId="3" borderId="150" xfId="1" applyNumberFormat="1" applyFont="1" applyFill="1" applyBorder="1" applyAlignment="1">
      <x:alignment vertical="top" wrapText="1"/>
    </x:xf>
    <x:xf numFmtId="206" fontId="36" fillId="3" borderId="151" xfId="1" applyNumberFormat="1" applyFont="1" applyFill="1" applyBorder="1" applyAlignment="1">
      <x:alignment vertical="top" wrapText="1"/>
    </x:xf>
    <x:xf numFmtId="0" fontId="23" fillId="3" borderId="151" xfId="1" applyNumberFormat="1" applyFont="1" applyFill="1" applyBorder="1" applyAlignment="1">
      <x:alignment vertical="top" wrapText="1"/>
    </x:xf>
    <x:xf numFmtId="206" fontId="36" fillId="3" borderId="152" xfId="1" applyNumberFormat="1" applyFont="1" applyFill="1" applyBorder="1" applyAlignment="1">
      <x:alignment vertical="top" wrapText="1"/>
    </x:xf>
    <x:xf numFmtId="0" fontId="23" fillId="3" borderId="152" xfId="1" applyNumberFormat="1" applyFont="1" applyFill="1" applyBorder="1" applyAlignment="1">
      <x:alignment vertical="top" wrapText="1"/>
    </x:xf>
    <x:xf numFmtId="0" fontId="38" fillId="3" borderId="140" xfId="1" applyNumberFormat="1" applyFont="1" applyFill="1" applyBorder="1" applyAlignment="1">
      <x:alignment vertical="top" wrapText="1"/>
    </x:xf>
    <x:xf numFmtId="0" fontId="33" fillId="3" borderId="151" xfId="1" applyNumberFormat="1" applyFont="1" applyFill="1" applyBorder="1" applyAlignment="1">
      <x:alignment vertical="top" wrapText="1"/>
    </x:xf>
    <x:xf numFmtId="0" fontId="33" fillId="3" borderId="152" xfId="1" applyNumberFormat="1" applyFont="1" applyFill="1" applyBorder="1" applyAlignment="1">
      <x:alignment vertical="top" wrapText="1"/>
    </x:xf>
    <x:xf numFmtId="0" fontId="34" fillId="3" borderId="149" xfId="1" applyNumberFormat="1" applyFont="1" applyFill="1" applyBorder="1" applyAlignment="1">
      <x:alignment vertical="top" wrapText="1"/>
    </x:xf>
    <x:xf numFmtId="0" fontId="39" fillId="3" borderId="151" xfId="1" applyNumberFormat="1" applyFont="1" applyFill="1" applyBorder="1" applyAlignment="1">
      <x:alignment vertical="top" wrapText="1"/>
    </x:xf>
    <x:xf numFmtId="0" fontId="24" fillId="3" borderId="151" xfId="1" applyNumberFormat="1" applyFont="1" applyFill="1" applyBorder="1" applyAlignment="1">
      <x:alignment vertical="top" wrapText="1"/>
    </x:xf>
    <x:xf numFmtId="0" fontId="39" fillId="3" borderId="149" xfId="1" applyNumberFormat="1" applyFont="1" applyFill="1" applyBorder="1" applyAlignment="1">
      <x:alignment vertical="top" wrapText="1"/>
    </x:xf>
    <x:xf numFmtId="0" fontId="24" fillId="3" borderId="149" xfId="1" applyNumberFormat="1" applyFont="1" applyFill="1" applyBorder="1" applyAlignment="1">
      <x:alignment vertical="top" wrapText="1"/>
    </x:xf>
    <x:xf numFmtId="0" fontId="39" fillId="3" borderId="152" xfId="1" applyNumberFormat="1" applyFont="1" applyFill="1" applyBorder="1" applyAlignment="1">
      <x:alignment vertical="top" wrapText="1"/>
    </x:xf>
    <x:xf numFmtId="0" fontId="24" fillId="3" borderId="152" xfId="1" applyNumberFormat="1" applyFont="1" applyFill="1" applyBorder="1" applyAlignment="1">
      <x:alignment vertical="top" wrapText="1"/>
    </x:xf>
    <x:xf numFmtId="0" fontId="24" fillId="3" borderId="147" xfId="1" applyNumberFormat="1" applyFont="1" applyFill="1" applyBorder="1" applyAlignment="1">
      <x:alignment vertical="top" wrapText="1"/>
    </x:xf>
    <x:xf numFmtId="0" fontId="24" fillId="3" borderId="142" xfId="1" applyNumberFormat="1" applyFont="1" applyFill="1" applyBorder="1" applyAlignment="1">
      <x:alignment vertical="top" wrapText="1"/>
    </x:xf>
    <x:xf numFmtId="0" fontId="39" fillId="3" borderId="153" xfId="1" applyNumberFormat="1" applyFont="1" applyFill="1" applyBorder="1" applyAlignment="1">
      <x:alignment vertical="top" wrapText="1"/>
    </x:xf>
    <x:xf numFmtId="0" fontId="24" fillId="3" borderId="153" xfId="1" applyNumberFormat="1" applyFont="1" applyFill="1" applyBorder="1" applyAlignment="1">
      <x:alignment vertical="top" wrapText="1"/>
    </x:xf>
    <x:xf numFmtId="0" fontId="24" fillId="3" borderId="143" xfId="1" applyNumberFormat="1" applyFont="1" applyFill="1" applyBorder="1" applyAlignment="1">
      <x:alignment vertical="top" wrapText="1"/>
    </x:xf>
    <x:xf numFmtId="206" fontId="34" fillId="3" borderId="151" xfId="1" applyNumberFormat="1" applyFont="1" applyFill="1" applyBorder="1" applyAlignment="1">
      <x:alignment vertical="top" wrapText="1"/>
    </x:xf>
    <x:xf numFmtId="206" fontId="39" fillId="3" borderId="149" xfId="1" applyNumberFormat="1" applyFont="1" applyFill="1" applyBorder="1" applyAlignment="1">
      <x:alignment vertical="top" wrapText="1"/>
    </x:xf>
    <x:xf numFmtId="206" fontId="39" fillId="3" borderId="153" xfId="1" applyNumberFormat="1" applyFont="1" applyFill="1" applyBorder="1" applyAlignment="1">
      <x:alignment vertical="top" wrapText="1"/>
    </x:xf>
    <x:xf numFmtId="206" fontId="24" fillId="5" borderId="153" xfId="1" applyNumberFormat="1" applyFont="1" applyFill="1" applyBorder="1" applyAlignment="1">
      <x:alignment horizontal="center" vertical="top" wrapText="1"/>
    </x:xf>
    <x:xf numFmtId="206" fontId="34" fillId="3" borderId="152" xfId="1" applyNumberFormat="1" applyFont="1" applyFill="1" applyBorder="1" applyAlignment="1">
      <x:alignment vertical="top" wrapText="1"/>
    </x:xf>
    <x:xf numFmtId="206" fontId="34" fillId="3" borderId="149" xfId="1" applyNumberFormat="1" applyFont="1" applyFill="1" applyBorder="1" applyAlignment="1">
      <x:alignment vertical="top" wrapText="1"/>
    </x:xf>
    <x:xf numFmtId="206" fontId="23" fillId="3" borderId="152" xfId="1" applyNumberFormat="1" applyFont="1" applyFill="1" applyBorder="1" applyAlignment="1">
      <x:alignment vertical="top" wrapText="1"/>
    </x:xf>
    <x:xf numFmtId="0" fontId="36" fillId="3" borderId="151" xfId="1" applyNumberFormat="1" applyFont="1" applyFill="1" applyBorder="1" applyAlignment="1">
      <x:alignment vertical="top" wrapText="1"/>
    </x:xf>
    <x:xf numFmtId="0" fontId="36" fillId="3" borderId="152" xfId="1" applyNumberFormat="1" applyFont="1" applyFill="1" applyBorder="1" applyAlignment="1">
      <x:alignment vertical="top" wrapText="1"/>
    </x:xf>
    <x:xf numFmtId="209" fontId="34" fillId="3" borderId="145" xfId="1" applyNumberFormat="1" applyFont="1" applyFill="1" applyBorder="1" applyAlignment="1">
      <x:alignment vertical="top" wrapText="1"/>
    </x:xf>
    <x:xf numFmtId="207" fontId="34" fillId="3" borderId="151" xfId="1" applyNumberFormat="1" applyFont="1" applyFill="1" applyBorder="1" applyAlignment="1">
      <x:alignment vertical="top" wrapText="1"/>
    </x:xf>
    <x:xf numFmtId="209" fontId="23" fillId="3" borderId="140" xfId="1" applyNumberFormat="1" applyFont="1" applyFill="1" applyBorder="1" applyAlignment="1">
      <x:alignment vertical="top" wrapText="1"/>
    </x:xf>
    <x:xf numFmtId="209" fontId="36" fillId="3" borderId="140" xfId="1" applyNumberFormat="1" applyFont="1" applyFill="1" applyBorder="1" applyAlignment="1">
      <x:alignment vertical="top" wrapText="1"/>
    </x:xf>
    <x:xf numFmtId="209" fontId="36" fillId="3" borderId="144" xfId="1" applyNumberFormat="1" applyFont="1" applyFill="1" applyBorder="1" applyAlignment="1">
      <x:alignment vertical="top" wrapText="1"/>
    </x:xf>
    <x:xf numFmtId="209" fontId="36" fillId="3" borderId="145" xfId="1" applyNumberFormat="1" applyFont="1" applyFill="1" applyBorder="1" applyAlignment="1">
      <x:alignment vertical="top" wrapText="1"/>
    </x:xf>
    <x:xf numFmtId="209" fontId="36" fillId="3" borderId="146" xfId="1" applyNumberFormat="1" applyFont="1" applyFill="1" applyBorder="1" applyAlignment="1">
      <x:alignment vertical="top" wrapText="1"/>
    </x:xf>
    <x:xf numFmtId="209" fontId="36" fillId="3" borderId="147" xfId="1" applyNumberFormat="1" applyFont="1" applyFill="1" applyBorder="1" applyAlignment="1">
      <x:alignment vertical="top" wrapText="1"/>
    </x:xf>
    <x:xf numFmtId="0" fontId="40" fillId="3" borderId="140" xfId="1" applyNumberFormat="1" applyFont="1" applyFill="1" applyBorder="1" applyAlignment="1">
      <x:alignment vertical="top" wrapText="1"/>
    </x:xf>
    <x:xf numFmtId="206" fontId="34" fillId="3" borderId="140" xfId="1" applyNumberFormat="1" applyFont="1" applyFill="1" applyBorder="1" applyAlignment="1">
      <x:alignment vertical="top" wrapText="1"/>
    </x:xf>
    <x:xf numFmtId="206" fontId="34" fillId="3" borderId="145" xfId="1" applyNumberFormat="1" applyFont="1" applyFill="1" applyBorder="1" applyAlignment="1">
      <x:alignment vertical="top" wrapText="1"/>
    </x:xf>
    <x:xf numFmtId="206" fontId="23" fillId="3" borderId="145" xfId="1" applyNumberFormat="1" applyFont="1" applyFill="1" applyBorder="1" applyAlignment="1">
      <x:alignment vertical="top" wrapText="1"/>
    </x:xf>
    <x:xf numFmtId="206" fontId="23" fillId="3" borderId="147" xfId="1" applyNumberFormat="1" applyFont="1" applyFill="1" applyBorder="1" applyAlignment="1">
      <x:alignment vertical="top" wrapText="1"/>
    </x:xf>
    <x:xf numFmtId="0" fontId="23" fillId="3" borderId="142" xfId="1" applyNumberFormat="1" applyFont="1" applyFill="1" applyBorder="1" applyAlignment="1">
      <x:alignment vertical="top" wrapText="1"/>
    </x:xf>
    <x:xf numFmtId="206" fontId="34" fillId="3" borderId="153" xfId="1" applyNumberFormat="1" applyFont="1" applyFill="1" applyBorder="1" applyAlignment="1">
      <x:alignment vertical="top" wrapText="1"/>
    </x:xf>
    <x:xf numFmtId="206" fontId="34" fillId="3" borderId="143" xfId="1" applyNumberFormat="1" applyFont="1" applyFill="1" applyBorder="1" applyAlignment="1">
      <x:alignment vertical="top" wrapText="1"/>
    </x:xf>
    <x:xf numFmtId="206" fontId="23" fillId="3" borderId="149" xfId="1" applyNumberFormat="1" applyFont="1" applyFill="1" applyBorder="1" applyAlignment="1">
      <x:alignment vertical="top" wrapText="1"/>
    </x:xf>
    <x:xf numFmtId="206" fontId="23" fillId="3" borderId="150" xfId="1" applyNumberFormat="1" applyFont="1" applyFill="1" applyBorder="1" applyAlignment="1">
      <x:alignment vertical="top" wrapText="1"/>
    </x:xf>
    <x:xf numFmtId="205" fontId="23" fillId="3" borderId="152" xfId="1" applyNumberFormat="1" applyFont="1" applyFill="1" applyBorder="1" applyAlignment="1">
      <x:alignment vertical="top" wrapText="1"/>
    </x:xf>
    <x:xf numFmtId="206" fontId="24" fillId="3" borderId="145" xfId="1" applyNumberFormat="1" applyFont="1" applyFill="1" applyBorder="1" applyAlignment="1">
      <x:alignment vertical="top" wrapText="1"/>
    </x:xf>
    <x:xf numFmtId="206" fontId="24" fillId="3" borderId="150" xfId="1" applyNumberFormat="1" applyFont="1" applyFill="1" applyBorder="1" applyAlignment="1">
      <x:alignment vertical="top" wrapText="1"/>
    </x:xf>
    <x:xf numFmtId="206" fontId="24" fillId="3" borderId="152" xfId="1" applyNumberFormat="1" applyFont="1" applyFill="1" applyBorder="1" applyAlignment="1">
      <x:alignment vertical="top" wrapText="1"/>
    </x:xf>
    <x:xf numFmtId="206" fontId="24" fillId="3" borderId="147" xfId="1" applyNumberFormat="1" applyFont="1" applyFill="1" applyBorder="1" applyAlignment="1">
      <x:alignment vertical="top" wrapText="1"/>
    </x:xf>
    <x:xf numFmtId="206" fontId="24" fillId="3" borderId="153" xfId="1" applyNumberFormat="1" applyFont="1" applyFill="1" applyBorder="1" applyAlignment="1">
      <x:alignment vertical="top" wrapText="1"/>
    </x:xf>
    <x:xf numFmtId="206" fontId="24" fillId="3" borderId="143" xfId="1" applyNumberFormat="1" applyFont="1" applyFill="1" applyBorder="1" applyAlignment="1">
      <x:alignment vertical="top" wrapText="1"/>
    </x:xf>
    <x:xf numFmtId="205" fontId="24" fillId="3" borderId="152" xfId="1" applyNumberFormat="1" applyFont="1" applyFill="1" applyBorder="1" applyAlignment="1">
      <x:alignment vertical="top" wrapText="1"/>
    </x:xf>
    <x:xf numFmtId="205" fontId="24" fillId="3" borderId="153" xfId="1" applyNumberFormat="1" applyFont="1" applyFill="1" applyBorder="1" applyAlignment="1">
      <x:alignment vertical="top" wrapText="1"/>
    </x:xf>
    <x:xf numFmtId="206" fontId="41" fillId="3" borderId="149" xfId="1" applyNumberFormat="1" applyFont="1" applyFill="1" applyBorder="1" applyAlignment="1">
      <x:alignment vertical="top" wrapText="1"/>
    </x:xf>
    <x:xf numFmtId="205" fontId="34" fillId="3" borderId="151" xfId="1" applyNumberFormat="1" applyFont="1" applyFill="1" applyBorder="1" applyAlignment="1">
      <x:alignment vertical="top" wrapText="1"/>
    </x:xf>
    <x:xf numFmtId="208" fontId="33" fillId="3" borderId="151" xfId="1" applyNumberFormat="1" applyFont="1" applyFill="1" applyBorder="1" applyAlignment="1">
      <x:alignment vertical="top" wrapText="1"/>
    </x:xf>
    <x:xf numFmtId="0" fontId="37" fillId="3" borderId="147" xfId="1" applyNumberFormat="1" applyFont="1" applyFill="1" applyBorder="1" applyAlignment="1">
      <x:alignment vertical="top" wrapText="1"/>
    </x:xf>
    <x:xf numFmtId="0" fontId="23" fillId="3" borderId="140" xfId="1" applyNumberFormat="1" applyFont="1" applyFill="1" applyBorder="1" applyAlignment="1">
      <x:alignment wrapText="1"/>
    </x:xf>
    <x:xf numFmtId="0" fontId="23" fillId="3" borderId="153" xfId="1" applyNumberFormat="1" applyFont="1" applyFill="1" applyBorder="1" applyAlignment="1">
      <x:alignment vertical="top" wrapText="1"/>
    </x:xf>
    <x:xf numFmtId="0" fontId="23" fillId="3" borderId="143" xfId="1" applyNumberFormat="1" applyFont="1" applyFill="1" applyBorder="1" applyAlignment="1">
      <x:alignment vertical="top" wrapText="1"/>
    </x:xf>
    <x:xf numFmtId="0" fontId="23" fillId="3" borderId="154" xfId="1" applyNumberFormat="1" applyFont="1" applyFill="1" applyBorder="1" applyAlignment="1">
      <x:alignment vertical="top" wrapText="1"/>
    </x:xf>
    <x:xf numFmtId="0" fontId="23" fillId="3" borderId="155" xfId="1" applyNumberFormat="1" applyFont="1" applyFill="1" applyBorder="1" applyAlignment="1">
      <x:alignment vertical="top" wrapText="1"/>
    </x:xf>
    <x:xf numFmtId="0" fontId="23" fillId="3" borderId="156" xfId="1" applyNumberFormat="1" applyFont="1" applyFill="1" applyBorder="1" applyAlignment="1">
      <x:alignment vertical="top" wrapText="1"/>
    </x:xf>
    <x:xf numFmtId="0" fontId="23" fillId="5" borderId="154" xfId="1" applyNumberFormat="1" applyFont="1" applyFill="1" applyBorder="1" applyAlignment="1">
      <x:alignment vertical="top" wrapText="1"/>
    </x:xf>
    <x:xf numFmtId="0" fontId="24" fillId="5" borderId="154" xfId="1" applyNumberFormat="1" applyFont="1" applyFill="1" applyBorder="1" applyAlignment="1">
      <x:alignment vertical="top" wrapText="1"/>
    </x:xf>
    <x:xf numFmtId="0" fontId="24" fillId="5" borderId="154" xfId="1" applyNumberFormat="1" applyFont="1" applyFill="1" applyBorder="1" applyAlignment="1">
      <x:alignment horizontal="center" vertical="top" wrapText="1"/>
    </x:xf>
    <x:xf numFmtId="0" fontId="24" fillId="5" borderId="157" xfId="1" applyNumberFormat="1" applyFont="1" applyFill="1" applyBorder="1" applyAlignment="1">
      <x:alignment horizontal="center" vertical="top" wrapText="1"/>
    </x:xf>
    <x:xf numFmtId="206" fontId="33" fillId="3" borderId="140" xfId="1" applyNumberFormat="1" applyFont="1" applyFill="1" applyBorder="1" applyAlignment="1">
      <x:alignment vertical="top" wrapText="1"/>
    </x:xf>
    <x:xf numFmtId="206" fontId="23" fillId="5" borderId="140" xfId="1" applyNumberFormat="1" applyFont="1" applyFill="1" applyBorder="1" applyAlignment="1">
      <x:alignment vertical="top" wrapText="1"/>
    </x:xf>
    <x:xf numFmtId="207" fontId="23" fillId="5" borderId="140" xfId="1" applyNumberFormat="1" applyFont="1" applyFill="1" applyBorder="1" applyAlignment="1">
      <x:alignment vertical="top" wrapText="1"/>
    </x:xf>
    <x:xf numFmtId="206" fontId="24" fillId="5" borderId="140" xfId="1" applyNumberFormat="1" applyFont="1" applyFill="1" applyBorder="1" applyAlignment="1">
      <x:alignment vertical="top" wrapText="1"/>
    </x:xf>
    <x:xf numFmtId="207" fontId="24" fillId="5" borderId="140" xfId="1" applyNumberFormat="1" applyFont="1" applyFill="1" applyBorder="1" applyAlignment="1">
      <x:alignment vertical="top" wrapText="1"/>
    </x:xf>
    <x:xf numFmtId="206" fontId="24" fillId="5" borderId="140" xfId="1" applyNumberFormat="1" applyFont="1" applyFill="1" applyBorder="1" applyAlignment="1">
      <x:alignment horizontal="center" vertical="top" wrapText="1"/>
    </x:xf>
    <x:xf numFmtId="207" fontId="24" fillId="5" borderId="140" xfId="1" applyNumberFormat="1" applyFont="1" applyFill="1" applyBorder="1" applyAlignment="1">
      <x:alignment horizontal="center" vertical="top" wrapText="1"/>
    </x:xf>
    <x:xf numFmtId="206" fontId="24" fillId="5" borderId="141" xfId="1" applyNumberFormat="1" applyFont="1" applyFill="1" applyBorder="1" applyAlignment="1">
      <x:alignment horizontal="center" vertical="top" wrapText="1"/>
    </x:xf>
    <x:xf numFmtId="207" fontId="24" fillId="5" borderId="141" xfId="1" applyNumberFormat="1" applyFont="1" applyFill="1" applyBorder="1" applyAlignment="1">
      <x:alignment horizontal="center" vertical="top" wrapText="1"/>
    </x:xf>
    <x:xf numFmtId="206" fontId="33" fillId="3" borderId="152" xfId="1" applyNumberFormat="1" applyFont="1" applyFill="1" applyBorder="1" applyAlignment="1">
      <x:alignment vertical="top" wrapText="1"/>
    </x:xf>
    <x:xf numFmtId="207" fontId="24" fillId="5" borderId="153" xfId="1" applyNumberFormat="1" applyFont="1" applyFill="1" applyBorder="1" applyAlignment="1">
      <x:alignment horizontal="center" vertical="top" wrapText="1"/>
    </x:xf>
    <x:xf numFmtId="206" fontId="33" fillId="3" borderId="151" xfId="1" applyNumberFormat="1" applyFont="1" applyFill="1" applyBorder="1" applyAlignment="1">
      <x:alignment vertical="top" wrapText="1"/>
    </x:xf>
    <x:xf numFmtId="206" fontId="23" fillId="3" borderId="153" xfId="1" applyNumberFormat="1" applyFont="1" applyFill="1" applyBorder="1" applyAlignment="1">
      <x:alignment vertical="top" wrapText="1"/>
    </x:xf>
    <x:xf numFmtId="207" fontId="23" fillId="3" borderId="153" xfId="1" applyNumberFormat="1" applyFont="1" applyFill="1" applyBorder="1" applyAlignment="1">
      <x:alignment vertical="top" wrapText="1"/>
    </x:xf>
    <x:xf numFmtId="206" fontId="39" fillId="3" borderId="152" xfId="1" applyNumberFormat="1" applyFont="1" applyFill="1" applyBorder="1" applyAlignment="1">
      <x:alignment vertical="top" wrapText="1"/>
    </x:xf>
    <x:xf numFmtId="207" fontId="24" fillId="3" borderId="152" xfId="1" applyNumberFormat="1" applyFont="1" applyFill="1" applyBorder="1" applyAlignment="1">
      <x:alignment vertical="top" wrapText="1"/>
    </x:xf>
    <x:xf numFmtId="207" fontId="24" fillId="3" borderId="153" xfId="1" applyNumberFormat="1" applyFont="1" applyFill="1" applyBorder="1" applyAlignment="1">
      <x:alignment vertical="top" wrapText="1"/>
    </x:xf>
    <x:xf numFmtId="206" fontId="39" fillId="3" borderId="151" xfId="1" applyNumberFormat="1" applyFont="1" applyFill="1" applyBorder="1" applyAlignment="1">
      <x:alignment vertical="top" wrapText="1"/>
    </x:xf>
    <x:xf numFmtId="206" fontId="29" fillId="3" borderId="140" xfId="1" applyNumberFormat="1" applyFont="1" applyFill="1" applyBorder="1"/>
    <x:xf numFmtId="206" fontId="30" fillId="3" borderId="140" xfId="1" applyNumberFormat="1" applyFont="1" applyFill="1" applyBorder="1"/>
    <x:xf numFmtId="205" fontId="29" fillId="3" borderId="140" xfId="1" applyNumberFormat="1" applyFont="1" applyFill="1" applyBorder="1"/>
    <x:xf numFmtId="208" fontId="30" fillId="3" borderId="140" xfId="1" applyNumberFormat="1" applyFont="1" applyFill="1" applyBorder="1"/>
    <x:xf numFmtId="208" fontId="29" fillId="3" borderId="140" xfId="1" applyNumberFormat="1" applyFont="1" applyFill="1" applyBorder="1"/>
    <x:xf numFmtId="206" fontId="32" fillId="3" borderId="140" xfId="1" applyNumberFormat="1" applyFont="1" applyFill="1" applyBorder="1"/>
    <x:xf numFmtId="206" fontId="31" fillId="3" borderId="140" xfId="1" applyNumberFormat="1" applyFont="1" applyFill="1" applyBorder="1"/>
    <x:xf numFmtId="205" fontId="32" fillId="3" borderId="140" xfId="1" applyNumberFormat="1" applyFont="1" applyFill="1" applyBorder="1"/>
    <x:xf numFmtId="208" fontId="31" fillId="3" borderId="140" xfId="1" applyNumberFormat="1" applyFont="1" applyFill="1" applyBorder="1"/>
    <x:xf numFmtId="208" fontId="32" fillId="3" borderId="140" xfId="1" applyNumberFormat="1" applyFont="1" applyFill="1" applyBorder="1"/>
    <x:xf numFmtId="206" fontId="34" fillId="3" borderId="140" xfId="1" applyNumberFormat="1" applyFont="1" applyFill="1" applyBorder="1"/>
    <x:xf numFmtId="206" fontId="33" fillId="3" borderId="140" xfId="1" applyNumberFormat="1" applyFont="1" applyFill="1" applyBorder="1"/>
    <x:xf numFmtId="205" fontId="34" fillId="3" borderId="140" xfId="1" applyNumberFormat="1" applyFont="1" applyFill="1" applyBorder="1"/>
    <x:xf numFmtId="208" fontId="33" fillId="3" borderId="140" xfId="1" applyNumberFormat="1" applyFont="1" applyFill="1" applyBorder="1"/>
    <x:xf numFmtId="208" fontId="34" fillId="3" borderId="140" xfId="1" applyNumberFormat="1" applyFont="1" applyFill="1" applyBorder="1"/>
    <x:xf numFmtId="206" fontId="34" fillId="3" borderId="140" xfId="1" applyNumberFormat="1" applyFont="1" applyFill="1" applyBorder="1" applyAlignment="1">
      <x:alignment wrapText="1"/>
    </x:xf>
    <x:xf numFmtId="206" fontId="33" fillId="3" borderId="140" xfId="1" applyNumberFormat="1" applyFont="1" applyFill="1" applyBorder="1" applyAlignment="1">
      <x:alignment wrapText="1"/>
    </x:xf>
    <x:xf numFmtId="205" fontId="34" fillId="3" borderId="140" xfId="1" applyNumberFormat="1" applyFont="1" applyFill="1" applyBorder="1" applyAlignment="1">
      <x:alignment wrapText="1"/>
    </x:xf>
    <x:xf numFmtId="208" fontId="33" fillId="3" borderId="140" xfId="1" applyNumberFormat="1" applyFont="1" applyFill="1" applyBorder="1" applyAlignment="1">
      <x:alignment wrapText="1"/>
    </x:xf>
    <x:xf numFmtId="208" fontId="34" fillId="3" borderId="140" xfId="1" applyNumberFormat="1" applyFont="1" applyFill="1" applyBorder="1" applyAlignment="1">
      <x:alignment wrapText="1"/>
    </x:xf>
    <x:xf numFmtId="205" fontId="34" fillId="3" borderId="140" xfId="1" applyNumberFormat="1" applyFont="1" applyFill="1" applyBorder="1" applyAlignment="1">
      <x:alignment vertical="top" wrapText="1"/>
    </x:xf>
    <x:xf numFmtId="208" fontId="33" fillId="3" borderId="140" xfId="1" applyNumberFormat="1" applyFont="1" applyFill="1" applyBorder="1" applyAlignment="1">
      <x:alignment vertical="top" wrapText="1"/>
    </x:xf>
    <x:xf numFmtId="208" fontId="34" fillId="3" borderId="140" xfId="1" applyNumberFormat="1" applyFont="1" applyFill="1" applyBorder="1" applyAlignment="1">
      <x:alignment vertical="top" wrapText="1"/>
    </x:xf>
    <x:xf numFmtId="208" fontId="34" fillId="3" borderId="151" xfId="1" applyNumberFormat="1" applyFont="1" applyFill="1" applyBorder="1" applyAlignment="1">
      <x:alignment vertical="top" wrapText="1"/>
    </x:xf>
    <x:xf numFmtId="205" fontId="34" fillId="3" borderId="152" xfId="1" applyNumberFormat="1" applyFont="1" applyFill="1" applyBorder="1" applyAlignment="1">
      <x:alignment vertical="top" wrapText="1"/>
    </x:xf>
    <x:xf numFmtId="0" fontId="23" fillId="3" borderId="142" xfId="1" applyNumberFormat="1" applyFont="1" applyFill="1" applyBorder="1" applyAlignment="1">
      <x:alignment wrapText="1"/>
    </x:xf>
    <x:xf numFmtId="0" fontId="23" fillId="3" borderId="153" xfId="1" applyNumberFormat="1" applyFont="1" applyFill="1" applyBorder="1" applyAlignment="1">
      <x:alignment wrapText="1"/>
    </x:xf>
    <x:xf numFmtId="0" fontId="23" fillId="3" borderId="143" xfId="1" applyNumberFormat="1" applyFont="1" applyFill="1" applyBorder="1" applyAlignment="1">
      <x:alignment wrapText="1"/>
    </x:xf>
    <x:xf numFmtId="206" fontId="34" fillId="3" borderId="147" xfId="1" applyNumberFormat="1" applyFont="1" applyFill="1" applyBorder="1" applyAlignment="1">
      <x:alignment vertical="top" wrapText="1"/>
    </x:xf>
    <x:xf numFmtId="0" fontId="23" fillId="3" borderId="158" xfId="1" applyNumberFormat="1" applyFont="1" applyFill="1" applyBorder="1" applyAlignment="1">
      <x:alignment vertical="top" wrapText="1"/>
    </x:xf>
    <x:xf numFmtId="0" fontId="23" fillId="3" borderId="159" xfId="1" applyNumberFormat="1" applyFont="1" applyFill="1" applyBorder="1" applyAlignment="1">
      <x:alignment vertical="top" wrapText="1"/>
    </x:xf>
    <x:xf numFmtId="0" fontId="25" fillId="3" borderId="160" xfId="1" applyNumberFormat="1" applyFont="1" applyFill="1" applyBorder="1" applyAlignment="1">
      <x:alignment vertical="top" wrapText="0"/>
    </x:xf>
    <x:xf numFmtId="0" fontId="23" fillId="3" borderId="161" xfId="1" applyNumberFormat="1" applyFont="1" applyFill="1" applyBorder="1" applyAlignment="1">
      <x:alignment vertical="top" wrapText="0"/>
    </x:xf>
    <x:xf numFmtId="0" fontId="24" fillId="5" borderId="162" xfId="1" applyNumberFormat="1" applyFont="1" applyFill="1" applyBorder="1" applyAlignment="1">
      <x:alignment horizontal="center" vertical="top" wrapText="1"/>
    </x:xf>
    <x:xf numFmtId="0" fontId="24" fillId="5" borderId="163" xfId="1" applyNumberFormat="1" applyFont="1" applyFill="1" applyBorder="1" applyAlignment="1">
      <x:alignment horizontal="center" vertical="top" wrapText="1"/>
    </x:xf>
    <x:xf numFmtId="0" fontId="24" fillId="3" borderId="164" xfId="1" applyNumberFormat="1" applyFont="1" applyFill="1" applyBorder="1" applyAlignment="1">
      <x:alignment vertical="top" wrapText="1"/>
    </x:xf>
    <x:xf numFmtId="0" fontId="23" fillId="3" borderId="165" xfId="1" applyNumberFormat="1" applyFont="1" applyFill="1" applyBorder="1" applyAlignment="1">
      <x:alignment vertical="top" wrapText="1"/>
    </x:xf>
    <x:xf numFmtId="0" fontId="24" fillId="3" borderId="166" xfId="1" applyNumberFormat="1" applyFont="1" applyFill="1" applyBorder="1" applyAlignment="1">
      <x:alignment vertical="top" wrapText="1"/>
    </x:xf>
    <x:xf numFmtId="0" fontId="23" fillId="3" borderId="167" xfId="1" applyNumberFormat="1" applyFont="1" applyFill="1" applyBorder="1" applyAlignment="1">
      <x:alignment vertical="top" wrapText="1"/>
    </x:xf>
    <x:xf numFmtId="0" fontId="26" fillId="3" borderId="168" xfId="1" applyNumberFormat="1" applyFont="1" applyFill="1" applyBorder="1" applyAlignment="1">
      <x:alignment vertical="top" wrapText="1"/>
    </x:xf>
    <x:xf numFmtId="205" fontId="27" fillId="3" borderId="169" xfId="1" applyNumberFormat="1" applyFont="1" applyFill="1" applyBorder="1" applyAlignment="1">
      <x:alignment vertical="top" wrapText="1"/>
    </x:xf>
    <x:xf numFmtId="0" fontId="23" fillId="3" borderId="170" xfId="1" applyNumberFormat="1" applyFont="1" applyFill="1" applyBorder="1" applyAlignment="1">
      <x:alignment vertical="top" wrapText="1"/>
    </x:xf>
    <x:xf numFmtId="0" fontId="23" fillId="3" borderId="171" xfId="1" applyNumberFormat="1" applyFont="1" applyFill="1" applyBorder="1" applyAlignment="1">
      <x:alignment vertical="top" wrapText="1"/>
    </x:xf>
    <x:xf numFmtId="0" fontId="24" fillId="3" borderId="172" xfId="1" applyNumberFormat="1" applyFont="1" applyFill="1" applyBorder="1" applyAlignment="1">
      <x:alignment vertical="top" wrapText="1"/>
    </x:xf>
    <x:xf numFmtId="0" fontId="23" fillId="3" borderId="173" xfId="1" applyNumberFormat="1" applyFont="1" applyFill="1" applyBorder="1" applyAlignment="1">
      <x:alignment vertical="top" wrapText="1"/>
    </x:xf>
    <x:xf numFmtId="0" fontId="23" fillId="3" borderId="174" xfId="1" applyNumberFormat="1" applyFont="1" applyFill="1" applyBorder="1" applyAlignment="1">
      <x:alignment vertical="top" wrapText="1"/>
    </x:xf>
    <x:xf numFmtId="0" fontId="23" fillId="3" borderId="175" xfId="1" applyNumberFormat="1" applyFont="1" applyFill="1" applyBorder="1" applyAlignment="1">
      <x:alignment vertical="top" wrapText="1"/>
    </x:xf>
    <x:xf numFmtId="0" fontId="23" fillId="3" borderId="176" xfId="1" applyNumberFormat="1" applyFont="1" applyFill="1" applyBorder="1" applyAlignment="1">
      <x:alignment vertical="top" wrapText="1"/>
    </x:xf>
    <x:xf numFmtId="0" fontId="23" fillId="3" borderId="177" xfId="1" applyNumberFormat="1" applyFont="1" applyFill="1" applyBorder="1" applyAlignment="1">
      <x:alignment vertical="top" wrapText="1"/>
    </x:xf>
    <x:xf numFmtId="0" fontId="24" fillId="5" borderId="178" xfId="1" applyNumberFormat="1" applyFont="1" applyFill="1" applyBorder="1" applyAlignment="1">
      <x:alignment horizontal="center" vertical="top" wrapText="1"/>
    </x:xf>
    <x:xf numFmtId="206" fontId="34" fillId="3" borderId="179" xfId="1" applyNumberFormat="1" applyFont="1" applyFill="1" applyBorder="1" applyAlignment="1">
      <x:alignment vertical="top" wrapText="1"/>
    </x:xf>
    <x:xf numFmtId="207" fontId="23" fillId="3" borderId="180" xfId="1" applyNumberFormat="1" applyFont="1" applyFill="1" applyBorder="1" applyAlignment="1">
      <x:alignment vertical="top" wrapText="1"/>
    </x:xf>
    <x:xf numFmtId="0" fontId="23" fillId="3" borderId="181" xfId="1" applyNumberFormat="1" applyFont="1" applyFill="1" applyBorder="1" applyAlignment="1">
      <x:alignment vertical="top" wrapText="1"/>
    </x:xf>
    <x:xf numFmtId="0" fontId="24" fillId="3" borderId="182" xfId="1" applyNumberFormat="1" applyFont="1" applyFill="1" applyBorder="1" applyAlignment="1">
      <x:alignment vertical="top" wrapText="1"/>
    </x:xf>
    <x:xf numFmtId="206" fontId="39" fillId="3" borderId="183" xfId="1" applyNumberFormat="1" applyFont="1" applyFill="1" applyBorder="1" applyAlignment="1">
      <x:alignment vertical="top" wrapText="1"/>
    </x:xf>
    <x:xf numFmtId="207" fontId="24" fillId="3" borderId="184" xfId="1" applyNumberFormat="1" applyFont="1" applyFill="1" applyBorder="1" applyAlignment="1">
      <x:alignment vertical="top" wrapText="1"/>
    </x:xf>
    <x:xf numFmtId="0" fontId="24" fillId="3" borderId="185" xfId="1" applyNumberFormat="1" applyFont="1" applyFill="1" applyBorder="1" applyAlignment="1">
      <x:alignment vertical="top" wrapText="1"/>
    </x:xf>
    <x:xf numFmtId="0" fontId="24" fillId="3" borderId="186" xfId="1" applyNumberFormat="1" applyFont="1" applyFill="1" applyBorder="1" applyAlignment="1">
      <x:alignment vertical="top" wrapText="1"/>
    </x:xf>
    <x:xf numFmtId="206" fontId="23" fillId="3" borderId="187" xfId="1" applyNumberFormat="1" applyFont="1" applyFill="1" applyBorder="1" applyAlignment="1">
      <x:alignment vertical="top" wrapText="1"/>
    </x:xf>
    <x:xf numFmtId="207" fontId="23" fillId="3" borderId="188" xfId="1" applyNumberFormat="1" applyFont="1" applyFill="1" applyBorder="1" applyAlignment="1">
      <x:alignment vertical="top" wrapText="1"/>
    </x:xf>
    <x:xf numFmtId="206" fontId="24" fillId="5" borderId="189" xfId="1" applyNumberFormat="1" applyFont="1" applyFill="1" applyBorder="1" applyAlignment="1">
      <x:alignment horizontal="center" vertical="top" wrapText="1"/>
    </x:xf>
    <x:xf numFmtId="207" fontId="24" fillId="5" borderId="190" xfId="1" applyNumberFormat="1" applyFont="1" applyFill="1" applyBorder="1" applyAlignment="1">
      <x:alignment horizontal="center" vertical="top" wrapText="1"/>
    </x:xf>
    <x:xf numFmtId="206" fontId="23" fillId="3" borderId="191" xfId="1" applyNumberFormat="1" applyFont="1" applyFill="1" applyBorder="1" applyAlignment="1">
      <x:alignment vertical="top" wrapText="1"/>
    </x:xf>
    <x:xf numFmtId="0" fontId="24" fillId="3" borderId="192" xfId="1" applyNumberFormat="1" applyFont="1" applyFill="1" applyBorder="1" applyAlignment="1">
      <x:alignment vertical="top" wrapText="1"/>
    </x:xf>
    <x:xf numFmtId="206" fontId="39" fillId="3" borderId="193" xfId="1" applyNumberFormat="1" applyFont="1" applyFill="1" applyBorder="1" applyAlignment="1">
      <x:alignment vertical="top" wrapText="1"/>
    </x:xf>
    <x:xf numFmtId="207" fontId="24" fillId="3" borderId="194" xfId="1" applyNumberFormat="1" applyFont="1" applyFill="1" applyBorder="1" applyAlignment="1">
      <x:alignment vertical="top" wrapText="1"/>
    </x:xf>
    <x:xf numFmtId="0" fontId="24" fillId="3" borderId="195" xfId="1" applyNumberFormat="1" applyFont="1" applyFill="1" applyBorder="1" applyAlignment="1">
      <x:alignment vertical="top" wrapText="1"/>
    </x:xf>
    <x:xf numFmtId="0" fontId="24" fillId="3" borderId="196" xfId="1" applyNumberFormat="1" applyFont="1" applyFill="1" applyBorder="1" applyAlignment="1">
      <x:alignment vertical="top" wrapText="1"/>
    </x:xf>
    <x:xf numFmtId="206" fontId="23" fillId="3" borderId="197" xfId="1" applyNumberFormat="1" applyFont="1" applyFill="1" applyBorder="1" applyAlignment="1">
      <x:alignment vertical="top" wrapText="1"/>
    </x:xf>
    <x:xf numFmtId="207" fontId="23" fillId="3" borderId="198" xfId="1" applyNumberFormat="1" applyFont="1" applyFill="1" applyBorder="1" applyAlignment="1">
      <x:alignment vertical="top" wrapText="1"/>
    </x:xf>
    <x:xf numFmtId="0" fontId="23" fillId="3" borderId="199" xfId="1" applyNumberFormat="1" applyFont="1" applyFill="1" applyBorder="1" applyAlignment="1">
      <x:alignment vertical="top" wrapText="1"/>
    </x:xf>
    <x:xf numFmtId="0" fontId="23" fillId="3" borderId="200" xfId="1" applyNumberFormat="1" applyFont="1" applyFill="1" applyBorder="1" applyAlignment="1">
      <x:alignment vertical="top" wrapText="1"/>
    </x:xf>
    <x:xf numFmtId="206" fontId="23" fillId="3" borderId="201" xfId="1" applyNumberFormat="1" applyFont="1" applyFill="1" applyBorder="1" applyAlignment="1">
      <x:alignment vertical="top" wrapText="1"/>
    </x:xf>
    <x:xf numFmtId="207" fontId="23" fillId="3" borderId="202" xfId="1" applyNumberFormat="1" applyFont="1" applyFill="1" applyBorder="1" applyAlignment="1">
      <x:alignment vertical="top" wrapText="1"/>
    </x:xf>
    <x:xf numFmtId="0" fontId="23" fillId="3" borderId="203" xfId="1" applyNumberFormat="1" applyFont="1" applyFill="1" applyBorder="1" applyAlignment="1">
      <x:alignment vertical="top" wrapText="1"/>
    </x:xf>
    <x:xf numFmtId="0" fontId="23" fillId="3" borderId="204" xfId="1" applyNumberFormat="1" applyFont="1" applyFill="1" applyBorder="1" applyAlignment="1">
      <x:alignment vertical="top" wrapText="1"/>
    </x:xf>
    <x:xf numFmtId="0" fontId="25" fillId="3" borderId="205" xfId="1" applyNumberFormat="1" applyFont="1" applyFill="1" applyBorder="1" applyAlignment="1">
      <x:alignment vertical="top" wrapText="1"/>
    </x:xf>
    <x:xf numFmtId="0" fontId="37" fillId="3" borderId="206" xfId="1" applyNumberFormat="1" applyFont="1" applyFill="1" applyBorder="1" applyAlignment="1">
      <x:alignment vertical="top" wrapText="1"/>
    </x:xf>
    <x:xf numFmtId="206" fontId="41" fillId="3" borderId="207" xfId="1" applyNumberFormat="1" applyFont="1" applyFill="1" applyBorder="1" applyAlignment="1">
      <x:alignment vertical="top" wrapText="1"/>
    </x:xf>
    <x:xf numFmtId="0" fontId="37" fillId="3" borderId="208" xfId="1" applyNumberFormat="1" applyFont="1" applyFill="1" applyBorder="1" applyAlignment="1">
      <x:alignment vertical="top" wrapText="1"/>
    </x:xf>
    <x:xf numFmtId="205" fontId="34" fillId="3" borderId="209" xfId="1" applyNumberFormat="1" applyFont="1" applyFill="1" applyBorder="1" applyAlignment="1">
      <x:alignment vertical="top" wrapText="1"/>
    </x:xf>
    <x:xf numFmtId="208" fontId="33" fillId="3" borderId="210" xfId="1" applyNumberFormat="1" applyFont="1" applyFill="1" applyBorder="1" applyAlignment="1">
      <x:alignment vertical="top" wrapText="1"/>
    </x:xf>
    <x:xf numFmtId="205" fontId="33" fillId="3" borderId="211" xfId="1" applyNumberFormat="1" applyFont="1" applyFill="1" applyBorder="1" applyAlignment="1">
      <x:alignment vertical="top" wrapText="1"/>
    </x:xf>
    <x:xf numFmtId="0" fontId="37" fillId="3" borderId="212" xfId="1" applyNumberFormat="1" applyFont="1" applyFill="1" applyBorder="1" applyAlignment="1">
      <x:alignment vertical="top" wrapText="1"/>
    </x:xf>
    <x:xf numFmtId="0" fontId="24" fillId="5" borderId="213" xfId="1" applyNumberFormat="1" applyFont="1" applyFill="1" applyBorder="1" applyAlignment="1">
      <x:alignment horizontal="center" vertical="top" wrapText="1"/>
    </x:xf>
    <x:xf numFmtId="0" fontId="34" fillId="3" borderId="214" xfId="1" applyNumberFormat="1" applyFont="1" applyFill="1" applyBorder="1" applyAlignment="1">
      <x:alignment vertical="top" wrapText="1"/>
    </x:xf>
    <x:xf numFmtId="0" fontId="34" fillId="3" borderId="215" xfId="1" applyNumberFormat="1" applyFont="1" applyFill="1" applyBorder="1" applyAlignment="1">
      <x:alignment vertical="top" wrapText="1"/>
    </x:xf>
    <x:xf numFmtId="0" fontId="34" fillId="3" borderId="216" xfId="1" applyNumberFormat="1" applyFont="1" applyFill="1" applyBorder="1" applyAlignment="1">
      <x:alignment vertical="top" wrapText="1"/>
    </x:xf>
    <x:xf numFmtId="0" fontId="34" fillId="3" borderId="217" xfId="1" applyNumberFormat="1" applyFont="1" applyFill="1" applyBorder="1" applyAlignment="1">
      <x:alignment vertical="top" wrapText="1"/>
    </x:xf>
    <x:xf numFmtId="0" fontId="34" fillId="3" borderId="218" xfId="1" applyNumberFormat="1" applyFont="1" applyFill="1" applyBorder="1" applyAlignment="1">
      <x:alignment vertical="top" wrapText="1"/>
    </x:xf>
    <x:xf numFmtId="0" fontId="34" fillId="3" borderId="219" xfId="1" applyNumberFormat="1" applyFont="1" applyFill="1" applyBorder="1" applyAlignment="1">
      <x:alignment vertical="top" wrapText="1"/>
    </x:xf>
    <x:xf numFmtId="0" fontId="40" fillId="3" borderId="220" xfId="1" applyNumberFormat="1" applyFont="1" applyFill="1" applyBorder="1" applyAlignment="1">
      <x:alignment vertical="top" wrapText="1"/>
    </x:xf>
    <x:xf numFmtId="206" fontId="34" fillId="3" borderId="221" xfId="1" applyNumberFormat="1" applyFont="1" applyFill="1" applyBorder="1" applyAlignment="1">
      <x:alignment vertical="top" wrapText="1"/>
    </x:xf>
    <x:xf numFmtId="206" fontId="24" fillId="3" borderId="222" xfId="1" applyNumberFormat="1" applyFont="1" applyFill="1" applyBorder="1" applyAlignment="1">
      <x:alignment vertical="top" wrapText="1"/>
    </x:xf>
    <x:xf numFmtId="206" fontId="24" fillId="3" borderId="223" xfId="1" applyNumberFormat="1" applyFont="1" applyFill="1" applyBorder="1" applyAlignment="1">
      <x:alignment vertical="top" wrapText="1"/>
    </x:xf>
    <x:xf numFmtId="206" fontId="23" fillId="3" borderId="224" xfId="1" applyNumberFormat="1" applyFont="1" applyFill="1" applyBorder="1" applyAlignment="1">
      <x:alignment vertical="top" wrapText="1"/>
    </x:xf>
    <x:xf numFmtId="206" fontId="23" fillId="3" borderId="225" xfId="1" applyNumberFormat="1" applyFont="1" applyFill="1" applyBorder="1" applyAlignment="1">
      <x:alignment vertical="top" wrapText="1"/>
    </x:xf>
    <x:xf numFmtId="206" fontId="24" fillId="3" borderId="226" xfId="1" applyNumberFormat="1" applyFont="1" applyFill="1" applyBorder="1" applyAlignment="1">
      <x:alignment vertical="top" wrapText="1"/>
    </x:xf>
    <x:xf numFmtId="206" fontId="24" fillId="3" borderId="227" xfId="1" applyNumberFormat="1" applyFont="1" applyFill="1" applyBorder="1" applyAlignment="1">
      <x:alignment vertical="top" wrapText="1"/>
    </x:xf>
    <x:xf numFmtId="206" fontId="23" fillId="3" borderId="228" xfId="1" applyNumberFormat="1" applyFont="1" applyFill="1" applyBorder="1" applyAlignment="1">
      <x:alignment vertical="top" wrapText="1"/>
    </x:xf>
    <x:xf numFmtId="206" fontId="34" fillId="3" borderId="229" xfId="1" applyNumberFormat="1" applyFont="1" applyFill="1" applyBorder="1" applyAlignment="1">
      <x:alignment vertical="top" wrapText="1"/>
    </x:xf>
    <x:xf numFmtId="206" fontId="34" fillId="3" borderId="230" xfId="1" applyNumberFormat="1" applyFont="1" applyFill="1" applyBorder="1" applyAlignment="1">
      <x:alignment vertical="top" wrapText="1"/>
    </x:xf>
    <x:xf numFmtId="206" fontId="24" fillId="3" borderId="231" xfId="1" applyNumberFormat="1" applyFont="1" applyFill="1" applyBorder="1" applyAlignment="1">
      <x:alignment vertical="top" wrapText="1"/>
    </x:xf>
    <x:xf numFmtId="206" fontId="24" fillId="3" borderId="232" xfId="1" applyNumberFormat="1" applyFont="1" applyFill="1" applyBorder="1" applyAlignment="1">
      <x:alignment vertical="top" wrapText="1"/>
    </x:xf>
    <x:xf numFmtId="205" fontId="24" fillId="3" borderId="233" xfId="1" applyNumberFormat="1" applyFont="1" applyFill="1" applyBorder="1" applyAlignment="1">
      <x:alignment vertical="top" wrapText="1"/>
    </x:xf>
    <x:xf numFmtId="206" fontId="33" fillId="3" borderId="234" xfId="1" applyNumberFormat="1" applyFont="1" applyFill="1" applyBorder="1" applyAlignment="1">
      <x:alignment vertical="top" wrapText="1"/>
    </x:xf>
    <x:xf numFmtId="208" fontId="34" fillId="3" borderId="235" xfId="1" applyNumberFormat="1" applyFont="1" applyFill="1" applyBorder="1" applyAlignment="1">
      <x:alignment vertical="top" wrapText="1"/>
    </x:xf>
    <x:xf numFmtId="205" fontId="34" fillId="3" borderId="236" xfId="1" applyNumberFormat="1" applyFont="1" applyFill="1" applyBorder="1" applyAlignment="1">
      <x:alignment vertical="top" wrapText="1"/>
    </x:xf>
    <x:xf numFmtId="0" fontId="23" fillId="3" borderId="237" xfId="1" applyNumberFormat="1" applyFont="1" applyFill="1" applyBorder="1"/>
    <x:xf numFmtId="206" fontId="34" fillId="3" borderId="238" xfId="1" applyNumberFormat="1" applyFont="1" applyFill="1" applyBorder="1" applyAlignment="1">
      <x:alignment vertical="top" wrapText="1"/>
    </x:xf>
    <x:xf numFmtId="206" fontId="34" fillId="3" borderId="239" xfId="1" applyNumberFormat="1" applyFont="1" applyFill="1" applyBorder="1" applyAlignment="1">
      <x:alignment vertical="top" wrapText="1"/>
    </x:xf>
    <x:xf numFmtId="206" fontId="34" fillId="3" borderId="240" xfId="1" applyNumberFormat="1" applyFont="1" applyFill="1" applyBorder="1" applyAlignment="1">
      <x:alignment vertical="top" wrapText="1"/>
    </x:xf>
    <x:xf numFmtId="0" fontId="23" fillId="3" borderId="241" xfId="1" applyNumberFormat="1" applyFont="1" applyFill="1" applyBorder="1" applyAlignment="1">
      <x:alignment vertical="top" wrapText="1"/>
    </x:xf>
    <x:xf numFmtId="0" fontId="24" fillId="3" borderId="242" xfId="1" applyNumberFormat="1" applyFont="1" applyFill="1" applyBorder="1" applyAlignment="1">
      <x:alignment vertical="top" wrapText="1"/>
    </x:xf>
    <x:xf numFmtId="0" fontId="24" fillId="3" borderId="243" xfId="1" applyNumberFormat="1" applyFont="1" applyFill="1" applyBorder="1" applyAlignment="1">
      <x:alignment vertical="top" wrapText="1"/>
    </x:xf>
    <x:xf numFmtId="0" fontId="23" fillId="3" borderId="244" xfId="1" applyNumberFormat="1" applyFont="1" applyFill="1" applyBorder="1" applyAlignment="1">
      <x:alignment vertical="top" wrapText="1"/>
    </x:xf>
    <x:xf numFmtId="206" fontId="23" fillId="3" borderId="245" xfId="1" applyNumberFormat="1" applyFont="1" applyFill="1" applyBorder="1" applyAlignment="1">
      <x:alignment vertical="top" wrapText="1"/>
    </x:xf>
    <x:xf numFmtId="0" fontId="23" fillId="3" borderId="246" xfId="1" applyNumberFormat="1" applyFont="1" applyFill="1" applyBorder="1" applyAlignment="1">
      <x:alignment vertical="top" wrapText="1"/>
    </x:xf>
    <x:xf numFmtId="206" fontId="23" fillId="3" borderId="247" xfId="1" applyNumberFormat="1" applyFont="1" applyFill="1" applyBorder="1" applyAlignment="1">
      <x:alignment vertical="top" wrapText="1"/>
    </x:xf>
    <x:xf numFmtId="0" fontId="23" fillId="3" borderId="248" xfId="1" applyNumberFormat="1" applyFont="1" applyFill="1" applyBorder="1" applyAlignment="1">
      <x:alignment vertical="top" wrapText="1"/>
    </x:xf>
    <x:xf numFmtId="0" fontId="23" fillId="3" borderId="249" xfId="1" applyNumberFormat="1" applyFont="1" applyFill="1" applyBorder="1" applyAlignment="1">
      <x:alignment vertical="top" wrapText="1"/>
    </x:xf>
    <x:xf numFmtId="0" fontId="23" fillId="3" borderId="250" xfId="1" applyNumberFormat="1" applyFont="1" applyFill="1" applyBorder="1" applyAlignment="1">
      <x:alignment vertical="top" wrapText="1"/>
    </x:xf>
    <x:xf numFmtId="206" fontId="34" fillId="3" borderId="251" xfId="1" applyNumberFormat="1" applyFont="1" applyFill="1" applyBorder="1" applyAlignment="1">
      <x:alignment vertical="top" wrapText="1"/>
    </x:xf>
    <x:xf numFmtId="0" fontId="23" fillId="3" borderId="252" xfId="1" applyNumberFormat="1" applyFont="1" applyFill="1" applyBorder="1" applyAlignment="1">
      <x:alignment vertical="top" wrapText="1"/>
    </x:xf>
    <x:xf numFmtId="0" fontId="23" fillId="3" borderId="253" xfId="1" applyNumberFormat="1" applyFont="1" applyFill="1" applyBorder="1" applyAlignment="1">
      <x:alignment vertical="top" wrapText="1"/>
    </x:xf>
    <x:xf numFmtId="0" fontId="23" fillId="3" borderId="254" xfId="1" applyNumberFormat="1" applyFont="1" applyFill="1" applyBorder="1" applyAlignment="1">
      <x:alignment vertical="top" wrapText="1"/>
    </x:xf>
    <x:xf numFmtId="207" fontId="34" fillId="3" borderId="255" xfId="1" applyNumberFormat="1" applyFont="1" applyFill="1" applyBorder="1" applyAlignment="1">
      <x:alignment vertical="top" wrapText="1"/>
    </x:xf>
    <x:xf numFmtId="209" fontId="34" fillId="3" borderId="256" xfId="1" applyNumberFormat="1" applyFont="1" applyFill="1" applyBorder="1" applyAlignment="1">
      <x:alignment vertical="top" wrapText="1"/>
    </x:xf>
    <x:xf numFmtId="206" fontId="36" fillId="3" borderId="257" xfId="1" applyNumberFormat="1" applyFont="1" applyFill="1" applyBorder="1" applyAlignment="1">
      <x:alignment vertical="top" wrapText="1"/>
    </x:xf>
    <x:xf numFmtId="207" fontId="23" fillId="3" borderId="258" xfId="1" applyNumberFormat="1" applyFont="1" applyFill="1" applyBorder="1" applyAlignment="1">
      <x:alignment vertical="top" wrapText="1"/>
    </x:xf>
    <x:xf numFmtId="0" fontId="23" fillId="3" borderId="259" xfId="1" applyNumberFormat="1" applyFont="1" applyFill="1" applyBorder="1" applyAlignment="1">
      <x:alignment vertical="top" wrapText="1"/>
    </x:xf>
    <x:xf numFmtId="206" fontId="36" fillId="3" borderId="260" xfId="1" applyNumberFormat="1" applyFont="1" applyFill="1" applyBorder="1" applyAlignment="1">
      <x:alignment vertical="top" wrapText="1"/>
    </x:xf>
    <x:xf numFmtId="0" fontId="23" fillId="3" borderId="261" xfId="1" applyNumberFormat="1" applyFont="1" applyFill="1" applyBorder="1" applyAlignment="1">
      <x:alignment vertical="top" wrapText="1"/>
    </x:xf>
    <x:xf numFmtId="0" fontId="23" fillId="3" borderId="262" xfId="1" applyNumberFormat="1" applyFont="1" applyFill="1" applyBorder="1" applyAlignment="1">
      <x:alignment vertical="top" wrapText="1"/>
    </x:xf>
    <x:xf numFmtId="0" fontId="24" fillId="5" borderId="263" xfId="1" applyNumberFormat="1" applyFont="1" applyFill="1" applyBorder="1" applyAlignment="1">
      <x:alignment horizontal="center" vertical="top" wrapText="1"/>
    </x:xf>
    <x:xf numFmtId="209" fontId="36" fillId="3" borderId="264" xfId="1" applyNumberFormat="1" applyFont="1" applyFill="1" applyBorder="1" applyAlignment="1">
      <x:alignment vertical="top" wrapText="1"/>
    </x:xf>
    <x:xf numFmtId="209" fontId="36" fillId="3" borderId="265" xfId="1" applyNumberFormat="1" applyFont="1" applyFill="1" applyBorder="1" applyAlignment="1">
      <x:alignment vertical="top" wrapText="1"/>
    </x:xf>
    <x:xf numFmtId="209" fontId="36" fillId="3" borderId="266" xfId="1" applyNumberFormat="1" applyFont="1" applyFill="1" applyBorder="1" applyAlignment="1">
      <x:alignment vertical="top" wrapText="1"/>
    </x:xf>
    <x:xf numFmtId="209" fontId="36" fillId="3" borderId="267" xfId="1" applyNumberFormat="1" applyFont="1" applyFill="1" applyBorder="1" applyAlignment="1">
      <x:alignment vertical="top" wrapText="1"/>
    </x:xf>
    <x:xf numFmtId="207" fontId="23" fillId="3" borderId="268" xfId="1" applyNumberFormat="1" applyFont="1" applyFill="1" applyBorder="1" applyAlignment="1">
      <x:alignment vertical="top" wrapText="1"/>
    </x:xf>
    <x:xf numFmtId="209" fontId="36" fillId="3" borderId="269" xfId="1" applyNumberFormat="1" applyFont="1" applyFill="1" applyBorder="1" applyAlignment="1">
      <x:alignment vertical="top" wrapText="1"/>
    </x:xf>
    <x:xf numFmtId="209" fontId="36" fillId="3" borderId="270" xfId="1" applyNumberFormat="1" applyFont="1" applyFill="1" applyBorder="1" applyAlignment="1">
      <x:alignment vertical="top" wrapText="1"/>
    </x:xf>
    <x:xf numFmtId="0" fontId="24" fillId="5" borderId="271" xfId="1" applyNumberFormat="1" applyFont="1" applyFill="1" applyBorder="1" applyAlignment="1">
      <x:alignment horizontal="center" vertical="top" wrapText="1"/>
    </x:xf>
    <x:xf numFmtId="0" fontId="23" fillId="3" borderId="272" xfId="1" applyNumberFormat="1" applyFont="1" applyFill="1" applyBorder="1" applyAlignment="1">
      <x:alignment vertical="top" wrapText="1"/>
    </x:xf>
    <x:xf numFmtId="0" fontId="23" fillId="3" borderId="273" xfId="1" applyNumberFormat="1" applyFont="1" applyFill="1" applyBorder="1" applyAlignment="1">
      <x:alignment vertical="top" wrapText="1"/>
    </x:xf>
    <x:xf numFmtId="206" fontId="36" fillId="3" borderId="274" xfId="1" applyNumberFormat="1" applyFont="1" applyFill="1" applyBorder="1" applyAlignment="1">
      <x:alignment vertical="top" wrapText="1"/>
    </x:xf>
    <x:xf numFmtId="206" fontId="36" fillId="3" borderId="275" xfId="1" applyNumberFormat="1" applyFont="1" applyFill="1" applyBorder="1" applyAlignment="1">
      <x:alignment vertical="top" wrapText="1"/>
    </x:xf>
    <x:xf numFmtId="0" fontId="23" fillId="3" borderId="276" xfId="1" applyNumberFormat="1" applyFont="1" applyFill="1" applyBorder="1" applyAlignment="1">
      <x:alignment vertical="top" wrapText="1"/>
    </x:xf>
    <x:xf numFmtId="0" fontId="23" fillId="3" borderId="277" xfId="1" applyNumberFormat="1" applyFont="1" applyFill="1" applyBorder="1" applyAlignment="1">
      <x:alignment wrapText="1"/>
    </x:xf>
    <x:xf numFmtId="0" fontId="23" fillId="3" borderId="278" xfId="1" applyNumberFormat="1" applyFont="1" applyFill="1" applyBorder="1" applyAlignment="1">
      <x:alignment wrapText="1"/>
    </x:xf>
    <x:xf numFmtId="0" fontId="23" fillId="3" borderId="279" xfId="1" applyNumberFormat="1" applyFont="1" applyFill="1" applyBorder="1" applyAlignment="1">
      <x:alignment wrapText="1"/>
    </x:xf>
    <x:xf numFmtId="210" fontId="23" fillId="3" borderId="140" xfId="1" applyNumberFormat="1" applyFont="1" applyFill="1" applyBorder="1" applyAlignment="1">
      <x:alignment vertical="top" wrapText="1"/>
    </x:xf>
    <x:xf numFmtId="0" fontId="23" fillId="6" borderId="140" xfId="1" applyNumberFormat="1" applyFont="1" applyFill="1" applyBorder="1" applyAlignment="1">
      <x:alignment vertical="top" wrapText="1"/>
    </x:xf>
    <x:xf numFmtId="0" fontId="24" fillId="6" borderId="140" xfId="1" applyNumberFormat="1" applyFont="1" applyFill="1" applyBorder="1" applyAlignment="1">
      <x:alignment vertical="top" wrapText="1"/>
    </x:xf>
    <x:xf numFmtId="0" fontId="24" fillId="6" borderId="140" xfId="1" applyNumberFormat="1" applyFont="1" applyFill="1" applyBorder="1" applyAlignment="1">
      <x:alignment horizontal="center" vertical="top" wrapText="1"/>
    </x:xf>
    <x:xf numFmtId="0" fontId="24" fillId="6" borderId="141" xfId="1" applyNumberFormat="1" applyFont="1" applyFill="1" applyBorder="1" applyAlignment="1">
      <x:alignment horizontal="center" vertical="top" wrapText="1"/>
    </x:xf>
    <x:xf numFmtId="211" fontId="34" fillId="3" borderId="140" xfId="1" applyNumberFormat="1" applyFont="1" applyFill="1" applyBorder="1" applyAlignment="1">
      <x:alignment vertical="top" wrapText="1"/>
    </x:xf>
    <x:xf numFmtId="211" fontId="33" fillId="3" borderId="140" xfId="1" applyNumberFormat="1" applyFont="1" applyFill="1" applyBorder="1" applyAlignment="1">
      <x:alignment vertical="top" wrapText="1"/>
    </x:xf>
    <x:xf numFmtId="0" fontId="24" fillId="6" borderId="142" xfId="1" applyNumberFormat="1" applyFont="1" applyFill="1" applyBorder="1" applyAlignment="1">
      <x:alignment horizontal="center" vertical="top" wrapText="1"/>
    </x:xf>
    <x:xf numFmtId="0" fontId="24" fillId="6" borderId="153" xfId="1" applyNumberFormat="1" applyFont="1" applyFill="1" applyBorder="1" applyAlignment="1">
      <x:alignment horizontal="center" vertical="top" wrapText="1"/>
    </x:xf>
    <x:xf numFmtId="0" fontId="24" fillId="6" borderId="143" xfId="1" applyNumberFormat="1" applyFont="1" applyFill="1" applyBorder="1" applyAlignment="1">
      <x:alignment horizontal="center" vertical="top" wrapText="1"/>
    </x:xf>
    <x:xf numFmtId="211" fontId="34" fillId="3" borderId="151" xfId="1" applyNumberFormat="1" applyFont="1" applyFill="1" applyBorder="1" applyAlignment="1">
      <x:alignment vertical="top" wrapText="1"/>
    </x:xf>
    <x:xf numFmtId="211" fontId="34" fillId="3" borderId="145" xfId="1" applyNumberFormat="1" applyFont="1" applyFill="1" applyBorder="1" applyAlignment="1">
      <x:alignment vertical="top" wrapText="1"/>
    </x:xf>
    <x:xf numFmtId="211" fontId="33" fillId="3" borderId="152" xfId="1" applyNumberFormat="1" applyFont="1" applyFill="1" applyBorder="1" applyAlignment="1">
      <x:alignment vertical="top" wrapText="1"/>
    </x:xf>
    <x:xf numFmtId="211" fontId="33" fillId="3" borderId="147" xfId="1" applyNumberFormat="1" applyFont="1" applyFill="1" applyBorder="1" applyAlignment="1">
      <x:alignment vertical="top" wrapText="1"/>
    </x:xf>
    <x:xf numFmtId="211" fontId="33" fillId="3" borderId="153" xfId="1" applyNumberFormat="1" applyFont="1" applyFill="1" applyBorder="1" applyAlignment="1">
      <x:alignment vertical="top" wrapText="1"/>
    </x:xf>
    <x:xf numFmtId="211" fontId="33" fillId="3" borderId="143" xfId="1" applyNumberFormat="1" applyFont="1" applyFill="1" applyBorder="1" applyAlignment="1">
      <x:alignment vertical="top" wrapText="1"/>
    </x:xf>
    <x:xf numFmtId="211" fontId="23" fillId="3" borderId="140" xfId="1" applyNumberFormat="1" applyFont="1" applyFill="1" applyBorder="1" applyAlignment="1">
      <x:alignment vertical="top" wrapText="1"/>
    </x:xf>
    <x:xf numFmtId="211" fontId="36" fillId="3" borderId="140" xfId="1" applyNumberFormat="1" applyFont="1" applyFill="1" applyBorder="1" applyAlignment="1">
      <x:alignment vertical="top" wrapText="1"/>
    </x:xf>
    <x:xf numFmtId="211" fontId="36" fillId="3" borderId="151" xfId="1" applyNumberFormat="1" applyFont="1" applyFill="1" applyBorder="1" applyAlignment="1">
      <x:alignment vertical="top" wrapText="1"/>
    </x:xf>
    <x:xf numFmtId="210" fontId="23" fillId="3" borderId="151" xfId="1" applyNumberFormat="1" applyFont="1" applyFill="1" applyBorder="1" applyAlignment="1">
      <x:alignment vertical="top" wrapText="1"/>
    </x:xf>
    <x:xf numFmtId="211" fontId="36" fillId="3" borderId="152" xfId="1" applyNumberFormat="1" applyFont="1" applyFill="1" applyBorder="1" applyAlignment="1">
      <x:alignment vertical="top" wrapText="1"/>
    </x:xf>
    <x:xf numFmtId="210" fontId="23" fillId="3" borderId="152" xfId="1" applyNumberFormat="1" applyFont="1" applyFill="1" applyBorder="1" applyAlignment="1">
      <x:alignment vertical="top" wrapText="1"/>
    </x:xf>
    <x:xf numFmtId="0" fontId="23" fillId="6" borderId="148" xfId="1" applyNumberFormat="1" applyFont="1" applyFill="1" applyBorder="1" applyAlignment="1">
      <x:alignment vertical="top" wrapText="1"/>
    </x:xf>
    <x:xf numFmtId="0" fontId="23" fillId="6" borderId="149" xfId="1" applyNumberFormat="1" applyFont="1" applyFill="1" applyBorder="1" applyAlignment="1">
      <x:alignment vertical="top" wrapText="1"/>
    </x:xf>
    <x:xf numFmtId="0" fontId="23" fillId="6" borderId="150" xfId="1" applyNumberFormat="1" applyFont="1" applyFill="1" applyBorder="1" applyAlignment="1">
      <x:alignment vertical="top" wrapText="1"/>
    </x:xf>
    <x:xf numFmtId="0" fontId="24" fillId="6" borderId="148" xfId="1" applyNumberFormat="1" applyFont="1" applyFill="1" applyBorder="1" applyAlignment="1">
      <x:alignment vertical="top" wrapText="1"/>
    </x:xf>
    <x:xf numFmtId="0" fontId="24" fillId="6" borderId="149" xfId="1" applyNumberFormat="1" applyFont="1" applyFill="1" applyBorder="1" applyAlignment="1">
      <x:alignment vertical="top" wrapText="1"/>
    </x:xf>
    <x:xf numFmtId="0" fontId="24" fillId="6" borderId="150" xfId="1" applyNumberFormat="1" applyFont="1" applyFill="1" applyBorder="1" applyAlignment="1">
      <x:alignment vertical="top" wrapText="1"/>
    </x:xf>
    <x:xf numFmtId="0" fontId="24" fillId="6" borderId="148" xfId="1" applyNumberFormat="1" applyFont="1" applyFill="1" applyBorder="1" applyAlignment="1">
      <x:alignment horizontal="center" vertical="top" wrapText="1"/>
    </x:xf>
    <x:xf numFmtId="0" fontId="24" fillId="6" borderId="149" xfId="1" applyNumberFormat="1" applyFont="1" applyFill="1" applyBorder="1" applyAlignment="1">
      <x:alignment horizontal="center" vertical="top" wrapText="1"/>
    </x:xf>
    <x:xf numFmtId="0" fontId="24" fillId="6" borderId="150" xfId="1" applyNumberFormat="1" applyFont="1" applyFill="1" applyBorder="1" applyAlignment="1">
      <x:alignment horizontal="center" vertical="top" wrapText="1"/>
    </x:xf>
    <x:xf numFmtId="0" fontId="21" fillId="3" borderId="140" xfId="1" applyNumberFormat="1" applyFont="1" applyFill="1" applyBorder="1" applyAlignment="1">
      <x:alignment wrapText="1"/>
    </x:xf>
    <x:xf numFmtId="0" fontId="21" fillId="3" borderId="146" xfId="1" applyNumberFormat="1" applyFont="1" applyFill="1" applyBorder="1" applyAlignment="1">
      <x:alignment wrapText="1"/>
    </x:xf>
    <x:xf numFmtId="0" fontId="21" fillId="3" borderId="147" xfId="1" applyNumberFormat="1" applyFont="1" applyFill="1" applyBorder="1" applyAlignment="1">
      <x:alignment wrapText="1"/>
    </x:xf>
    <x:xf numFmtId="0" fontId="21" fillId="3" borderId="146" xfId="1" applyNumberFormat="1" applyFont="1" applyFill="1" applyBorder="1"/>
    <x:xf numFmtId="0" fontId="21" fillId="3" borderId="147" xfId="1" applyNumberFormat="1" applyFont="1" applyFill="1" applyBorder="1"/>
    <x:xf numFmtId="0" fontId="42" fillId="7" borderId="280" xfId="2"/>
    <x:xf numFmtId="0" fontId="43" fillId="7" borderId="280" xfId="2" applyNumberFormat="1" applyFont="1" applyFill="1" applyBorder="1"/>
    <x:xf numFmtId="0" fontId="44" fillId="7" borderId="280" xfId="2" applyNumberFormat="1" applyFont="1" applyFill="1" applyBorder="1"/>
    <x:xf numFmtId="0" fontId="44" fillId="7" borderId="280" xfId="2" applyNumberFormat="1" applyFont="1" applyFill="1" applyBorder="1" applyAlignment="1">
      <x:alignment vertical="top"/>
    </x:xf>
    <x:xf numFmtId="0" fontId="44" fillId="7" borderId="280" xfId="2" applyNumberFormat="1" applyFont="1" applyFill="1" applyBorder="1" applyAlignment="1">
      <x:alignment vertical="top" wrapText="1"/>
    </x:xf>
    <x:xf numFmtId="0" fontId="45" fillId="7" borderId="280" xfId="2" applyNumberFormat="1" applyFont="1" applyFill="1" applyBorder="1" applyAlignment="1">
      <x:alignment vertical="top" wrapText="1"/>
    </x:xf>
    <x:xf numFmtId="0" fontId="46" fillId="7" borderId="280" xfId="2" applyNumberFormat="1" applyFont="1" applyFill="1" applyBorder="1" applyAlignment="1">
      <x:alignment vertical="top" wrapText="1"/>
    </x:xf>
    <x:xf numFmtId="0" fontId="46" fillId="7" borderId="280" xfId="2" applyNumberFormat="1" applyFont="1" applyFill="1" applyBorder="1" applyAlignment="1">
      <x:alignment vertical="top" wrapText="0"/>
    </x:xf>
    <x:xf numFmtId="0" fontId="44" fillId="7" borderId="280" xfId="2" applyNumberFormat="1" applyFont="1" applyFill="1" applyBorder="1" applyAlignment="1">
      <x:alignment vertical="top" wrapText="0"/>
    </x:xf>
    <x:xf numFmtId="0" fontId="44" fillId="9" borderId="280" xfId="2" applyNumberFormat="1" applyFont="1" applyFill="1" applyBorder="1" applyAlignment="1">
      <x:alignment vertical="top" wrapText="1"/>
    </x:xf>
    <x:xf numFmtId="0" fontId="45" fillId="9" borderId="280" xfId="2" applyNumberFormat="1" applyFont="1" applyFill="1" applyBorder="1" applyAlignment="1">
      <x:alignment vertical="top" wrapText="1"/>
    </x:xf>
    <x:xf numFmtId="0" fontId="45" fillId="9" borderId="280" xfId="2" applyNumberFormat="1" applyFont="1" applyFill="1" applyBorder="1" applyAlignment="1">
      <x:alignment horizontal="center" vertical="top" wrapText="1"/>
    </x:xf>
    <x:xf numFmtId="0" fontId="45" fillId="9" borderId="281" xfId="2" applyNumberFormat="1" applyFont="1" applyFill="1" applyBorder="1" applyAlignment="1">
      <x:alignment horizontal="center" vertical="top" wrapText="1"/>
    </x:xf>
    <x:xf numFmtId="0" fontId="45" fillId="9" borderId="282" xfId="2" applyNumberFormat="1" applyFont="1" applyFill="1" applyBorder="1" applyAlignment="1">
      <x:alignment horizontal="center" vertical="top" wrapText="1"/>
    </x:xf>
    <x:xf numFmtId="0" fontId="45" fillId="9" borderId="283" xfId="2" applyNumberFormat="1" applyFont="1" applyFill="1" applyBorder="1" applyAlignment="1">
      <x:alignment horizontal="center" vertical="top" wrapText="1"/>
    </x:xf>
    <x:xf numFmtId="0" fontId="45" fillId="7" borderId="284" xfId="2" applyNumberFormat="1" applyFont="1" applyFill="1" applyBorder="1" applyAlignment="1">
      <x:alignment vertical="top" wrapText="1"/>
    </x:xf>
    <x:xf numFmtId="0" fontId="44" fillId="7" borderId="285" xfId="2" applyNumberFormat="1" applyFont="1" applyFill="1" applyBorder="1" applyAlignment="1">
      <x:alignment vertical="top" wrapText="1"/>
    </x:xf>
    <x:xf numFmtId="0" fontId="45" fillId="7" borderId="286" xfId="2" applyNumberFormat="1" applyFont="1" applyFill="1" applyBorder="1" applyAlignment="1">
      <x:alignment vertical="top" wrapText="1"/>
    </x:xf>
    <x:xf numFmtId="0" fontId="44" fillId="7" borderId="287" xfId="2" applyNumberFormat="1" applyFont="1" applyFill="1" applyBorder="1" applyAlignment="1">
      <x:alignment vertical="top" wrapText="1"/>
    </x:xf>
    <x:xf numFmtId="212" fontId="44" fillId="7" borderId="280" xfId="2" applyNumberFormat="1" applyFont="1" applyFill="1" applyBorder="1" applyAlignment="1">
      <x:alignment vertical="top" wrapText="1"/>
    </x:xf>
    <x:xf numFmtId="0" fontId="47" fillId="7" borderId="280" xfId="2" applyNumberFormat="1" applyFont="1" applyFill="1" applyBorder="1" applyAlignment="1">
      <x:alignment vertical="top" wrapText="1"/>
    </x:xf>
    <x:xf numFmtId="212" fontId="47" fillId="7" borderId="280" xfId="2" applyNumberFormat="1" applyFont="1" applyFill="1" applyBorder="1" applyAlignment="1">
      <x:alignment vertical="top" wrapText="1"/>
    </x:xf>
    <x:xf numFmtId="212" fontId="48" fillId="7" borderId="280" xfId="2" applyNumberFormat="1" applyFont="1" applyFill="1" applyBorder="1" applyAlignment="1">
      <x:alignment vertical="top" wrapText="1"/>
    </x:xf>
    <x:xf numFmtId="0" fontId="47" fillId="7" borderId="284" xfId="2" applyNumberFormat="1" applyFont="1" applyFill="1" applyBorder="1" applyAlignment="1">
      <x:alignment vertical="top" wrapText="1"/>
    </x:xf>
    <x:xf numFmtId="212" fontId="48" fillId="7" borderId="285" xfId="2" applyNumberFormat="1" applyFont="1" applyFill="1" applyBorder="1" applyAlignment="1">
      <x:alignment vertical="top" wrapText="1"/>
    </x:xf>
    <x:xf numFmtId="0" fontId="44" fillId="7" borderId="284" xfId="2" applyNumberFormat="1" applyFont="1" applyFill="1" applyBorder="1" applyAlignment="1">
      <x:alignment vertical="top" wrapText="1"/>
    </x:xf>
    <x:xf numFmtId="0" fontId="44" fillId="7" borderId="286" xfId="2" applyNumberFormat="1" applyFont="1" applyFill="1" applyBorder="1" applyAlignment="1">
      <x:alignment vertical="top" wrapText="1"/>
    </x:xf>
    <x:xf numFmtId="0" fontId="49" fillId="7" borderId="280" xfId="2" applyNumberFormat="1" applyFont="1" applyFill="1" applyBorder="1"/>
    <x:xf numFmtId="213" fontId="49" fillId="7" borderId="280" xfId="2" applyNumberFormat="1" applyFont="1" applyFill="1" applyBorder="1"/>
    <x:xf numFmtId="214" fontId="42" fillId="7" borderId="280" xfId="2" applyNumberFormat="1" applyFont="1" applyFill="1" applyBorder="1"/>
    <x:xf numFmtId="213" fontId="42" fillId="7" borderId="280" xfId="2" applyNumberFormat="1" applyFont="1" applyFill="1" applyBorder="1"/>
    <x:xf numFmtId="212" fontId="42" fillId="7" borderId="280" xfId="2" applyNumberFormat="1" applyFont="1" applyFill="1" applyBorder="1"/>
    <x:xf numFmtId="215" fontId="42" fillId="7" borderId="280" xfId="2" applyNumberFormat="1" applyFont="1" applyFill="1" applyBorder="1"/>
    <x:xf numFmtId="0" fontId="50" fillId="7" borderId="280" xfId="2" applyNumberFormat="1" applyFont="1" applyFill="1" applyBorder="1"/>
    <x:xf numFmtId="0" fontId="51" fillId="7" borderId="280" xfId="2" applyNumberFormat="1" applyFont="1" applyFill="1" applyBorder="1"/>
    <x:xf numFmtId="216" fontId="50" fillId="7" borderId="280" xfId="2" applyNumberFormat="1" applyFont="1" applyFill="1" applyBorder="1"/>
    <x:xf numFmtId="212" fontId="51" fillId="7" borderId="280" xfId="2" applyNumberFormat="1" applyFont="1" applyFill="1" applyBorder="1"/>
    <x:xf numFmtId="213" fontId="43" fillId="7" borderId="280" xfId="2" applyNumberFormat="1" applyFont="1" applyFill="1" applyBorder="1"/>
    <x:xf numFmtId="214" fontId="43" fillId="7" borderId="280" xfId="2" applyNumberFormat="1" applyFont="1" applyFill="1" applyBorder="1"/>
    <x:xf numFmtId="212" fontId="43" fillId="7" borderId="280" xfId="2" applyNumberFormat="1" applyFont="1" applyFill="1" applyBorder="1"/>
    <x:xf numFmtId="215" fontId="43" fillId="7" borderId="280" xfId="2" applyNumberFormat="1" applyFont="1" applyFill="1" applyBorder="1"/>
    <x:xf numFmtId="212" fontId="52" fillId="7" borderId="280" xfId="2" applyNumberFormat="1" applyFont="1" applyFill="1" applyBorder="1"/>
    <x:xf numFmtId="0" fontId="53" fillId="7" borderId="280" xfId="2" applyNumberFormat="1" applyFont="1" applyFill="1" applyBorder="1"/>
    <x:xf numFmtId="213" fontId="44" fillId="7" borderId="280" xfId="2" applyNumberFormat="1" applyFont="1" applyFill="1" applyBorder="1"/>
    <x:xf numFmtId="214" fontId="44" fillId="7" borderId="280" xfId="2" applyNumberFormat="1" applyFont="1" applyFill="1" applyBorder="1"/>
    <x:xf numFmtId="212" fontId="44" fillId="7" borderId="280" xfId="2" applyNumberFormat="1" applyFont="1" applyFill="1" applyBorder="1"/>
    <x:xf numFmtId="215" fontId="44" fillId="7" borderId="280" xfId="2" applyNumberFormat="1" applyFont="1" applyFill="1" applyBorder="1"/>
    <x:xf numFmtId="212" fontId="54" fillId="7" borderId="280" xfId="2" applyNumberFormat="1" applyFont="1" applyFill="1" applyBorder="1"/>
    <x:xf numFmtId="0" fontId="55" fillId="7" borderId="280" xfId="2" applyNumberFormat="1" applyFont="1" applyFill="1" applyBorder="1"/>
    <x:xf numFmtId="213" fontId="44" fillId="7" borderId="280" xfId="2" applyNumberFormat="1" applyFont="1" applyFill="1" applyBorder="1" applyAlignment="1">
      <x:alignment vertical="top"/>
    </x:xf>
    <x:xf numFmtId="214" fontId="44" fillId="7" borderId="280" xfId="2" applyNumberFormat="1" applyFont="1" applyFill="1" applyBorder="1" applyAlignment="1">
      <x:alignment vertical="top"/>
    </x:xf>
    <x:xf numFmtId="212" fontId="44" fillId="7" borderId="280" xfId="2" applyNumberFormat="1" applyFont="1" applyFill="1" applyBorder="1" applyAlignment="1">
      <x:alignment vertical="top"/>
    </x:xf>
    <x:xf numFmtId="215" fontId="44" fillId="7" borderId="280" xfId="2" applyNumberFormat="1" applyFont="1" applyFill="1" applyBorder="1" applyAlignment="1">
      <x:alignment vertical="top"/>
    </x:xf>
    <x:xf numFmtId="212" fontId="54" fillId="7" borderId="280" xfId="2" applyNumberFormat="1" applyFont="1" applyFill="1" applyBorder="1" applyAlignment="1">
      <x:alignment vertical="top"/>
    </x:xf>
    <x:xf numFmtId="0" fontId="55" fillId="7" borderId="280" xfId="2" applyNumberFormat="1" applyFont="1" applyFill="1" applyBorder="1" applyAlignment="1">
      <x:alignment vertical="top"/>
    </x:xf>
    <x:xf numFmtId="213" fontId="44" fillId="7" borderId="280" xfId="2" applyNumberFormat="1" applyFont="1" applyFill="1" applyBorder="1" applyAlignment="1">
      <x:alignment vertical="top" wrapText="1"/>
    </x:xf>
    <x:xf numFmtId="214" fontId="44" fillId="7" borderId="280" xfId="2" applyNumberFormat="1" applyFont="1" applyFill="1" applyBorder="1" applyAlignment="1">
      <x:alignment vertical="top" wrapText="1"/>
    </x:xf>
    <x:xf numFmtId="215" fontId="44" fillId="7" borderId="280" xfId="2" applyNumberFormat="1" applyFont="1" applyFill="1" applyBorder="1" applyAlignment="1">
      <x:alignment vertical="top" wrapText="1"/>
    </x:xf>
    <x:xf numFmtId="212" fontId="54" fillId="7" borderId="280" xfId="2" applyNumberFormat="1" applyFont="1" applyFill="1" applyBorder="1" applyAlignment="1">
      <x:alignment vertical="top" wrapText="1"/>
    </x:xf>
    <x:xf numFmtId="0" fontId="55" fillId="7" borderId="280" xfId="2" applyNumberFormat="1" applyFont="1" applyFill="1" applyBorder="1" applyAlignment="1">
      <x:alignment vertical="top" wrapText="1"/>
    </x:xf>
    <x:xf numFmtId="0" fontId="52" fillId="7" borderId="280" xfId="2" applyNumberFormat="1" applyFont="1" applyFill="1" applyBorder="1"/>
    <x:xf numFmtId="216" fontId="53" fillId="7" borderId="280" xfId="2" applyNumberFormat="1" applyFont="1" applyFill="1" applyBorder="1"/>
    <x:xf numFmtId="0" fontId="54" fillId="7" borderId="280" xfId="2" applyNumberFormat="1" applyFont="1" applyFill="1" applyBorder="1"/>
    <x:xf numFmtId="216" fontId="55" fillId="7" borderId="280" xfId="2" applyNumberFormat="1" applyFont="1" applyFill="1" applyBorder="1"/>
    <x:xf numFmtId="0" fontId="54" fillId="7" borderId="280" xfId="2" applyNumberFormat="1" applyFont="1" applyFill="1" applyBorder="1" applyAlignment="1">
      <x:alignment vertical="top"/>
    </x:xf>
    <x:xf numFmtId="216" fontId="55" fillId="7" borderId="280" xfId="2" applyNumberFormat="1" applyFont="1" applyFill="1" applyBorder="1" applyAlignment="1">
      <x:alignment vertical="top"/>
    </x:xf>
    <x:xf numFmtId="0" fontId="54" fillId="7" borderId="280" xfId="2" applyNumberFormat="1" applyFont="1" applyFill="1" applyBorder="1" applyAlignment="1">
      <x:alignment vertical="top" wrapText="1"/>
    </x:xf>
    <x:xf numFmtId="216" fontId="55" fillId="7" borderId="280" xfId="2" applyNumberFormat="1" applyFont="1" applyFill="1" applyBorder="1" applyAlignment="1">
      <x:alignment vertical="top" wrapText="1"/>
    </x:xf>
    <x:xf numFmtId="213" fontId="56" fillId="7" borderId="280" xfId="2" applyNumberFormat="1" applyFont="1" applyFill="1" applyBorder="1"/>
    <x:xf numFmtId="213" fontId="57" fillId="7" borderId="280" xfId="2" applyNumberFormat="1" applyFont="1" applyFill="1" applyBorder="1"/>
    <x:xf numFmtId="213" fontId="57" fillId="7" borderId="280" xfId="2" applyNumberFormat="1" applyFont="1" applyFill="1" applyBorder="1" applyAlignment="1">
      <x:alignment vertical="top"/>
    </x:xf>
    <x:xf numFmtId="213" fontId="57" fillId="7" borderId="280" xfId="2" applyNumberFormat="1" applyFont="1" applyFill="1" applyBorder="1" applyAlignment="1">
      <x:alignment vertical="top" wrapText="1"/>
    </x:xf>
    <x:xf numFmtId="0" fontId="44" fillId="7" borderId="288" xfId="2" applyNumberFormat="1" applyFont="1" applyFill="1" applyBorder="1" applyAlignment="1">
      <x:alignment vertical="top" wrapText="1"/>
    </x:xf>
    <x:xf numFmtId="0" fontId="44" fillId="7" borderId="289" xfId="2" applyNumberFormat="1" applyFont="1" applyFill="1" applyBorder="1" applyAlignment="1">
      <x:alignment vertical="top" wrapText="1"/>
    </x:xf>
    <x:xf numFmtId="0" fontId="44" fillId="7" borderId="290" xfId="2" applyNumberFormat="1" applyFont="1" applyFill="1" applyBorder="1" applyAlignment="1">
      <x:alignment vertical="top" wrapText="1"/>
    </x:xf>
    <x:xf numFmtId="213" fontId="44" fillId="7" borderId="291" xfId="2" applyNumberFormat="1" applyFont="1" applyFill="1" applyBorder="1" applyAlignment="1">
      <x:alignment vertical="top" wrapText="1"/>
    </x:xf>
    <x:xf numFmtId="214" fontId="44" fillId="7" borderId="291" xfId="2" applyNumberFormat="1" applyFont="1" applyFill="1" applyBorder="1" applyAlignment="1">
      <x:alignment vertical="top" wrapText="1"/>
    </x:xf>
    <x:xf numFmtId="212" fontId="44" fillId="7" borderId="291" xfId="2" applyNumberFormat="1" applyFont="1" applyFill="1" applyBorder="1" applyAlignment="1">
      <x:alignment vertical="top" wrapText="1"/>
    </x:xf>
    <x:xf numFmtId="215" fontId="44" fillId="7" borderId="291" xfId="2" applyNumberFormat="1" applyFont="1" applyFill="1" applyBorder="1" applyAlignment="1">
      <x:alignment vertical="top" wrapText="1"/>
    </x:xf>
    <x:xf numFmtId="212" fontId="54" fillId="7" borderId="292" xfId="2" applyNumberFormat="1" applyFont="1" applyFill="1" applyBorder="1" applyAlignment="1">
      <x:alignment vertical="top" wrapText="1"/>
    </x:xf>
    <x:xf numFmtId="214" fontId="44" fillId="7" borderId="292" xfId="2" applyNumberFormat="1" applyFont="1" applyFill="1" applyBorder="1" applyAlignment="1">
      <x:alignment vertical="top" wrapText="1"/>
    </x:xf>
    <x:xf numFmtId="0" fontId="55" fillId="7" borderId="284" xfId="2" applyNumberFormat="1" applyFont="1" applyFill="1" applyBorder="1" applyAlignment="1">
      <x:alignment vertical="top" wrapText="1"/>
    </x:xf>
    <x:xf numFmtId="0" fontId="55" fillId="7" borderId="291" xfId="2" applyNumberFormat="1" applyFont="1" applyFill="1" applyBorder="1" applyAlignment="1">
      <x:alignment vertical="top" wrapText="1"/>
    </x:xf>
    <x:xf numFmtId="0" fontId="55" fillId="7" borderId="285" xfId="2" applyNumberFormat="1" applyFont="1" applyFill="1" applyBorder="1" applyAlignment="1">
      <x:alignment vertical="top" wrapText="1"/>
    </x:xf>
    <x:xf numFmtId="0" fontId="55" fillId="7" borderId="286" xfId="2" applyNumberFormat="1" applyFont="1" applyFill="1" applyBorder="1" applyAlignment="1">
      <x:alignment vertical="top" wrapText="1"/>
    </x:xf>
    <x:xf numFmtId="0" fontId="55" fillId="7" borderId="292" xfId="2" applyNumberFormat="1" applyFont="1" applyFill="1" applyBorder="1" applyAlignment="1">
      <x:alignment vertical="top" wrapText="1"/>
    </x:xf>
    <x:xf numFmtId="0" fontId="55" fillId="7" borderId="287" xfId="2" applyNumberFormat="1" applyFont="1" applyFill="1" applyBorder="1" applyAlignment="1">
      <x:alignment vertical="top" wrapText="1"/>
    </x:xf>
    <x:xf numFmtId="0" fontId="44" fillId="9" borderId="288" xfId="2" applyNumberFormat="1" applyFont="1" applyFill="1" applyBorder="1" applyAlignment="1">
      <x:alignment vertical="top" wrapText="1"/>
    </x:xf>
    <x:xf numFmtId="0" fontId="44" fillId="9" borderId="289" xfId="2" applyNumberFormat="1" applyFont="1" applyFill="1" applyBorder="1" applyAlignment="1">
      <x:alignment vertical="top" wrapText="1"/>
    </x:xf>
    <x:xf numFmtId="0" fontId="44" fillId="9" borderId="290" xfId="2" applyNumberFormat="1" applyFont="1" applyFill="1" applyBorder="1" applyAlignment="1">
      <x:alignment vertical="top" wrapText="1"/>
    </x:xf>
    <x:xf numFmtId="0" fontId="45" fillId="9" borderId="288" xfId="2" applyNumberFormat="1" applyFont="1" applyFill="1" applyBorder="1" applyAlignment="1">
      <x:alignment vertical="top" wrapText="1"/>
    </x:xf>
    <x:xf numFmtId="0" fontId="45" fillId="9" borderId="289" xfId="2" applyNumberFormat="1" applyFont="1" applyFill="1" applyBorder="1" applyAlignment="1">
      <x:alignment vertical="top" wrapText="1"/>
    </x:xf>
    <x:xf numFmtId="0" fontId="45" fillId="9" borderId="290" xfId="2" applyNumberFormat="1" applyFont="1" applyFill="1" applyBorder="1" applyAlignment="1">
      <x:alignment vertical="top" wrapText="1"/>
    </x:xf>
    <x:xf numFmtId="0" fontId="45" fillId="9" borderId="288" xfId="2" applyNumberFormat="1" applyFont="1" applyFill="1" applyBorder="1" applyAlignment="1">
      <x:alignment horizontal="center" vertical="top" wrapText="1"/>
    </x:xf>
    <x:xf numFmtId="0" fontId="45" fillId="9" borderId="289" xfId="2" applyNumberFormat="1" applyFont="1" applyFill="1" applyBorder="1" applyAlignment="1">
      <x:alignment horizontal="center" vertical="top" wrapText="1"/>
    </x:xf>
    <x:xf numFmtId="0" fontId="45" fillId="9" borderId="290" xfId="2" applyNumberFormat="1" applyFont="1" applyFill="1" applyBorder="1" applyAlignment="1">
      <x:alignment horizontal="center" vertical="top" wrapText="1"/>
    </x:xf>
    <x:xf numFmtId="0" fontId="45" fillId="9" borderId="293" xfId="2" applyNumberFormat="1" applyFont="1" applyFill="1" applyBorder="1" applyAlignment="1">
      <x:alignment horizontal="center" vertical="top" wrapText="1"/>
    </x:xf>
    <x:xf numFmtId="213" fontId="45" fillId="7" borderId="291" xfId="2" applyNumberFormat="1" applyFont="1" applyFill="1" applyBorder="1" applyAlignment="1">
      <x:alignment vertical="top" wrapText="1"/>
    </x:xf>
    <x:xf numFmtId="214" fontId="45" fillId="7" borderId="291" xfId="2" applyNumberFormat="1" applyFont="1" applyFill="1" applyBorder="1" applyAlignment="1">
      <x:alignment vertical="top" wrapText="1"/>
    </x:xf>
    <x:xf numFmtId="0" fontId="45" fillId="7" borderId="285" xfId="2" applyNumberFormat="1" applyFont="1" applyFill="1" applyBorder="1" applyAlignment="1">
      <x:alignment vertical="top" wrapText="1"/>
    </x:xf>
    <x:xf numFmtId="0" fontId="45" fillId="7" borderId="288" xfId="2" applyNumberFormat="1" applyFont="1" applyFill="1" applyBorder="1" applyAlignment="1">
      <x:alignment vertical="top" wrapText="1"/>
    </x:xf>
    <x:xf numFmtId="213" fontId="45" fillId="7" borderId="289" xfId="2" applyNumberFormat="1" applyFont="1" applyFill="1" applyBorder="1" applyAlignment="1">
      <x:alignment vertical="top" wrapText="1"/>
    </x:xf>
    <x:xf numFmtId="214" fontId="45" fillId="7" borderId="289" xfId="2" applyNumberFormat="1" applyFont="1" applyFill="1" applyBorder="1" applyAlignment="1">
      <x:alignment vertical="top" wrapText="1"/>
    </x:xf>
    <x:xf numFmtId="0" fontId="45" fillId="7" borderId="290" xfId="2" applyNumberFormat="1" applyFont="1" applyFill="1" applyBorder="1" applyAlignment="1">
      <x:alignment vertical="top" wrapText="1"/>
    </x:xf>
    <x:xf numFmtId="0" fontId="58" fillId="7" borderId="285" xfId="2" applyNumberFormat="1" applyFont="1" applyFill="1" applyBorder="1" applyAlignment="1">
      <x:alignment vertical="top" wrapText="1"/>
    </x:xf>
    <x:xf numFmtId="0" fontId="58" fillId="7" borderId="290" xfId="2" applyNumberFormat="1" applyFont="1" applyFill="1" applyBorder="1" applyAlignment="1">
      <x:alignment vertical="top" wrapText="1"/>
    </x:xf>
    <x:xf numFmtId="213" fontId="57" fillId="7" borderId="291" xfId="2" applyNumberFormat="1" applyFont="1" applyFill="1" applyBorder="1" applyAlignment="1">
      <x:alignment vertical="top" wrapText="1"/>
    </x:xf>
    <x:xf numFmtId="0" fontId="44" fillId="7" borderId="291" xfId="2" applyNumberFormat="1" applyFont="1" applyFill="1" applyBorder="1" applyAlignment="1">
      <x:alignment vertical="top" wrapText="1"/>
    </x:xf>
    <x:xf numFmtId="213" fontId="57" fillId="7" borderId="292" xfId="2" applyNumberFormat="1" applyFont="1" applyFill="1" applyBorder="1" applyAlignment="1">
      <x:alignment vertical="top" wrapText="1"/>
    </x:xf>
    <x:xf numFmtId="0" fontId="44" fillId="7" borderId="292" xfId="2" applyNumberFormat="1" applyFont="1" applyFill="1" applyBorder="1" applyAlignment="1">
      <x:alignment vertical="top" wrapText="1"/>
    </x:xf>
    <x:xf numFmtId="0" fontId="59" fillId="7" borderId="280" xfId="2" applyNumberFormat="1" applyFont="1" applyFill="1" applyBorder="1" applyAlignment="1">
      <x:alignment vertical="top" wrapText="1"/>
    </x:xf>
    <x:xf numFmtId="0" fontId="54" fillId="7" borderId="291" xfId="2" applyNumberFormat="1" applyFont="1" applyFill="1" applyBorder="1" applyAlignment="1">
      <x:alignment vertical="top" wrapText="1"/>
    </x:xf>
    <x:xf numFmtId="0" fontId="54" fillId="7" borderId="292" xfId="2" applyNumberFormat="1" applyFont="1" applyFill="1" applyBorder="1" applyAlignment="1">
      <x:alignment vertical="top" wrapText="1"/>
    </x:xf>
    <x:xf numFmtId="0" fontId="55" fillId="7" borderId="289" xfId="2" applyNumberFormat="1" applyFont="1" applyFill="1" applyBorder="1" applyAlignment="1">
      <x:alignment vertical="top" wrapText="1"/>
    </x:xf>
    <x:xf numFmtId="0" fontId="60" fillId="7" borderId="291" xfId="2" applyNumberFormat="1" applyFont="1" applyFill="1" applyBorder="1" applyAlignment="1">
      <x:alignment vertical="top" wrapText="1"/>
    </x:xf>
    <x:xf numFmtId="0" fontId="45" fillId="7" borderId="291" xfId="2" applyNumberFormat="1" applyFont="1" applyFill="1" applyBorder="1" applyAlignment="1">
      <x:alignment vertical="top" wrapText="1"/>
    </x:xf>
    <x:xf numFmtId="0" fontId="60" fillId="7" borderId="289" xfId="2" applyNumberFormat="1" applyFont="1" applyFill="1" applyBorder="1" applyAlignment="1">
      <x:alignment vertical="top" wrapText="1"/>
    </x:xf>
    <x:xf numFmtId="0" fontId="45" fillId="7" borderId="289" xfId="2" applyNumberFormat="1" applyFont="1" applyFill="1" applyBorder="1" applyAlignment="1">
      <x:alignment vertical="top" wrapText="1"/>
    </x:xf>
    <x:xf numFmtId="0" fontId="60" fillId="7" borderId="292" xfId="2" applyNumberFormat="1" applyFont="1" applyFill="1" applyBorder="1" applyAlignment="1">
      <x:alignment vertical="top" wrapText="1"/>
    </x:xf>
    <x:xf numFmtId="0" fontId="45" fillId="7" borderId="292" xfId="2" applyNumberFormat="1" applyFont="1" applyFill="1" applyBorder="1" applyAlignment="1">
      <x:alignment vertical="top" wrapText="1"/>
    </x:xf>
    <x:xf numFmtId="0" fontId="45" fillId="7" borderId="287" xfId="2" applyNumberFormat="1" applyFont="1" applyFill="1" applyBorder="1" applyAlignment="1">
      <x:alignment vertical="top" wrapText="1"/>
    </x:xf>
    <x:xf numFmtId="0" fontId="45" fillId="7" borderId="282" xfId="2" applyNumberFormat="1" applyFont="1" applyFill="1" applyBorder="1" applyAlignment="1">
      <x:alignment vertical="top" wrapText="1"/>
    </x:xf>
    <x:xf numFmtId="0" fontId="60" fillId="7" borderId="293" xfId="2" applyNumberFormat="1" applyFont="1" applyFill="1" applyBorder="1" applyAlignment="1">
      <x:alignment vertical="top" wrapText="1"/>
    </x:xf>
    <x:xf numFmtId="0" fontId="45" fillId="7" borderId="293" xfId="2" applyNumberFormat="1" applyFont="1" applyFill="1" applyBorder="1" applyAlignment="1">
      <x:alignment vertical="top" wrapText="1"/>
    </x:xf>
    <x:xf numFmtId="0" fontId="45" fillId="7" borderId="283" xfId="2" applyNumberFormat="1" applyFont="1" applyFill="1" applyBorder="1" applyAlignment="1">
      <x:alignment vertical="top" wrapText="1"/>
    </x:xf>
    <x:xf numFmtId="213" fontId="55" fillId="7" borderId="291" xfId="2" applyNumberFormat="1" applyFont="1" applyFill="1" applyBorder="1" applyAlignment="1">
      <x:alignment vertical="top" wrapText="1"/>
    </x:xf>
    <x:xf numFmtId="213" fontId="60" fillId="7" borderId="289" xfId="2" applyNumberFormat="1" applyFont="1" applyFill="1" applyBorder="1" applyAlignment="1">
      <x:alignment vertical="top" wrapText="1"/>
    </x:xf>
    <x:xf numFmtId="213" fontId="60" fillId="7" borderId="293" xfId="2" applyNumberFormat="1" applyFont="1" applyFill="1" applyBorder="1" applyAlignment="1">
      <x:alignment vertical="top" wrapText="1"/>
    </x:xf>
    <x:xf numFmtId="213" fontId="45" fillId="9" borderId="293" xfId="2" applyNumberFormat="1" applyFont="1" applyFill="1" applyBorder="1" applyAlignment="1">
      <x:alignment horizontal="center" vertical="top" wrapText="1"/>
    </x:xf>
    <x:xf numFmtId="213" fontId="55" fillId="7" borderId="292" xfId="2" applyNumberFormat="1" applyFont="1" applyFill="1" applyBorder="1" applyAlignment="1">
      <x:alignment vertical="top" wrapText="1"/>
    </x:xf>
    <x:xf numFmtId="213" fontId="55" fillId="7" borderId="289" xfId="2" applyNumberFormat="1" applyFont="1" applyFill="1" applyBorder="1" applyAlignment="1">
      <x:alignment vertical="top" wrapText="1"/>
    </x:xf>
    <x:xf numFmtId="213" fontId="44" fillId="7" borderId="292" xfId="2" applyNumberFormat="1" applyFont="1" applyFill="1" applyBorder="1" applyAlignment="1">
      <x:alignment vertical="top" wrapText="1"/>
    </x:xf>
    <x:xf numFmtId="0" fontId="57" fillId="7" borderId="291" xfId="2" applyNumberFormat="1" applyFont="1" applyFill="1" applyBorder="1" applyAlignment="1">
      <x:alignment vertical="top" wrapText="1"/>
    </x:xf>
    <x:xf numFmtId="0" fontId="57" fillId="7" borderId="292" xfId="2" applyNumberFormat="1" applyFont="1" applyFill="1" applyBorder="1" applyAlignment="1">
      <x:alignment vertical="top" wrapText="1"/>
    </x:xf>
    <x:xf numFmtId="216" fontId="55" fillId="7" borderId="285" xfId="2" applyNumberFormat="1" applyFont="1" applyFill="1" applyBorder="1" applyAlignment="1">
      <x:alignment vertical="top" wrapText="1"/>
    </x:xf>
    <x:xf numFmtId="214" fontId="55" fillId="7" borderId="291" xfId="2" applyNumberFormat="1" applyFont="1" applyFill="1" applyBorder="1" applyAlignment="1">
      <x:alignment vertical="top" wrapText="1"/>
    </x:xf>
    <x:xf numFmtId="216" fontId="44" fillId="7" borderId="280" xfId="2" applyNumberFormat="1" applyFont="1" applyFill="1" applyBorder="1" applyAlignment="1">
      <x:alignment vertical="top" wrapText="1"/>
    </x:xf>
    <x:xf numFmtId="216" fontId="57" fillId="7" borderId="280" xfId="2" applyNumberFormat="1" applyFont="1" applyFill="1" applyBorder="1" applyAlignment="1">
      <x:alignment vertical="top" wrapText="1"/>
    </x:xf>
    <x:xf numFmtId="216" fontId="57" fillId="7" borderId="284" xfId="2" applyNumberFormat="1" applyFont="1" applyFill="1" applyBorder="1" applyAlignment="1">
      <x:alignment vertical="top" wrapText="1"/>
    </x:xf>
    <x:xf numFmtId="216" fontId="57" fillId="7" borderId="285" xfId="2" applyNumberFormat="1" applyFont="1" applyFill="1" applyBorder="1" applyAlignment="1">
      <x:alignment vertical="top" wrapText="1"/>
    </x:xf>
    <x:xf numFmtId="216" fontId="57" fillId="7" borderId="286" xfId="2" applyNumberFormat="1" applyFont="1" applyFill="1" applyBorder="1" applyAlignment="1">
      <x:alignment vertical="top" wrapText="1"/>
    </x:xf>
    <x:xf numFmtId="216" fontId="57" fillId="7" borderId="287" xfId="2" applyNumberFormat="1" applyFont="1" applyFill="1" applyBorder="1" applyAlignment="1">
      <x:alignment vertical="top" wrapText="1"/>
    </x:xf>
    <x:xf numFmtId="0" fontId="61" fillId="7" borderId="280" xfId="2" applyNumberFormat="1" applyFont="1" applyFill="1" applyBorder="1" applyAlignment="1">
      <x:alignment vertical="top" wrapText="1"/>
    </x:xf>
    <x:xf numFmtId="213" fontId="55" fillId="7" borderId="280" xfId="2" applyNumberFormat="1" applyFont="1" applyFill="1" applyBorder="1" applyAlignment="1">
      <x:alignment vertical="top" wrapText="1"/>
    </x:xf>
    <x:xf numFmtId="213" fontId="55" fillId="7" borderId="285" xfId="2" applyNumberFormat="1" applyFont="1" applyFill="1" applyBorder="1" applyAlignment="1">
      <x:alignment vertical="top" wrapText="1"/>
    </x:xf>
    <x:xf numFmtId="213" fontId="44" fillId="7" borderId="285" xfId="2" applyNumberFormat="1" applyFont="1" applyFill="1" applyBorder="1" applyAlignment="1">
      <x:alignment vertical="top" wrapText="1"/>
    </x:xf>
    <x:xf numFmtId="213" fontId="44" fillId="7" borderId="287" xfId="2" applyNumberFormat="1" applyFont="1" applyFill="1" applyBorder="1" applyAlignment="1">
      <x:alignment vertical="top" wrapText="1"/>
    </x:xf>
    <x:xf numFmtId="0" fontId="44" fillId="7" borderId="282" xfId="2" applyNumberFormat="1" applyFont="1" applyFill="1" applyBorder="1" applyAlignment="1">
      <x:alignment vertical="top" wrapText="1"/>
    </x:xf>
    <x:xf numFmtId="213" fontId="55" fillId="7" borderId="293" xfId="2" applyNumberFormat="1" applyFont="1" applyFill="1" applyBorder="1" applyAlignment="1">
      <x:alignment vertical="top" wrapText="1"/>
    </x:xf>
    <x:xf numFmtId="213" fontId="55" fillId="7" borderId="283" xfId="2" applyNumberFormat="1" applyFont="1" applyFill="1" applyBorder="1" applyAlignment="1">
      <x:alignment vertical="top" wrapText="1"/>
    </x:xf>
    <x:xf numFmtId="213" fontId="44" fillId="7" borderId="289" xfId="2" applyNumberFormat="1" applyFont="1" applyFill="1" applyBorder="1" applyAlignment="1">
      <x:alignment vertical="top" wrapText="1"/>
    </x:xf>
    <x:xf numFmtId="213" fontId="44" fillId="7" borderId="290" xfId="2" applyNumberFormat="1" applyFont="1" applyFill="1" applyBorder="1" applyAlignment="1">
      <x:alignment vertical="top" wrapText="1"/>
    </x:xf>
    <x:xf numFmtId="212" fontId="44" fillId="7" borderId="292" xfId="2" applyNumberFormat="1" applyFont="1" applyFill="1" applyBorder="1" applyAlignment="1">
      <x:alignment vertical="top" wrapText="1"/>
    </x:xf>
    <x:xf numFmtId="213" fontId="45" fillId="7" borderId="285" xfId="2" applyNumberFormat="1" applyFont="1" applyFill="1" applyBorder="1" applyAlignment="1">
      <x:alignment vertical="top" wrapText="1"/>
    </x:xf>
    <x:xf numFmtId="213" fontId="45" fillId="7" borderId="290" xfId="2" applyNumberFormat="1" applyFont="1" applyFill="1" applyBorder="1" applyAlignment="1">
      <x:alignment vertical="top" wrapText="1"/>
    </x:xf>
    <x:xf numFmtId="213" fontId="45" fillId="7" borderId="292" xfId="2" applyNumberFormat="1" applyFont="1" applyFill="1" applyBorder="1" applyAlignment="1">
      <x:alignment vertical="top" wrapText="1"/>
    </x:xf>
    <x:xf numFmtId="213" fontId="45" fillId="7" borderId="287" xfId="2" applyNumberFormat="1" applyFont="1" applyFill="1" applyBorder="1" applyAlignment="1">
      <x:alignment vertical="top" wrapText="1"/>
    </x:xf>
    <x:xf numFmtId="213" fontId="45" fillId="7" borderId="293" xfId="2" applyNumberFormat="1" applyFont="1" applyFill="1" applyBorder="1" applyAlignment="1">
      <x:alignment vertical="top" wrapText="1"/>
    </x:xf>
    <x:xf numFmtId="213" fontId="45" fillId="7" borderId="283" xfId="2" applyNumberFormat="1" applyFont="1" applyFill="1" applyBorder="1" applyAlignment="1">
      <x:alignment vertical="top" wrapText="1"/>
    </x:xf>
    <x:xf numFmtId="212" fontId="45" fillId="7" borderId="292" xfId="2" applyNumberFormat="1" applyFont="1" applyFill="1" applyBorder="1" applyAlignment="1">
      <x:alignment vertical="top" wrapText="1"/>
    </x:xf>
    <x:xf numFmtId="212" fontId="45" fillId="7" borderId="293" xfId="2" applyNumberFormat="1" applyFont="1" applyFill="1" applyBorder="1" applyAlignment="1">
      <x:alignment vertical="top" wrapText="1"/>
    </x:xf>
    <x:xf numFmtId="213" fontId="62" fillId="7" borderId="289" xfId="2" applyNumberFormat="1" applyFont="1" applyFill="1" applyBorder="1" applyAlignment="1">
      <x:alignment vertical="top" wrapText="1"/>
    </x:xf>
    <x:xf numFmtId="212" fontId="55" fillId="7" borderId="291" xfId="2" applyNumberFormat="1" applyFont="1" applyFill="1" applyBorder="1" applyAlignment="1">
      <x:alignment vertical="top" wrapText="1"/>
    </x:xf>
    <x:xf numFmtId="215" fontId="54" fillId="7" borderId="291" xfId="2" applyNumberFormat="1" applyFont="1" applyFill="1" applyBorder="1" applyAlignment="1">
      <x:alignment vertical="top" wrapText="1"/>
    </x:xf>
    <x:xf numFmtId="0" fontId="58" fillId="7" borderId="287" xfId="2" applyNumberFormat="1" applyFont="1" applyFill="1" applyBorder="1" applyAlignment="1">
      <x:alignment vertical="top" wrapText="1"/>
    </x:xf>
    <x:xf numFmtId="0" fontId="44" fillId="7" borderId="280" xfId="2" applyNumberFormat="1" applyFont="1" applyFill="1" applyBorder="1" applyAlignment="1">
      <x:alignment wrapText="1"/>
    </x:xf>
    <x:xf numFmtId="0" fontId="44" fillId="7" borderId="293" xfId="2" applyNumberFormat="1" applyFont="1" applyFill="1" applyBorder="1" applyAlignment="1">
      <x:alignment vertical="top" wrapText="1"/>
    </x:xf>
    <x:xf numFmtId="0" fontId="44" fillId="7" borderId="283" xfId="2" applyNumberFormat="1" applyFont="1" applyFill="1" applyBorder="1" applyAlignment="1">
      <x:alignment vertical="top" wrapText="1"/>
    </x:xf>
    <x:xf numFmtId="0" fontId="44" fillId="7" borderId="294" xfId="2" applyNumberFormat="1" applyFont="1" applyFill="1" applyBorder="1" applyAlignment="1">
      <x:alignment vertical="top" wrapText="1"/>
    </x:xf>
    <x:xf numFmtId="0" fontId="44" fillId="7" borderId="295" xfId="2" applyNumberFormat="1" applyFont="1" applyFill="1" applyBorder="1" applyAlignment="1">
      <x:alignment vertical="top" wrapText="1"/>
    </x:xf>
    <x:xf numFmtId="0" fontId="44" fillId="7" borderId="296" xfId="2" applyNumberFormat="1" applyFont="1" applyFill="1" applyBorder="1" applyAlignment="1">
      <x:alignment vertical="top" wrapText="1"/>
    </x:xf>
    <x:xf numFmtId="0" fontId="44" fillId="9" borderId="294" xfId="2" applyNumberFormat="1" applyFont="1" applyFill="1" applyBorder="1" applyAlignment="1">
      <x:alignment vertical="top" wrapText="1"/>
    </x:xf>
    <x:xf numFmtId="0" fontId="45" fillId="9" borderId="294" xfId="2" applyNumberFormat="1" applyFont="1" applyFill="1" applyBorder="1" applyAlignment="1">
      <x:alignment vertical="top" wrapText="1"/>
    </x:xf>
    <x:xf numFmtId="0" fontId="45" fillId="9" borderId="294" xfId="2" applyNumberFormat="1" applyFont="1" applyFill="1" applyBorder="1" applyAlignment="1">
      <x:alignment horizontal="center" vertical="top" wrapText="1"/>
    </x:xf>
    <x:xf numFmtId="0" fontId="45" fillId="9" borderId="297" xfId="2" applyNumberFormat="1" applyFont="1" applyFill="1" applyBorder="1" applyAlignment="1">
      <x:alignment horizontal="center" vertical="top" wrapText="1"/>
    </x:xf>
    <x:xf numFmtId="213" fontId="54" fillId="7" borderId="280" xfId="2" applyNumberFormat="1" applyFont="1" applyFill="1" applyBorder="1" applyAlignment="1">
      <x:alignment vertical="top" wrapText="1"/>
    </x:xf>
    <x:xf numFmtId="213" fontId="44" fillId="9" borderId="280" xfId="2" applyNumberFormat="1" applyFont="1" applyFill="1" applyBorder="1" applyAlignment="1">
      <x:alignment vertical="top" wrapText="1"/>
    </x:xf>
    <x:xf numFmtId="214" fontId="44" fillId="9" borderId="280" xfId="2" applyNumberFormat="1" applyFont="1" applyFill="1" applyBorder="1" applyAlignment="1">
      <x:alignment vertical="top" wrapText="1"/>
    </x:xf>
    <x:xf numFmtId="213" fontId="45" fillId="9" borderId="280" xfId="2" applyNumberFormat="1" applyFont="1" applyFill="1" applyBorder="1" applyAlignment="1">
      <x:alignment vertical="top" wrapText="1"/>
    </x:xf>
    <x:xf numFmtId="214" fontId="45" fillId="9" borderId="280" xfId="2" applyNumberFormat="1" applyFont="1" applyFill="1" applyBorder="1" applyAlignment="1">
      <x:alignment vertical="top" wrapText="1"/>
    </x:xf>
    <x:xf numFmtId="213" fontId="45" fillId="9" borderId="280" xfId="2" applyNumberFormat="1" applyFont="1" applyFill="1" applyBorder="1" applyAlignment="1">
      <x:alignment horizontal="center" vertical="top" wrapText="1"/>
    </x:xf>
    <x:xf numFmtId="214" fontId="45" fillId="9" borderId="280" xfId="2" applyNumberFormat="1" applyFont="1" applyFill="1" applyBorder="1" applyAlignment="1">
      <x:alignment horizontal="center" vertical="top" wrapText="1"/>
    </x:xf>
    <x:xf numFmtId="213" fontId="45" fillId="9" borderId="281" xfId="2" applyNumberFormat="1" applyFont="1" applyFill="1" applyBorder="1" applyAlignment="1">
      <x:alignment horizontal="center" vertical="top" wrapText="1"/>
    </x:xf>
    <x:xf numFmtId="214" fontId="45" fillId="9" borderId="281" xfId="2" applyNumberFormat="1" applyFont="1" applyFill="1" applyBorder="1" applyAlignment="1">
      <x:alignment horizontal="center" vertical="top" wrapText="1"/>
    </x:xf>
    <x:xf numFmtId="213" fontId="54" fillId="7" borderId="292" xfId="2" applyNumberFormat="1" applyFont="1" applyFill="1" applyBorder="1" applyAlignment="1">
      <x:alignment vertical="top" wrapText="1"/>
    </x:xf>
    <x:xf numFmtId="214" fontId="45" fillId="9" borderId="293" xfId="2" applyNumberFormat="1" applyFont="1" applyFill="1" applyBorder="1" applyAlignment="1">
      <x:alignment horizontal="center" vertical="top" wrapText="1"/>
    </x:xf>
    <x:xf numFmtId="213" fontId="54" fillId="7" borderId="291" xfId="2" applyNumberFormat="1" applyFont="1" applyFill="1" applyBorder="1" applyAlignment="1">
      <x:alignment vertical="top" wrapText="1"/>
    </x:xf>
    <x:xf numFmtId="213" fontId="44" fillId="7" borderId="293" xfId="2" applyNumberFormat="1" applyFont="1" applyFill="1" applyBorder="1" applyAlignment="1">
      <x:alignment vertical="top" wrapText="1"/>
    </x:xf>
    <x:xf numFmtId="214" fontId="44" fillId="7" borderId="293" xfId="2" applyNumberFormat="1" applyFont="1" applyFill="1" applyBorder="1" applyAlignment="1">
      <x:alignment vertical="top" wrapText="1"/>
    </x:xf>
    <x:xf numFmtId="213" fontId="60" fillId="7" borderId="292" xfId="2" applyNumberFormat="1" applyFont="1" applyFill="1" applyBorder="1" applyAlignment="1">
      <x:alignment vertical="top" wrapText="1"/>
    </x:xf>
    <x:xf numFmtId="214" fontId="45" fillId="7" borderId="292" xfId="2" applyNumberFormat="1" applyFont="1" applyFill="1" applyBorder="1" applyAlignment="1">
      <x:alignment vertical="top" wrapText="1"/>
    </x:xf>
    <x:xf numFmtId="214" fontId="45" fillId="7" borderId="293" xfId="2" applyNumberFormat="1" applyFont="1" applyFill="1" applyBorder="1" applyAlignment="1">
      <x:alignment vertical="top" wrapText="1"/>
    </x:xf>
    <x:xf numFmtId="213" fontId="60" fillId="7" borderId="291" xfId="2" applyNumberFormat="1" applyFont="1" applyFill="1" applyBorder="1" applyAlignment="1">
      <x:alignment vertical="top" wrapText="1"/>
    </x:xf>
    <x:xf numFmtId="213" fontId="50" fillId="7" borderId="280" xfId="2" applyNumberFormat="1" applyFont="1" applyFill="1" applyBorder="1"/>
    <x:xf numFmtId="213" fontId="51" fillId="7" borderId="280" xfId="2" applyNumberFormat="1" applyFont="1" applyFill="1" applyBorder="1"/>
    <x:xf numFmtId="212" fontId="50" fillId="7" borderId="280" xfId="2" applyNumberFormat="1" applyFont="1" applyFill="1" applyBorder="1"/>
    <x:xf numFmtId="215" fontId="51" fillId="7" borderId="280" xfId="2" applyNumberFormat="1" applyFont="1" applyFill="1" applyBorder="1"/>
    <x:xf numFmtId="215" fontId="50" fillId="7" borderId="280" xfId="2" applyNumberFormat="1" applyFont="1" applyFill="1" applyBorder="1"/>
    <x:xf numFmtId="213" fontId="53" fillId="7" borderId="280" xfId="2" applyNumberFormat="1" applyFont="1" applyFill="1" applyBorder="1"/>
    <x:xf numFmtId="213" fontId="52" fillId="7" borderId="280" xfId="2" applyNumberFormat="1" applyFont="1" applyFill="1" applyBorder="1"/>
    <x:xf numFmtId="212" fontId="53" fillId="7" borderId="280" xfId="2" applyNumberFormat="1" applyFont="1" applyFill="1" applyBorder="1"/>
    <x:xf numFmtId="215" fontId="52" fillId="7" borderId="280" xfId="2" applyNumberFormat="1" applyFont="1" applyFill="1" applyBorder="1"/>
    <x:xf numFmtId="215" fontId="53" fillId="7" borderId="280" xfId="2" applyNumberFormat="1" applyFont="1" applyFill="1" applyBorder="1"/>
    <x:xf numFmtId="213" fontId="55" fillId="7" borderId="280" xfId="2" applyNumberFormat="1" applyFont="1" applyFill="1" applyBorder="1"/>
    <x:xf numFmtId="213" fontId="54" fillId="7" borderId="280" xfId="2" applyNumberFormat="1" applyFont="1" applyFill="1" applyBorder="1"/>
    <x:xf numFmtId="212" fontId="55" fillId="7" borderId="280" xfId="2" applyNumberFormat="1" applyFont="1" applyFill="1" applyBorder="1"/>
    <x:xf numFmtId="215" fontId="54" fillId="7" borderId="280" xfId="2" applyNumberFormat="1" applyFont="1" applyFill="1" applyBorder="1"/>
    <x:xf numFmtId="215" fontId="55" fillId="7" borderId="280" xfId="2" applyNumberFormat="1" applyFont="1" applyFill="1" applyBorder="1"/>
    <x:xf numFmtId="213" fontId="55" fillId="7" borderId="280" xfId="2" applyNumberFormat="1" applyFont="1" applyFill="1" applyBorder="1" applyAlignment="1">
      <x:alignment wrapText="1"/>
    </x:xf>
    <x:xf numFmtId="213" fontId="54" fillId="7" borderId="280" xfId="2" applyNumberFormat="1" applyFont="1" applyFill="1" applyBorder="1" applyAlignment="1">
      <x:alignment wrapText="1"/>
    </x:xf>
    <x:xf numFmtId="212" fontId="55" fillId="7" borderId="280" xfId="2" applyNumberFormat="1" applyFont="1" applyFill="1" applyBorder="1" applyAlignment="1">
      <x:alignment wrapText="1"/>
    </x:xf>
    <x:xf numFmtId="215" fontId="54" fillId="7" borderId="280" xfId="2" applyNumberFormat="1" applyFont="1" applyFill="1" applyBorder="1" applyAlignment="1">
      <x:alignment wrapText="1"/>
    </x:xf>
    <x:xf numFmtId="215" fontId="55" fillId="7" borderId="280" xfId="2" applyNumberFormat="1" applyFont="1" applyFill="1" applyBorder="1" applyAlignment="1">
      <x:alignment wrapText="1"/>
    </x:xf>
    <x:xf numFmtId="212" fontId="55" fillId="7" borderId="280" xfId="2" applyNumberFormat="1" applyFont="1" applyFill="1" applyBorder="1" applyAlignment="1">
      <x:alignment vertical="top" wrapText="1"/>
    </x:xf>
    <x:xf numFmtId="215" fontId="54" fillId="7" borderId="280" xfId="2" applyNumberFormat="1" applyFont="1" applyFill="1" applyBorder="1" applyAlignment="1">
      <x:alignment vertical="top" wrapText="1"/>
    </x:xf>
    <x:xf numFmtId="215" fontId="55" fillId="7" borderId="280" xfId="2" applyNumberFormat="1" applyFont="1" applyFill="1" applyBorder="1" applyAlignment="1">
      <x:alignment vertical="top" wrapText="1"/>
    </x:xf>
    <x:xf numFmtId="215" fontId="55" fillId="7" borderId="291" xfId="2" applyNumberFormat="1" applyFont="1" applyFill="1" applyBorder="1" applyAlignment="1">
      <x:alignment vertical="top" wrapText="1"/>
    </x:xf>
    <x:xf numFmtId="212" fontId="55" fillId="7" borderId="292" xfId="2" applyNumberFormat="1" applyFont="1" applyFill="1" applyBorder="1" applyAlignment="1">
      <x:alignment vertical="top" wrapText="1"/>
    </x:xf>
    <x:xf numFmtId="0" fontId="44" fillId="7" borderId="282" xfId="2" applyNumberFormat="1" applyFont="1" applyFill="1" applyBorder="1" applyAlignment="1">
      <x:alignment wrapText="1"/>
    </x:xf>
    <x:xf numFmtId="0" fontId="44" fillId="7" borderId="293" xfId="2" applyNumberFormat="1" applyFont="1" applyFill="1" applyBorder="1" applyAlignment="1">
      <x:alignment wrapText="1"/>
    </x:xf>
    <x:xf numFmtId="0" fontId="44" fillId="7" borderId="283" xfId="2" applyNumberFormat="1" applyFont="1" applyFill="1" applyBorder="1" applyAlignment="1">
      <x:alignment wrapText="1"/>
    </x:xf>
    <x:xf numFmtId="213" fontId="55" fillId="7" borderId="287" xfId="2" applyNumberFormat="1" applyFont="1" applyFill="1" applyBorder="1" applyAlignment="1">
      <x:alignment vertical="top" wrapText="1"/>
    </x:xf>
    <x:xf numFmtId="0" fontId="44" fillId="7" borderId="298" xfId="2" applyNumberFormat="1" applyFont="1" applyFill="1" applyBorder="1" applyAlignment="1">
      <x:alignment vertical="top" wrapText="1"/>
    </x:xf>
    <x:xf numFmtId="0" fontId="44" fillId="7" borderId="299" xfId="2" applyNumberFormat="1" applyFont="1" applyFill="1" applyBorder="1" applyAlignment="1">
      <x:alignment vertical="top" wrapText="1"/>
    </x:xf>
    <x:xf numFmtId="0" fontId="46" fillId="7" borderId="300" xfId="2" applyNumberFormat="1" applyFont="1" applyFill="1" applyBorder="1" applyAlignment="1">
      <x:alignment vertical="top" wrapText="0"/>
    </x:xf>
    <x:xf numFmtId="0" fontId="44" fillId="7" borderId="301" xfId="2" applyNumberFormat="1" applyFont="1" applyFill="1" applyBorder="1" applyAlignment="1">
      <x:alignment vertical="top" wrapText="0"/>
    </x:xf>
    <x:xf numFmtId="0" fontId="45" fillId="9" borderId="302" xfId="2" applyNumberFormat="1" applyFont="1" applyFill="1" applyBorder="1" applyAlignment="1">
      <x:alignment horizontal="center" vertical="top" wrapText="1"/>
    </x:xf>
    <x:xf numFmtId="0" fontId="45" fillId="9" borderId="303" xfId="2" applyNumberFormat="1" applyFont="1" applyFill="1" applyBorder="1" applyAlignment="1">
      <x:alignment horizontal="center" vertical="top" wrapText="1"/>
    </x:xf>
    <x:xf numFmtId="0" fontId="45" fillId="7" borderId="304" xfId="2" applyNumberFormat="1" applyFont="1" applyFill="1" applyBorder="1" applyAlignment="1">
      <x:alignment vertical="top" wrapText="1"/>
    </x:xf>
    <x:xf numFmtId="0" fontId="44" fillId="7" borderId="305" xfId="2" applyNumberFormat="1" applyFont="1" applyFill="1" applyBorder="1" applyAlignment="1">
      <x:alignment vertical="top" wrapText="1"/>
    </x:xf>
    <x:xf numFmtId="0" fontId="45" fillId="7" borderId="306" xfId="2" applyNumberFormat="1" applyFont="1" applyFill="1" applyBorder="1" applyAlignment="1">
      <x:alignment vertical="top" wrapText="1"/>
    </x:xf>
    <x:xf numFmtId="0" fontId="44" fillId="7" borderId="307" xfId="2" applyNumberFormat="1" applyFont="1" applyFill="1" applyBorder="1" applyAlignment="1">
      <x:alignment vertical="top" wrapText="1"/>
    </x:xf>
    <x:xf numFmtId="0" fontId="47" fillId="7" borderId="308" xfId="2" applyNumberFormat="1" applyFont="1" applyFill="1" applyBorder="1" applyAlignment="1">
      <x:alignment vertical="top" wrapText="1"/>
    </x:xf>
    <x:xf numFmtId="212" fontId="48" fillId="7" borderId="309" xfId="2" applyNumberFormat="1" applyFont="1" applyFill="1" applyBorder="1" applyAlignment="1">
      <x:alignment vertical="top" wrapText="1"/>
    </x:xf>
    <x:xf numFmtId="0" fontId="44" fillId="7" borderId="310" xfId="2" applyNumberFormat="1" applyFont="1" applyFill="1" applyBorder="1" applyAlignment="1">
      <x:alignment vertical="top" wrapText="1"/>
    </x:xf>
    <x:xf numFmtId="0" fontId="44" fillId="7" borderId="311" xfId="2" applyNumberFormat="1" applyFont="1" applyFill="1" applyBorder="1" applyAlignment="1">
      <x:alignment vertical="top" wrapText="1"/>
    </x:xf>
    <x:xf numFmtId="0" fontId="45" fillId="7" borderId="312" xfId="2" applyNumberFormat="1" applyFont="1" applyFill="1" applyBorder="1" applyAlignment="1">
      <x:alignment vertical="top" wrapText="1"/>
    </x:xf>
    <x:xf numFmtId="0" fontId="44" fillId="7" borderId="313" xfId="2" applyNumberFormat="1" applyFont="1" applyFill="1" applyBorder="1" applyAlignment="1">
      <x:alignment vertical="top" wrapText="1"/>
    </x:xf>
    <x:xf numFmtId="0" fontId="44" fillId="7" borderId="314" xfId="2" applyNumberFormat="1" applyFont="1" applyFill="1" applyBorder="1" applyAlignment="1">
      <x:alignment vertical="top" wrapText="1"/>
    </x:xf>
    <x:xf numFmtId="0" fontId="44" fillId="7" borderId="315" xfId="2" applyNumberFormat="1" applyFont="1" applyFill="1" applyBorder="1" applyAlignment="1">
      <x:alignment vertical="top" wrapText="1"/>
    </x:xf>
    <x:xf numFmtId="0" fontId="44" fillId="7" borderId="316" xfId="2" applyNumberFormat="1" applyFont="1" applyFill="1" applyBorder="1" applyAlignment="1">
      <x:alignment vertical="top" wrapText="1"/>
    </x:xf>
    <x:xf numFmtId="0" fontId="44" fillId="7" borderId="317" xfId="2" applyNumberFormat="1" applyFont="1" applyFill="1" applyBorder="1" applyAlignment="1">
      <x:alignment vertical="top" wrapText="1"/>
    </x:xf>
    <x:xf numFmtId="0" fontId="45" fillId="9" borderId="318" xfId="2" applyNumberFormat="1" applyFont="1" applyFill="1" applyBorder="1" applyAlignment="1">
      <x:alignment horizontal="center" vertical="top" wrapText="1"/>
    </x:xf>
    <x:xf numFmtId="213" fontId="55" fillId="7" borderId="319" xfId="2" applyNumberFormat="1" applyFont="1" applyFill="1" applyBorder="1" applyAlignment="1">
      <x:alignment vertical="top" wrapText="1"/>
    </x:xf>
    <x:xf numFmtId="214" fontId="44" fillId="7" borderId="320" xfId="2" applyNumberFormat="1" applyFont="1" applyFill="1" applyBorder="1" applyAlignment="1">
      <x:alignment vertical="top" wrapText="1"/>
    </x:xf>
    <x:xf numFmtId="0" fontId="44" fillId="7" borderId="321" xfId="2" applyNumberFormat="1" applyFont="1" applyFill="1" applyBorder="1" applyAlignment="1">
      <x:alignment vertical="top" wrapText="1"/>
    </x:xf>
    <x:xf numFmtId="0" fontId="45" fillId="7" borderId="322" xfId="2" applyNumberFormat="1" applyFont="1" applyFill="1" applyBorder="1" applyAlignment="1">
      <x:alignment vertical="top" wrapText="1"/>
    </x:xf>
    <x:xf numFmtId="213" fontId="60" fillId="7" borderId="323" xfId="2" applyNumberFormat="1" applyFont="1" applyFill="1" applyBorder="1" applyAlignment="1">
      <x:alignment vertical="top" wrapText="1"/>
    </x:xf>
    <x:xf numFmtId="214" fontId="45" fillId="7" borderId="324" xfId="2" applyNumberFormat="1" applyFont="1" applyFill="1" applyBorder="1" applyAlignment="1">
      <x:alignment vertical="top" wrapText="1"/>
    </x:xf>
    <x:xf numFmtId="0" fontId="45" fillId="7" borderId="325" xfId="2" applyNumberFormat="1" applyFont="1" applyFill="1" applyBorder="1" applyAlignment="1">
      <x:alignment vertical="top" wrapText="1"/>
    </x:xf>
    <x:xf numFmtId="0" fontId="45" fillId="7" borderId="326" xfId="2" applyNumberFormat="1" applyFont="1" applyFill="1" applyBorder="1" applyAlignment="1">
      <x:alignment vertical="top" wrapText="1"/>
    </x:xf>
    <x:xf numFmtId="213" fontId="44" fillId="7" borderId="327" xfId="2" applyNumberFormat="1" applyFont="1" applyFill="1" applyBorder="1" applyAlignment="1">
      <x:alignment vertical="top" wrapText="1"/>
    </x:xf>
    <x:xf numFmtId="214" fontId="44" fillId="7" borderId="328" xfId="2" applyNumberFormat="1" applyFont="1" applyFill="1" applyBorder="1" applyAlignment="1">
      <x:alignment vertical="top" wrapText="1"/>
    </x:xf>
    <x:xf numFmtId="213" fontId="45" fillId="9" borderId="329" xfId="2" applyNumberFormat="1" applyFont="1" applyFill="1" applyBorder="1" applyAlignment="1">
      <x:alignment horizontal="center" vertical="top" wrapText="1"/>
    </x:xf>
    <x:xf numFmtId="214" fontId="45" fillId="9" borderId="330" xfId="2" applyNumberFormat="1" applyFont="1" applyFill="1" applyBorder="1" applyAlignment="1">
      <x:alignment horizontal="center" vertical="top" wrapText="1"/>
    </x:xf>
    <x:xf numFmtId="213" fontId="44" fillId="7" borderId="331" xfId="2" applyNumberFormat="1" applyFont="1" applyFill="1" applyBorder="1" applyAlignment="1">
      <x:alignment vertical="top" wrapText="1"/>
    </x:xf>
    <x:xf numFmtId="0" fontId="45" fillId="7" borderId="332" xfId="2" applyNumberFormat="1" applyFont="1" applyFill="1" applyBorder="1" applyAlignment="1">
      <x:alignment vertical="top" wrapText="1"/>
    </x:xf>
    <x:xf numFmtId="213" fontId="60" fillId="7" borderId="333" xfId="2" applyNumberFormat="1" applyFont="1" applyFill="1" applyBorder="1" applyAlignment="1">
      <x:alignment vertical="top" wrapText="1"/>
    </x:xf>
    <x:xf numFmtId="214" fontId="45" fillId="7" borderId="334" xfId="2" applyNumberFormat="1" applyFont="1" applyFill="1" applyBorder="1" applyAlignment="1">
      <x:alignment vertical="top" wrapText="1"/>
    </x:xf>
    <x:xf numFmtId="0" fontId="45" fillId="7" borderId="335" xfId="2" applyNumberFormat="1" applyFont="1" applyFill="1" applyBorder="1" applyAlignment="1">
      <x:alignment vertical="top" wrapText="1"/>
    </x:xf>
    <x:xf numFmtId="0" fontId="45" fillId="7" borderId="336" xfId="2" applyNumberFormat="1" applyFont="1" applyFill="1" applyBorder="1" applyAlignment="1">
      <x:alignment vertical="top" wrapText="1"/>
    </x:xf>
    <x:xf numFmtId="213" fontId="44" fillId="7" borderId="337" xfId="2" applyNumberFormat="1" applyFont="1" applyFill="1" applyBorder="1" applyAlignment="1">
      <x:alignment vertical="top" wrapText="1"/>
    </x:xf>
    <x:xf numFmtId="214" fontId="44" fillId="7" borderId="338" xfId="2" applyNumberFormat="1" applyFont="1" applyFill="1" applyBorder="1" applyAlignment="1">
      <x:alignment vertical="top" wrapText="1"/>
    </x:xf>
    <x:xf numFmtId="0" fontId="44" fillId="7" borderId="339" xfId="2" applyNumberFormat="1" applyFont="1" applyFill="1" applyBorder="1" applyAlignment="1">
      <x:alignment vertical="top" wrapText="1"/>
    </x:xf>
    <x:xf numFmtId="0" fontId="44" fillId="7" borderId="340" xfId="2" applyNumberFormat="1" applyFont="1" applyFill="1" applyBorder="1" applyAlignment="1">
      <x:alignment vertical="top" wrapText="1"/>
    </x:xf>
    <x:xf numFmtId="213" fontId="44" fillId="7" borderId="341" xfId="2" applyNumberFormat="1" applyFont="1" applyFill="1" applyBorder="1" applyAlignment="1">
      <x:alignment vertical="top" wrapText="1"/>
    </x:xf>
    <x:xf numFmtId="214" fontId="44" fillId="7" borderId="342" xfId="2" applyNumberFormat="1" applyFont="1" applyFill="1" applyBorder="1" applyAlignment="1">
      <x:alignment vertical="top" wrapText="1"/>
    </x:xf>
    <x:xf numFmtId="0" fontId="44" fillId="7" borderId="343" xfId="2" applyNumberFormat="1" applyFont="1" applyFill="1" applyBorder="1" applyAlignment="1">
      <x:alignment vertical="top" wrapText="1"/>
    </x:xf>
    <x:xf numFmtId="0" fontId="44" fillId="7" borderId="344" xfId="2" applyNumberFormat="1" applyFont="1" applyFill="1" applyBorder="1" applyAlignment="1">
      <x:alignment vertical="top" wrapText="1"/>
    </x:xf>
    <x:xf numFmtId="0" fontId="46" fillId="7" borderId="345" xfId="2" applyNumberFormat="1" applyFont="1" applyFill="1" applyBorder="1" applyAlignment="1">
      <x:alignment vertical="top" wrapText="1"/>
    </x:xf>
    <x:xf numFmtId="0" fontId="58" fillId="7" borderId="346" xfId="2" applyNumberFormat="1" applyFont="1" applyFill="1" applyBorder="1" applyAlignment="1">
      <x:alignment vertical="top" wrapText="1"/>
    </x:xf>
    <x:xf numFmtId="213" fontId="62" fillId="7" borderId="347" xfId="2" applyNumberFormat="1" applyFont="1" applyFill="1" applyBorder="1" applyAlignment="1">
      <x:alignment vertical="top" wrapText="1"/>
    </x:xf>
    <x:xf numFmtId="0" fontId="58" fillId="7" borderId="348" xfId="2" applyNumberFormat="1" applyFont="1" applyFill="1" applyBorder="1" applyAlignment="1">
      <x:alignment vertical="top" wrapText="1"/>
    </x:xf>
    <x:xf numFmtId="212" fontId="55" fillId="7" borderId="349" xfId="2" applyNumberFormat="1" applyFont="1" applyFill="1" applyBorder="1" applyAlignment="1">
      <x:alignment vertical="top" wrapText="1"/>
    </x:xf>
    <x:xf numFmtId="215" fontId="54" fillId="7" borderId="350" xfId="2" applyNumberFormat="1" applyFont="1" applyFill="1" applyBorder="1" applyAlignment="1">
      <x:alignment vertical="top" wrapText="1"/>
    </x:xf>
    <x:xf numFmtId="212" fontId="54" fillId="7" borderId="351" xfId="2" applyNumberFormat="1" applyFont="1" applyFill="1" applyBorder="1" applyAlignment="1">
      <x:alignment vertical="top" wrapText="1"/>
    </x:xf>
    <x:xf numFmtId="0" fontId="58" fillId="7" borderId="352" xfId="2" applyNumberFormat="1" applyFont="1" applyFill="1" applyBorder="1" applyAlignment="1">
      <x:alignment vertical="top" wrapText="1"/>
    </x:xf>
    <x:xf numFmtId="0" fontId="45" fillId="9" borderId="353" xfId="2" applyNumberFormat="1" applyFont="1" applyFill="1" applyBorder="1" applyAlignment="1">
      <x:alignment horizontal="center" vertical="top" wrapText="1"/>
    </x:xf>
    <x:xf numFmtId="0" fontId="55" fillId="7" borderId="354" xfId="2" applyNumberFormat="1" applyFont="1" applyFill="1" applyBorder="1" applyAlignment="1">
      <x:alignment vertical="top" wrapText="1"/>
    </x:xf>
    <x:xf numFmtId="0" fontId="55" fillId="7" borderId="355" xfId="2" applyNumberFormat="1" applyFont="1" applyFill="1" applyBorder="1" applyAlignment="1">
      <x:alignment vertical="top" wrapText="1"/>
    </x:xf>
    <x:xf numFmtId="0" fontId="55" fillId="7" borderId="356" xfId="2" applyNumberFormat="1" applyFont="1" applyFill="1" applyBorder="1" applyAlignment="1">
      <x:alignment vertical="top" wrapText="1"/>
    </x:xf>
    <x:xf numFmtId="0" fontId="55" fillId="7" borderId="357" xfId="2" applyNumberFormat="1" applyFont="1" applyFill="1" applyBorder="1" applyAlignment="1">
      <x:alignment vertical="top" wrapText="1"/>
    </x:xf>
    <x:xf numFmtId="0" fontId="55" fillId="7" borderId="358" xfId="2" applyNumberFormat="1" applyFont="1" applyFill="1" applyBorder="1" applyAlignment="1">
      <x:alignment vertical="top" wrapText="1"/>
    </x:xf>
    <x:xf numFmtId="0" fontId="55" fillId="7" borderId="359" xfId="2" applyNumberFormat="1" applyFont="1" applyFill="1" applyBorder="1" applyAlignment="1">
      <x:alignment vertical="top" wrapText="1"/>
    </x:xf>
    <x:xf numFmtId="0" fontId="61" fillId="7" borderId="360" xfId="2" applyNumberFormat="1" applyFont="1" applyFill="1" applyBorder="1" applyAlignment="1">
      <x:alignment vertical="top" wrapText="1"/>
    </x:xf>
    <x:xf numFmtId="213" fontId="55" fillId="7" borderId="361" xfId="2" applyNumberFormat="1" applyFont="1" applyFill="1" applyBorder="1" applyAlignment="1">
      <x:alignment vertical="top" wrapText="1"/>
    </x:xf>
    <x:xf numFmtId="213" fontId="45" fillId="7" borderId="362" xfId="2" applyNumberFormat="1" applyFont="1" applyFill="1" applyBorder="1" applyAlignment="1">
      <x:alignment vertical="top" wrapText="1"/>
    </x:xf>
    <x:xf numFmtId="213" fontId="45" fillId="7" borderId="363" xfId="2" applyNumberFormat="1" applyFont="1" applyFill="1" applyBorder="1" applyAlignment="1">
      <x:alignment vertical="top" wrapText="1"/>
    </x:xf>
    <x:xf numFmtId="213" fontId="44" fillId="7" borderId="364" xfId="2" applyNumberFormat="1" applyFont="1" applyFill="1" applyBorder="1" applyAlignment="1">
      <x:alignment vertical="top" wrapText="1"/>
    </x:xf>
    <x:xf numFmtId="213" fontId="44" fillId="7" borderId="365" xfId="2" applyNumberFormat="1" applyFont="1" applyFill="1" applyBorder="1" applyAlignment="1">
      <x:alignment vertical="top" wrapText="1"/>
    </x:xf>
    <x:xf numFmtId="213" fontId="45" fillId="7" borderId="366" xfId="2" applyNumberFormat="1" applyFont="1" applyFill="1" applyBorder="1" applyAlignment="1">
      <x:alignment vertical="top" wrapText="1"/>
    </x:xf>
    <x:xf numFmtId="213" fontId="45" fillId="7" borderId="367" xfId="2" applyNumberFormat="1" applyFont="1" applyFill="1" applyBorder="1" applyAlignment="1">
      <x:alignment vertical="top" wrapText="1"/>
    </x:xf>
    <x:xf numFmtId="213" fontId="44" fillId="7" borderId="368" xfId="2" applyNumberFormat="1" applyFont="1" applyFill="1" applyBorder="1" applyAlignment="1">
      <x:alignment vertical="top" wrapText="1"/>
    </x:xf>
    <x:xf numFmtId="213" fontId="55" fillId="7" borderId="369" xfId="2" applyNumberFormat="1" applyFont="1" applyFill="1" applyBorder="1" applyAlignment="1">
      <x:alignment vertical="top" wrapText="1"/>
    </x:xf>
    <x:xf numFmtId="213" fontId="55" fillId="7" borderId="370" xfId="2" applyNumberFormat="1" applyFont="1" applyFill="1" applyBorder="1" applyAlignment="1">
      <x:alignment vertical="top" wrapText="1"/>
    </x:xf>
    <x:xf numFmtId="213" fontId="45" fillId="7" borderId="371" xfId="2" applyNumberFormat="1" applyFont="1" applyFill="1" applyBorder="1" applyAlignment="1">
      <x:alignment vertical="top" wrapText="1"/>
    </x:xf>
    <x:xf numFmtId="213" fontId="45" fillId="7" borderId="372" xfId="2" applyNumberFormat="1" applyFont="1" applyFill="1" applyBorder="1" applyAlignment="1">
      <x:alignment vertical="top" wrapText="1"/>
    </x:xf>
    <x:xf numFmtId="212" fontId="45" fillId="7" borderId="373" xfId="2" applyNumberFormat="1" applyFont="1" applyFill="1" applyBorder="1" applyAlignment="1">
      <x:alignment vertical="top" wrapText="1"/>
    </x:xf>
    <x:xf numFmtId="213" fontId="54" fillId="7" borderId="374" xfId="2" applyNumberFormat="1" applyFont="1" applyFill="1" applyBorder="1" applyAlignment="1">
      <x:alignment vertical="top" wrapText="1"/>
    </x:xf>
    <x:xf numFmtId="215" fontId="55" fillId="7" borderId="375" xfId="2" applyNumberFormat="1" applyFont="1" applyFill="1" applyBorder="1" applyAlignment="1">
      <x:alignment vertical="top" wrapText="1"/>
    </x:xf>
    <x:xf numFmtId="212" fontId="55" fillId="7" borderId="376" xfId="2" applyNumberFormat="1" applyFont="1" applyFill="1" applyBorder="1" applyAlignment="1">
      <x:alignment vertical="top" wrapText="1"/>
    </x:xf>
    <x:xf numFmtId="0" fontId="44" fillId="7" borderId="377" xfId="2" applyNumberFormat="1" applyFont="1" applyFill="1" applyBorder="1"/>
    <x:xf numFmtId="213" fontId="55" fillId="7" borderId="378" xfId="2" applyNumberFormat="1" applyFont="1" applyFill="1" applyBorder="1" applyAlignment="1">
      <x:alignment vertical="top" wrapText="1"/>
    </x:xf>
    <x:xf numFmtId="213" fontId="55" fillId="7" borderId="379" xfId="2" applyNumberFormat="1" applyFont="1" applyFill="1" applyBorder="1" applyAlignment="1">
      <x:alignment vertical="top" wrapText="1"/>
    </x:xf>
    <x:xf numFmtId="213" fontId="55" fillId="7" borderId="380" xfId="2" applyNumberFormat="1" applyFont="1" applyFill="1" applyBorder="1" applyAlignment="1">
      <x:alignment vertical="top" wrapText="1"/>
    </x:xf>
    <x:xf numFmtId="0" fontId="44" fillId="7" borderId="381" xfId="2" applyNumberFormat="1" applyFont="1" applyFill="1" applyBorder="1" applyAlignment="1">
      <x:alignment vertical="top" wrapText="1"/>
    </x:xf>
    <x:xf numFmtId="0" fontId="45" fillId="7" borderId="382" xfId="2" applyNumberFormat="1" applyFont="1" applyFill="1" applyBorder="1" applyAlignment="1">
      <x:alignment vertical="top" wrapText="1"/>
    </x:xf>
    <x:xf numFmtId="0" fontId="45" fillId="7" borderId="383" xfId="2" applyNumberFormat="1" applyFont="1" applyFill="1" applyBorder="1" applyAlignment="1">
      <x:alignment vertical="top" wrapText="1"/>
    </x:xf>
    <x:xf numFmtId="0" fontId="44" fillId="7" borderId="384" xfId="2" applyNumberFormat="1" applyFont="1" applyFill="1" applyBorder="1" applyAlignment="1">
      <x:alignment vertical="top" wrapText="1"/>
    </x:xf>
    <x:xf numFmtId="213" fontId="44" fillId="7" borderId="385" xfId="2" applyNumberFormat="1" applyFont="1" applyFill="1" applyBorder="1" applyAlignment="1">
      <x:alignment vertical="top" wrapText="1"/>
    </x:xf>
    <x:xf numFmtId="0" fontId="44" fillId="7" borderId="386" xfId="2" applyNumberFormat="1" applyFont="1" applyFill="1" applyBorder="1" applyAlignment="1">
      <x:alignment vertical="top" wrapText="1"/>
    </x:xf>
    <x:xf numFmtId="213" fontId="44" fillId="7" borderId="387" xfId="2" applyNumberFormat="1" applyFont="1" applyFill="1" applyBorder="1" applyAlignment="1">
      <x:alignment vertical="top" wrapText="1"/>
    </x:xf>
    <x:xf numFmtId="0" fontId="44" fillId="7" borderId="388" xfId="2" applyNumberFormat="1" applyFont="1" applyFill="1" applyBorder="1" applyAlignment="1">
      <x:alignment vertical="top" wrapText="1"/>
    </x:xf>
    <x:xf numFmtId="0" fontId="44" fillId="7" borderId="389" xfId="2" applyNumberFormat="1" applyFont="1" applyFill="1" applyBorder="1" applyAlignment="1">
      <x:alignment vertical="top" wrapText="1"/>
    </x:xf>
    <x:xf numFmtId="0" fontId="44" fillId="7" borderId="390" xfId="2" applyNumberFormat="1" applyFont="1" applyFill="1" applyBorder="1" applyAlignment="1">
      <x:alignment vertical="top" wrapText="1"/>
    </x:xf>
    <x:xf numFmtId="213" fontId="55" fillId="7" borderId="391" xfId="2" applyNumberFormat="1" applyFont="1" applyFill="1" applyBorder="1" applyAlignment="1">
      <x:alignment vertical="top" wrapText="1"/>
    </x:xf>
    <x:xf numFmtId="0" fontId="44" fillId="7" borderId="392" xfId="2" applyNumberFormat="1" applyFont="1" applyFill="1" applyBorder="1" applyAlignment="1">
      <x:alignment vertical="top" wrapText="1"/>
    </x:xf>
    <x:xf numFmtId="0" fontId="44" fillId="7" borderId="393" xfId="2" applyNumberFormat="1" applyFont="1" applyFill="1" applyBorder="1" applyAlignment="1">
      <x:alignment vertical="top" wrapText="1"/>
    </x:xf>
    <x:xf numFmtId="0" fontId="44" fillId="7" borderId="394" xfId="2" applyNumberFormat="1" applyFont="1" applyFill="1" applyBorder="1" applyAlignment="1">
      <x:alignment vertical="top" wrapText="1"/>
    </x:xf>
    <x:xf numFmtId="214" fontId="55" fillId="7" borderId="395" xfId="2" applyNumberFormat="1" applyFont="1" applyFill="1" applyBorder="1" applyAlignment="1">
      <x:alignment vertical="top" wrapText="1"/>
    </x:xf>
    <x:xf numFmtId="216" fontId="55" fillId="7" borderId="396" xfId="2" applyNumberFormat="1" applyFont="1" applyFill="1" applyBorder="1" applyAlignment="1">
      <x:alignment vertical="top" wrapText="1"/>
    </x:xf>
    <x:xf numFmtId="213" fontId="57" fillId="7" borderId="397" xfId="2" applyNumberFormat="1" applyFont="1" applyFill="1" applyBorder="1" applyAlignment="1">
      <x:alignment vertical="top" wrapText="1"/>
    </x:xf>
    <x:xf numFmtId="214" fontId="44" fillId="7" borderId="398" xfId="2" applyNumberFormat="1" applyFont="1" applyFill="1" applyBorder="1" applyAlignment="1">
      <x:alignment vertical="top" wrapText="1"/>
    </x:xf>
    <x:xf numFmtId="0" fontId="44" fillId="7" borderId="399" xfId="2" applyNumberFormat="1" applyFont="1" applyFill="1" applyBorder="1" applyAlignment="1">
      <x:alignment vertical="top" wrapText="1"/>
    </x:xf>
    <x:xf numFmtId="213" fontId="57" fillId="7" borderId="400" xfId="2" applyNumberFormat="1" applyFont="1" applyFill="1" applyBorder="1" applyAlignment="1">
      <x:alignment vertical="top" wrapText="1"/>
    </x:xf>
    <x:xf numFmtId="0" fontId="44" fillId="7" borderId="401" xfId="2" applyNumberFormat="1" applyFont="1" applyFill="1" applyBorder="1" applyAlignment="1">
      <x:alignment vertical="top" wrapText="1"/>
    </x:xf>
    <x:xf numFmtId="0" fontId="44" fillId="7" borderId="402" xfId="2" applyNumberFormat="1" applyFont="1" applyFill="1" applyBorder="1" applyAlignment="1">
      <x:alignment vertical="top" wrapText="1"/>
    </x:xf>
    <x:xf numFmtId="0" fontId="45" fillId="9" borderId="403" xfId="2" applyNumberFormat="1" applyFont="1" applyFill="1" applyBorder="1" applyAlignment="1">
      <x:alignment horizontal="center" vertical="top" wrapText="1"/>
    </x:xf>
    <x:xf numFmtId="216" fontId="57" fillId="7" borderId="404" xfId="2" applyNumberFormat="1" applyFont="1" applyFill="1" applyBorder="1" applyAlignment="1">
      <x:alignment vertical="top" wrapText="1"/>
    </x:xf>
    <x:xf numFmtId="216" fontId="57" fillId="7" borderId="405" xfId="2" applyNumberFormat="1" applyFont="1" applyFill="1" applyBorder="1" applyAlignment="1">
      <x:alignment vertical="top" wrapText="1"/>
    </x:xf>
    <x:xf numFmtId="216" fontId="57" fillId="7" borderId="406" xfId="2" applyNumberFormat="1" applyFont="1" applyFill="1" applyBorder="1" applyAlignment="1">
      <x:alignment vertical="top" wrapText="1"/>
    </x:xf>
    <x:xf numFmtId="216" fontId="57" fillId="7" borderId="407" xfId="2" applyNumberFormat="1" applyFont="1" applyFill="1" applyBorder="1" applyAlignment="1">
      <x:alignment vertical="top" wrapText="1"/>
    </x:xf>
    <x:xf numFmtId="214" fontId="44" fillId="7" borderId="408" xfId="2" applyNumberFormat="1" applyFont="1" applyFill="1" applyBorder="1" applyAlignment="1">
      <x:alignment vertical="top" wrapText="1"/>
    </x:xf>
    <x:xf numFmtId="216" fontId="57" fillId="7" borderId="409" xfId="2" applyNumberFormat="1" applyFont="1" applyFill="1" applyBorder="1" applyAlignment="1">
      <x:alignment vertical="top" wrapText="1"/>
    </x:xf>
    <x:xf numFmtId="216" fontId="57" fillId="7" borderId="410" xfId="2" applyNumberFormat="1" applyFont="1" applyFill="1" applyBorder="1" applyAlignment="1">
      <x:alignment vertical="top" wrapText="1"/>
    </x:xf>
    <x:xf numFmtId="0" fontId="45" fillId="9" borderId="411" xfId="2" applyNumberFormat="1" applyFont="1" applyFill="1" applyBorder="1" applyAlignment="1">
      <x:alignment horizontal="center" vertical="top" wrapText="1"/>
    </x:xf>
    <x:xf numFmtId="0" fontId="44" fillId="7" borderId="412" xfId="2" applyNumberFormat="1" applyFont="1" applyFill="1" applyBorder="1" applyAlignment="1">
      <x:alignment vertical="top" wrapText="1"/>
    </x:xf>
    <x:xf numFmtId="0" fontId="44" fillId="7" borderId="413" xfId="2" applyNumberFormat="1" applyFont="1" applyFill="1" applyBorder="1" applyAlignment="1">
      <x:alignment vertical="top" wrapText="1"/>
    </x:xf>
    <x:xf numFmtId="213" fontId="57" fillId="7" borderId="414" xfId="2" applyNumberFormat="1" applyFont="1" applyFill="1" applyBorder="1" applyAlignment="1">
      <x:alignment vertical="top" wrapText="1"/>
    </x:xf>
    <x:xf numFmtId="213" fontId="57" fillId="7" borderId="415" xfId="2" applyNumberFormat="1" applyFont="1" applyFill="1" applyBorder="1" applyAlignment="1">
      <x:alignment vertical="top" wrapText="1"/>
    </x:xf>
    <x:xf numFmtId="0" fontId="44" fillId="7" borderId="416" xfId="2" applyNumberFormat="1" applyFont="1" applyFill="1" applyBorder="1" applyAlignment="1">
      <x:alignment vertical="top" wrapText="1"/>
    </x:xf>
    <x:xf numFmtId="0" fontId="44" fillId="7" borderId="417" xfId="2" applyNumberFormat="1" applyFont="1" applyFill="1" applyBorder="1" applyAlignment="1">
      <x:alignment wrapText="1"/>
    </x:xf>
    <x:xf numFmtId="0" fontId="44" fillId="7" borderId="418" xfId="2" applyNumberFormat="1" applyFont="1" applyFill="1" applyBorder="1" applyAlignment="1">
      <x:alignment wrapText="1"/>
    </x:xf>
    <x:xf numFmtId="0" fontId="44" fillId="7" borderId="419" xfId="2" applyNumberFormat="1" applyFont="1" applyFill="1" applyBorder="1" applyAlignment="1">
      <x:alignment wrapText="1"/>
    </x:xf>
    <x:xf numFmtId="0" fontId="63" fillId="10" borderId="420" xfId="3"/>
    <x:xf numFmtId="0" fontId="64" fillId="10" borderId="420" xfId="3" applyNumberFormat="1" applyFont="1" applyFill="1" applyBorder="1"/>
    <x:xf numFmtId="0" fontId="65" fillId="10" borderId="420" xfId="3" applyNumberFormat="1" applyFont="1" applyFill="1" applyBorder="1"/>
    <x:xf numFmtId="0" fontId="65" fillId="10" borderId="420" xfId="3" applyNumberFormat="1" applyFont="1" applyFill="1" applyBorder="1" applyAlignment="1">
      <x:alignment vertical="top"/>
    </x:xf>
    <x:xf numFmtId="0" fontId="65" fillId="10" borderId="420" xfId="3" applyNumberFormat="1" applyFont="1" applyFill="1" applyBorder="1" applyAlignment="1">
      <x:alignment vertical="top" wrapText="1"/>
    </x:xf>
    <x:xf numFmtId="0" fontId="66" fillId="10" borderId="420" xfId="3" applyNumberFormat="1" applyFont="1" applyFill="1" applyBorder="1" applyAlignment="1">
      <x:alignment vertical="top" wrapText="1"/>
    </x:xf>
    <x:xf numFmtId="0" fontId="67" fillId="10" borderId="420" xfId="3" applyNumberFormat="1" applyFont="1" applyFill="1" applyBorder="1" applyAlignment="1">
      <x:alignment vertical="top" wrapText="1"/>
    </x:xf>
    <x:xf numFmtId="0" fontId="67" fillId="10" borderId="420" xfId="3" applyNumberFormat="1" applyFont="1" applyFill="1" applyBorder="1" applyAlignment="1">
      <x:alignment vertical="top" wrapText="0"/>
    </x:xf>
    <x:xf numFmtId="0" fontId="65" fillId="10" borderId="420" xfId="3" applyNumberFormat="1" applyFont="1" applyFill="1" applyBorder="1" applyAlignment="1">
      <x:alignment vertical="top" wrapText="0"/>
    </x:xf>
    <x:xf numFmtId="0" fontId="65" fillId="12" borderId="420" xfId="3" applyNumberFormat="1" applyFont="1" applyFill="1" applyBorder="1" applyAlignment="1">
      <x:alignment vertical="top" wrapText="1"/>
    </x:xf>
    <x:xf numFmtId="0" fontId="66" fillId="12" borderId="420" xfId="3" applyNumberFormat="1" applyFont="1" applyFill="1" applyBorder="1" applyAlignment="1">
      <x:alignment vertical="top" wrapText="1"/>
    </x:xf>
    <x:xf numFmtId="0" fontId="66" fillId="12" borderId="420" xfId="3" applyNumberFormat="1" applyFont="1" applyFill="1" applyBorder="1" applyAlignment="1">
      <x:alignment horizontal="center" vertical="top" wrapText="1"/>
    </x:xf>
    <x:xf numFmtId="0" fontId="66" fillId="12" borderId="421" xfId="3" applyNumberFormat="1" applyFont="1" applyFill="1" applyBorder="1" applyAlignment="1">
      <x:alignment horizontal="center" vertical="top" wrapText="1"/>
    </x:xf>
    <x:xf numFmtId="0" fontId="66" fillId="12" borderId="422" xfId="3" applyNumberFormat="1" applyFont="1" applyFill="1" applyBorder="1" applyAlignment="1">
      <x:alignment horizontal="center" vertical="top" wrapText="1"/>
    </x:xf>
    <x:xf numFmtId="0" fontId="66" fillId="12" borderId="423" xfId="3" applyNumberFormat="1" applyFont="1" applyFill="1" applyBorder="1" applyAlignment="1">
      <x:alignment horizontal="center" vertical="top" wrapText="1"/>
    </x:xf>
    <x:xf numFmtId="0" fontId="66" fillId="10" borderId="424" xfId="3" applyNumberFormat="1" applyFont="1" applyFill="1" applyBorder="1" applyAlignment="1">
      <x:alignment vertical="top" wrapText="1"/>
    </x:xf>
    <x:xf numFmtId="0" fontId="65" fillId="10" borderId="425" xfId="3" applyNumberFormat="1" applyFont="1" applyFill="1" applyBorder="1" applyAlignment="1">
      <x:alignment vertical="top" wrapText="1"/>
    </x:xf>
    <x:xf numFmtId="0" fontId="66" fillId="10" borderId="426" xfId="3" applyNumberFormat="1" applyFont="1" applyFill="1" applyBorder="1" applyAlignment="1">
      <x:alignment vertical="top" wrapText="1"/>
    </x:xf>
    <x:xf numFmtId="0" fontId="65" fillId="10" borderId="427" xfId="3" applyNumberFormat="1" applyFont="1" applyFill="1" applyBorder="1" applyAlignment="1">
      <x:alignment vertical="top" wrapText="1"/>
    </x:xf>
    <x:xf numFmtId="217" fontId="65" fillId="10" borderId="420" xfId="3" applyNumberFormat="1" applyFont="1" applyFill="1" applyBorder="1" applyAlignment="1">
      <x:alignment vertical="top" wrapText="1"/>
    </x:xf>
    <x:xf numFmtId="0" fontId="68" fillId="10" borderId="420" xfId="3" applyNumberFormat="1" applyFont="1" applyFill="1" applyBorder="1" applyAlignment="1">
      <x:alignment vertical="top" wrapText="1"/>
    </x:xf>
    <x:xf numFmtId="217" fontId="68" fillId="10" borderId="420" xfId="3" applyNumberFormat="1" applyFont="1" applyFill="1" applyBorder="1" applyAlignment="1">
      <x:alignment vertical="top" wrapText="1"/>
    </x:xf>
    <x:xf numFmtId="217" fontId="69" fillId="10" borderId="420" xfId="3" applyNumberFormat="1" applyFont="1" applyFill="1" applyBorder="1" applyAlignment="1">
      <x:alignment vertical="top" wrapText="1"/>
    </x:xf>
    <x:xf numFmtId="0" fontId="68" fillId="10" borderId="424" xfId="3" applyNumberFormat="1" applyFont="1" applyFill="1" applyBorder="1" applyAlignment="1">
      <x:alignment vertical="top" wrapText="1"/>
    </x:xf>
    <x:xf numFmtId="217" fontId="69" fillId="10" borderId="425" xfId="3" applyNumberFormat="1" applyFont="1" applyFill="1" applyBorder="1" applyAlignment="1">
      <x:alignment vertical="top" wrapText="1"/>
    </x:xf>
    <x:xf numFmtId="0" fontId="65" fillId="10" borderId="424" xfId="3" applyNumberFormat="1" applyFont="1" applyFill="1" applyBorder="1" applyAlignment="1">
      <x:alignment vertical="top" wrapText="1"/>
    </x:xf>
    <x:xf numFmtId="0" fontId="65" fillId="10" borderId="426" xfId="3" applyNumberFormat="1" applyFont="1" applyFill="1" applyBorder="1" applyAlignment="1">
      <x:alignment vertical="top" wrapText="1"/>
    </x:xf>
    <x:xf numFmtId="0" fontId="70" fillId="10" borderId="420" xfId="3" applyNumberFormat="1" applyFont="1" applyFill="1" applyBorder="1"/>
    <x:xf numFmtId="218" fontId="70" fillId="10" borderId="420" xfId="3" applyNumberFormat="1" applyFont="1" applyFill="1" applyBorder="1"/>
    <x:xf numFmtId="219" fontId="63" fillId="10" borderId="420" xfId="3" applyNumberFormat="1" applyFont="1" applyFill="1" applyBorder="1"/>
    <x:xf numFmtId="218" fontId="63" fillId="10" borderId="420" xfId="3" applyNumberFormat="1" applyFont="1" applyFill="1" applyBorder="1"/>
    <x:xf numFmtId="217" fontId="63" fillId="10" borderId="420" xfId="3" applyNumberFormat="1" applyFont="1" applyFill="1" applyBorder="1"/>
    <x:xf numFmtId="220" fontId="63" fillId="10" borderId="420" xfId="3" applyNumberFormat="1" applyFont="1" applyFill="1" applyBorder="1"/>
    <x:xf numFmtId="0" fontId="71" fillId="10" borderId="420" xfId="3" applyNumberFormat="1" applyFont="1" applyFill="1" applyBorder="1"/>
    <x:xf numFmtId="0" fontId="72" fillId="10" borderId="420" xfId="3" applyNumberFormat="1" applyFont="1" applyFill="1" applyBorder="1"/>
    <x:xf numFmtId="221" fontId="71" fillId="10" borderId="420" xfId="3" applyNumberFormat="1" applyFont="1" applyFill="1" applyBorder="1"/>
    <x:xf numFmtId="217" fontId="72" fillId="10" borderId="420" xfId="3" applyNumberFormat="1" applyFont="1" applyFill="1" applyBorder="1"/>
    <x:xf numFmtId="218" fontId="64" fillId="10" borderId="420" xfId="3" applyNumberFormat="1" applyFont="1" applyFill="1" applyBorder="1"/>
    <x:xf numFmtId="219" fontId="64" fillId="10" borderId="420" xfId="3" applyNumberFormat="1" applyFont="1" applyFill="1" applyBorder="1"/>
    <x:xf numFmtId="217" fontId="64" fillId="10" borderId="420" xfId="3" applyNumberFormat="1" applyFont="1" applyFill="1" applyBorder="1"/>
    <x:xf numFmtId="220" fontId="64" fillId="10" borderId="420" xfId="3" applyNumberFormat="1" applyFont="1" applyFill="1" applyBorder="1"/>
    <x:xf numFmtId="217" fontId="73" fillId="10" borderId="420" xfId="3" applyNumberFormat="1" applyFont="1" applyFill="1" applyBorder="1"/>
    <x:xf numFmtId="0" fontId="74" fillId="10" borderId="420" xfId="3" applyNumberFormat="1" applyFont="1" applyFill="1" applyBorder="1"/>
    <x:xf numFmtId="218" fontId="65" fillId="10" borderId="420" xfId="3" applyNumberFormat="1" applyFont="1" applyFill="1" applyBorder="1"/>
    <x:xf numFmtId="219" fontId="65" fillId="10" borderId="420" xfId="3" applyNumberFormat="1" applyFont="1" applyFill="1" applyBorder="1"/>
    <x:xf numFmtId="217" fontId="65" fillId="10" borderId="420" xfId="3" applyNumberFormat="1" applyFont="1" applyFill="1" applyBorder="1"/>
    <x:xf numFmtId="220" fontId="65" fillId="10" borderId="420" xfId="3" applyNumberFormat="1" applyFont="1" applyFill="1" applyBorder="1"/>
    <x:xf numFmtId="217" fontId="75" fillId="10" borderId="420" xfId="3" applyNumberFormat="1" applyFont="1" applyFill="1" applyBorder="1"/>
    <x:xf numFmtId="0" fontId="76" fillId="10" borderId="420" xfId="3" applyNumberFormat="1" applyFont="1" applyFill="1" applyBorder="1"/>
    <x:xf numFmtId="218" fontId="65" fillId="10" borderId="420" xfId="3" applyNumberFormat="1" applyFont="1" applyFill="1" applyBorder="1" applyAlignment="1">
      <x:alignment vertical="top"/>
    </x:xf>
    <x:xf numFmtId="219" fontId="65" fillId="10" borderId="420" xfId="3" applyNumberFormat="1" applyFont="1" applyFill="1" applyBorder="1" applyAlignment="1">
      <x:alignment vertical="top"/>
    </x:xf>
    <x:xf numFmtId="217" fontId="65" fillId="10" borderId="420" xfId="3" applyNumberFormat="1" applyFont="1" applyFill="1" applyBorder="1" applyAlignment="1">
      <x:alignment vertical="top"/>
    </x:xf>
    <x:xf numFmtId="220" fontId="65" fillId="10" borderId="420" xfId="3" applyNumberFormat="1" applyFont="1" applyFill="1" applyBorder="1" applyAlignment="1">
      <x:alignment vertical="top"/>
    </x:xf>
    <x:xf numFmtId="217" fontId="75" fillId="10" borderId="420" xfId="3" applyNumberFormat="1" applyFont="1" applyFill="1" applyBorder="1" applyAlignment="1">
      <x:alignment vertical="top"/>
    </x:xf>
    <x:xf numFmtId="0" fontId="76" fillId="10" borderId="420" xfId="3" applyNumberFormat="1" applyFont="1" applyFill="1" applyBorder="1" applyAlignment="1">
      <x:alignment vertical="top"/>
    </x:xf>
    <x:xf numFmtId="218" fontId="65" fillId="10" borderId="420" xfId="3" applyNumberFormat="1" applyFont="1" applyFill="1" applyBorder="1" applyAlignment="1">
      <x:alignment vertical="top" wrapText="1"/>
    </x:xf>
    <x:xf numFmtId="219" fontId="65" fillId="10" borderId="420" xfId="3" applyNumberFormat="1" applyFont="1" applyFill="1" applyBorder="1" applyAlignment="1">
      <x:alignment vertical="top" wrapText="1"/>
    </x:xf>
    <x:xf numFmtId="220" fontId="65" fillId="10" borderId="420" xfId="3" applyNumberFormat="1" applyFont="1" applyFill="1" applyBorder="1" applyAlignment="1">
      <x:alignment vertical="top" wrapText="1"/>
    </x:xf>
    <x:xf numFmtId="217" fontId="75" fillId="10" borderId="420" xfId="3" applyNumberFormat="1" applyFont="1" applyFill="1" applyBorder="1" applyAlignment="1">
      <x:alignment vertical="top" wrapText="1"/>
    </x:xf>
    <x:xf numFmtId="0" fontId="76" fillId="10" borderId="420" xfId="3" applyNumberFormat="1" applyFont="1" applyFill="1" applyBorder="1" applyAlignment="1">
      <x:alignment vertical="top" wrapText="1"/>
    </x:xf>
    <x:xf numFmtId="0" fontId="73" fillId="10" borderId="420" xfId="3" applyNumberFormat="1" applyFont="1" applyFill="1" applyBorder="1"/>
    <x:xf numFmtId="221" fontId="74" fillId="10" borderId="420" xfId="3" applyNumberFormat="1" applyFont="1" applyFill="1" applyBorder="1"/>
    <x:xf numFmtId="0" fontId="75" fillId="10" borderId="420" xfId="3" applyNumberFormat="1" applyFont="1" applyFill="1" applyBorder="1"/>
    <x:xf numFmtId="221" fontId="76" fillId="10" borderId="420" xfId="3" applyNumberFormat="1" applyFont="1" applyFill="1" applyBorder="1"/>
    <x:xf numFmtId="0" fontId="75" fillId="10" borderId="420" xfId="3" applyNumberFormat="1" applyFont="1" applyFill="1" applyBorder="1" applyAlignment="1">
      <x:alignment vertical="top"/>
    </x:xf>
    <x:xf numFmtId="221" fontId="76" fillId="10" borderId="420" xfId="3" applyNumberFormat="1" applyFont="1" applyFill="1" applyBorder="1" applyAlignment="1">
      <x:alignment vertical="top"/>
    </x:xf>
    <x:xf numFmtId="0" fontId="75" fillId="10" borderId="420" xfId="3" applyNumberFormat="1" applyFont="1" applyFill="1" applyBorder="1" applyAlignment="1">
      <x:alignment vertical="top" wrapText="1"/>
    </x:xf>
    <x:xf numFmtId="221" fontId="76" fillId="10" borderId="420" xfId="3" applyNumberFormat="1" applyFont="1" applyFill="1" applyBorder="1" applyAlignment="1">
      <x:alignment vertical="top" wrapText="1"/>
    </x:xf>
    <x:xf numFmtId="218" fontId="77" fillId="10" borderId="420" xfId="3" applyNumberFormat="1" applyFont="1" applyFill="1" applyBorder="1"/>
    <x:xf numFmtId="218" fontId="78" fillId="10" borderId="420" xfId="3" applyNumberFormat="1" applyFont="1" applyFill="1" applyBorder="1"/>
    <x:xf numFmtId="218" fontId="78" fillId="10" borderId="420" xfId="3" applyNumberFormat="1" applyFont="1" applyFill="1" applyBorder="1" applyAlignment="1">
      <x:alignment vertical="top"/>
    </x:xf>
    <x:xf numFmtId="218" fontId="78" fillId="10" borderId="420" xfId="3" applyNumberFormat="1" applyFont="1" applyFill="1" applyBorder="1" applyAlignment="1">
      <x:alignment vertical="top" wrapText="1"/>
    </x:xf>
    <x:xf numFmtId="0" fontId="65" fillId="10" borderId="428" xfId="3" applyNumberFormat="1" applyFont="1" applyFill="1" applyBorder="1" applyAlignment="1">
      <x:alignment vertical="top" wrapText="1"/>
    </x:xf>
    <x:xf numFmtId="0" fontId="65" fillId="10" borderId="429" xfId="3" applyNumberFormat="1" applyFont="1" applyFill="1" applyBorder="1" applyAlignment="1">
      <x:alignment vertical="top" wrapText="1"/>
    </x:xf>
    <x:xf numFmtId="0" fontId="65" fillId="10" borderId="430" xfId="3" applyNumberFormat="1" applyFont="1" applyFill="1" applyBorder="1" applyAlignment="1">
      <x:alignment vertical="top" wrapText="1"/>
    </x:xf>
    <x:xf numFmtId="218" fontId="65" fillId="10" borderId="431" xfId="3" applyNumberFormat="1" applyFont="1" applyFill="1" applyBorder="1" applyAlignment="1">
      <x:alignment vertical="top" wrapText="1"/>
    </x:xf>
    <x:xf numFmtId="219" fontId="65" fillId="10" borderId="431" xfId="3" applyNumberFormat="1" applyFont="1" applyFill="1" applyBorder="1" applyAlignment="1">
      <x:alignment vertical="top" wrapText="1"/>
    </x:xf>
    <x:xf numFmtId="217" fontId="65" fillId="10" borderId="431" xfId="3" applyNumberFormat="1" applyFont="1" applyFill="1" applyBorder="1" applyAlignment="1">
      <x:alignment vertical="top" wrapText="1"/>
    </x:xf>
    <x:xf numFmtId="220" fontId="65" fillId="10" borderId="431" xfId="3" applyNumberFormat="1" applyFont="1" applyFill="1" applyBorder="1" applyAlignment="1">
      <x:alignment vertical="top" wrapText="1"/>
    </x:xf>
    <x:xf numFmtId="217" fontId="75" fillId="10" borderId="432" xfId="3" applyNumberFormat="1" applyFont="1" applyFill="1" applyBorder="1" applyAlignment="1">
      <x:alignment vertical="top" wrapText="1"/>
    </x:xf>
    <x:xf numFmtId="219" fontId="65" fillId="10" borderId="432" xfId="3" applyNumberFormat="1" applyFont="1" applyFill="1" applyBorder="1" applyAlignment="1">
      <x:alignment vertical="top" wrapText="1"/>
    </x:xf>
    <x:xf numFmtId="0" fontId="76" fillId="10" borderId="424" xfId="3" applyNumberFormat="1" applyFont="1" applyFill="1" applyBorder="1" applyAlignment="1">
      <x:alignment vertical="top" wrapText="1"/>
    </x:xf>
    <x:xf numFmtId="0" fontId="76" fillId="10" borderId="431" xfId="3" applyNumberFormat="1" applyFont="1" applyFill="1" applyBorder="1" applyAlignment="1">
      <x:alignment vertical="top" wrapText="1"/>
    </x:xf>
    <x:xf numFmtId="0" fontId="76" fillId="10" borderId="425" xfId="3" applyNumberFormat="1" applyFont="1" applyFill="1" applyBorder="1" applyAlignment="1">
      <x:alignment vertical="top" wrapText="1"/>
    </x:xf>
    <x:xf numFmtId="0" fontId="76" fillId="10" borderId="426" xfId="3" applyNumberFormat="1" applyFont="1" applyFill="1" applyBorder="1" applyAlignment="1">
      <x:alignment vertical="top" wrapText="1"/>
    </x:xf>
    <x:xf numFmtId="0" fontId="76" fillId="10" borderId="432" xfId="3" applyNumberFormat="1" applyFont="1" applyFill="1" applyBorder="1" applyAlignment="1">
      <x:alignment vertical="top" wrapText="1"/>
    </x:xf>
    <x:xf numFmtId="0" fontId="76" fillId="10" borderId="427" xfId="3" applyNumberFormat="1" applyFont="1" applyFill="1" applyBorder="1" applyAlignment="1">
      <x:alignment vertical="top" wrapText="1"/>
    </x:xf>
    <x:xf numFmtId="0" fontId="65" fillId="12" borderId="428" xfId="3" applyNumberFormat="1" applyFont="1" applyFill="1" applyBorder="1" applyAlignment="1">
      <x:alignment vertical="top" wrapText="1"/>
    </x:xf>
    <x:xf numFmtId="0" fontId="65" fillId="12" borderId="429" xfId="3" applyNumberFormat="1" applyFont="1" applyFill="1" applyBorder="1" applyAlignment="1">
      <x:alignment vertical="top" wrapText="1"/>
    </x:xf>
    <x:xf numFmtId="0" fontId="65" fillId="12" borderId="430" xfId="3" applyNumberFormat="1" applyFont="1" applyFill="1" applyBorder="1" applyAlignment="1">
      <x:alignment vertical="top" wrapText="1"/>
    </x:xf>
    <x:xf numFmtId="0" fontId="66" fillId="12" borderId="428" xfId="3" applyNumberFormat="1" applyFont="1" applyFill="1" applyBorder="1" applyAlignment="1">
      <x:alignment vertical="top" wrapText="1"/>
    </x:xf>
    <x:xf numFmtId="0" fontId="66" fillId="12" borderId="429" xfId="3" applyNumberFormat="1" applyFont="1" applyFill="1" applyBorder="1" applyAlignment="1">
      <x:alignment vertical="top" wrapText="1"/>
    </x:xf>
    <x:xf numFmtId="0" fontId="66" fillId="12" borderId="430" xfId="3" applyNumberFormat="1" applyFont="1" applyFill="1" applyBorder="1" applyAlignment="1">
      <x:alignment vertical="top" wrapText="1"/>
    </x:xf>
    <x:xf numFmtId="0" fontId="66" fillId="12" borderId="428" xfId="3" applyNumberFormat="1" applyFont="1" applyFill="1" applyBorder="1" applyAlignment="1">
      <x:alignment horizontal="center" vertical="top" wrapText="1"/>
    </x:xf>
    <x:xf numFmtId="0" fontId="66" fillId="12" borderId="429" xfId="3" applyNumberFormat="1" applyFont="1" applyFill="1" applyBorder="1" applyAlignment="1">
      <x:alignment horizontal="center" vertical="top" wrapText="1"/>
    </x:xf>
    <x:xf numFmtId="0" fontId="66" fillId="12" borderId="430" xfId="3" applyNumberFormat="1" applyFont="1" applyFill="1" applyBorder="1" applyAlignment="1">
      <x:alignment horizontal="center" vertical="top" wrapText="1"/>
    </x:xf>
    <x:xf numFmtId="0" fontId="66" fillId="12" borderId="433" xfId="3" applyNumberFormat="1" applyFont="1" applyFill="1" applyBorder="1" applyAlignment="1">
      <x:alignment horizontal="center" vertical="top" wrapText="1"/>
    </x:xf>
    <x:xf numFmtId="218" fontId="66" fillId="10" borderId="431" xfId="3" applyNumberFormat="1" applyFont="1" applyFill="1" applyBorder="1" applyAlignment="1">
      <x:alignment vertical="top" wrapText="1"/>
    </x:xf>
    <x:xf numFmtId="219" fontId="66" fillId="10" borderId="431" xfId="3" applyNumberFormat="1" applyFont="1" applyFill="1" applyBorder="1" applyAlignment="1">
      <x:alignment vertical="top" wrapText="1"/>
    </x:xf>
    <x:xf numFmtId="0" fontId="66" fillId="10" borderId="425" xfId="3" applyNumberFormat="1" applyFont="1" applyFill="1" applyBorder="1" applyAlignment="1">
      <x:alignment vertical="top" wrapText="1"/>
    </x:xf>
    <x:xf numFmtId="0" fontId="66" fillId="10" borderId="428" xfId="3" applyNumberFormat="1" applyFont="1" applyFill="1" applyBorder="1" applyAlignment="1">
      <x:alignment vertical="top" wrapText="1"/>
    </x:xf>
    <x:xf numFmtId="218" fontId="66" fillId="10" borderId="429" xfId="3" applyNumberFormat="1" applyFont="1" applyFill="1" applyBorder="1" applyAlignment="1">
      <x:alignment vertical="top" wrapText="1"/>
    </x:xf>
    <x:xf numFmtId="219" fontId="66" fillId="10" borderId="429" xfId="3" applyNumberFormat="1" applyFont="1" applyFill="1" applyBorder="1" applyAlignment="1">
      <x:alignment vertical="top" wrapText="1"/>
    </x:xf>
    <x:xf numFmtId="0" fontId="66" fillId="10" borderId="430" xfId="3" applyNumberFormat="1" applyFont="1" applyFill="1" applyBorder="1" applyAlignment="1">
      <x:alignment vertical="top" wrapText="1"/>
    </x:xf>
    <x:xf numFmtId="0" fontId="79" fillId="10" borderId="425" xfId="3" applyNumberFormat="1" applyFont="1" applyFill="1" applyBorder="1" applyAlignment="1">
      <x:alignment vertical="top" wrapText="1"/>
    </x:xf>
    <x:xf numFmtId="0" fontId="79" fillId="10" borderId="430" xfId="3" applyNumberFormat="1" applyFont="1" applyFill="1" applyBorder="1" applyAlignment="1">
      <x:alignment vertical="top" wrapText="1"/>
    </x:xf>
    <x:xf numFmtId="218" fontId="78" fillId="10" borderId="431" xfId="3" applyNumberFormat="1" applyFont="1" applyFill="1" applyBorder="1" applyAlignment="1">
      <x:alignment vertical="top" wrapText="1"/>
    </x:xf>
    <x:xf numFmtId="0" fontId="65" fillId="10" borderId="431" xfId="3" applyNumberFormat="1" applyFont="1" applyFill="1" applyBorder="1" applyAlignment="1">
      <x:alignment vertical="top" wrapText="1"/>
    </x:xf>
    <x:xf numFmtId="218" fontId="78" fillId="10" borderId="432" xfId="3" applyNumberFormat="1" applyFont="1" applyFill="1" applyBorder="1" applyAlignment="1">
      <x:alignment vertical="top" wrapText="1"/>
    </x:xf>
    <x:xf numFmtId="0" fontId="65" fillId="10" borderId="432" xfId="3" applyNumberFormat="1" applyFont="1" applyFill="1" applyBorder="1" applyAlignment="1">
      <x:alignment vertical="top" wrapText="1"/>
    </x:xf>
    <x:xf numFmtId="0" fontId="80" fillId="10" borderId="420" xfId="3" applyNumberFormat="1" applyFont="1" applyFill="1" applyBorder="1" applyAlignment="1">
      <x:alignment vertical="top" wrapText="1"/>
    </x:xf>
    <x:xf numFmtId="0" fontId="75" fillId="10" borderId="431" xfId="3" applyNumberFormat="1" applyFont="1" applyFill="1" applyBorder="1" applyAlignment="1">
      <x:alignment vertical="top" wrapText="1"/>
    </x:xf>
    <x:xf numFmtId="0" fontId="75" fillId="10" borderId="432" xfId="3" applyNumberFormat="1" applyFont="1" applyFill="1" applyBorder="1" applyAlignment="1">
      <x:alignment vertical="top" wrapText="1"/>
    </x:xf>
    <x:xf numFmtId="0" fontId="76" fillId="10" borderId="429" xfId="3" applyNumberFormat="1" applyFont="1" applyFill="1" applyBorder="1" applyAlignment="1">
      <x:alignment vertical="top" wrapText="1"/>
    </x:xf>
    <x:xf numFmtId="0" fontId="81" fillId="10" borderId="431" xfId="3" applyNumberFormat="1" applyFont="1" applyFill="1" applyBorder="1" applyAlignment="1">
      <x:alignment vertical="top" wrapText="1"/>
    </x:xf>
    <x:xf numFmtId="0" fontId="66" fillId="10" borderId="431" xfId="3" applyNumberFormat="1" applyFont="1" applyFill="1" applyBorder="1" applyAlignment="1">
      <x:alignment vertical="top" wrapText="1"/>
    </x:xf>
    <x:xf numFmtId="0" fontId="81" fillId="10" borderId="429" xfId="3" applyNumberFormat="1" applyFont="1" applyFill="1" applyBorder="1" applyAlignment="1">
      <x:alignment vertical="top" wrapText="1"/>
    </x:xf>
    <x:xf numFmtId="0" fontId="66" fillId="10" borderId="429" xfId="3" applyNumberFormat="1" applyFont="1" applyFill="1" applyBorder="1" applyAlignment="1">
      <x:alignment vertical="top" wrapText="1"/>
    </x:xf>
    <x:xf numFmtId="0" fontId="81" fillId="10" borderId="432" xfId="3" applyNumberFormat="1" applyFont="1" applyFill="1" applyBorder="1" applyAlignment="1">
      <x:alignment vertical="top" wrapText="1"/>
    </x:xf>
    <x:xf numFmtId="0" fontId="66" fillId="10" borderId="432" xfId="3" applyNumberFormat="1" applyFont="1" applyFill="1" applyBorder="1" applyAlignment="1">
      <x:alignment vertical="top" wrapText="1"/>
    </x:xf>
    <x:xf numFmtId="0" fontId="66" fillId="10" borderId="427" xfId="3" applyNumberFormat="1" applyFont="1" applyFill="1" applyBorder="1" applyAlignment="1">
      <x:alignment vertical="top" wrapText="1"/>
    </x:xf>
    <x:xf numFmtId="0" fontId="66" fillId="10" borderId="422" xfId="3" applyNumberFormat="1" applyFont="1" applyFill="1" applyBorder="1" applyAlignment="1">
      <x:alignment vertical="top" wrapText="1"/>
    </x:xf>
    <x:xf numFmtId="0" fontId="81" fillId="10" borderId="433" xfId="3" applyNumberFormat="1" applyFont="1" applyFill="1" applyBorder="1" applyAlignment="1">
      <x:alignment vertical="top" wrapText="1"/>
    </x:xf>
    <x:xf numFmtId="0" fontId="66" fillId="10" borderId="433" xfId="3" applyNumberFormat="1" applyFont="1" applyFill="1" applyBorder="1" applyAlignment="1">
      <x:alignment vertical="top" wrapText="1"/>
    </x:xf>
    <x:xf numFmtId="0" fontId="66" fillId="10" borderId="423" xfId="3" applyNumberFormat="1" applyFont="1" applyFill="1" applyBorder="1" applyAlignment="1">
      <x:alignment vertical="top" wrapText="1"/>
    </x:xf>
    <x:xf numFmtId="218" fontId="76" fillId="10" borderId="431" xfId="3" applyNumberFormat="1" applyFont="1" applyFill="1" applyBorder="1" applyAlignment="1">
      <x:alignment vertical="top" wrapText="1"/>
    </x:xf>
    <x:xf numFmtId="218" fontId="81" fillId="10" borderId="429" xfId="3" applyNumberFormat="1" applyFont="1" applyFill="1" applyBorder="1" applyAlignment="1">
      <x:alignment vertical="top" wrapText="1"/>
    </x:xf>
    <x:xf numFmtId="218" fontId="81" fillId="10" borderId="433" xfId="3" applyNumberFormat="1" applyFont="1" applyFill="1" applyBorder="1" applyAlignment="1">
      <x:alignment vertical="top" wrapText="1"/>
    </x:xf>
    <x:xf numFmtId="218" fontId="66" fillId="12" borderId="433" xfId="3" applyNumberFormat="1" applyFont="1" applyFill="1" applyBorder="1" applyAlignment="1">
      <x:alignment horizontal="center" vertical="top" wrapText="1"/>
    </x:xf>
    <x:xf numFmtId="218" fontId="76" fillId="10" borderId="432" xfId="3" applyNumberFormat="1" applyFont="1" applyFill="1" applyBorder="1" applyAlignment="1">
      <x:alignment vertical="top" wrapText="1"/>
    </x:xf>
    <x:xf numFmtId="218" fontId="76" fillId="10" borderId="429" xfId="3" applyNumberFormat="1" applyFont="1" applyFill="1" applyBorder="1" applyAlignment="1">
      <x:alignment vertical="top" wrapText="1"/>
    </x:xf>
    <x:xf numFmtId="218" fontId="65" fillId="10" borderId="432" xfId="3" applyNumberFormat="1" applyFont="1" applyFill="1" applyBorder="1" applyAlignment="1">
      <x:alignment vertical="top" wrapText="1"/>
    </x:xf>
    <x:xf numFmtId="0" fontId="78" fillId="10" borderId="431" xfId="3" applyNumberFormat="1" applyFont="1" applyFill="1" applyBorder="1" applyAlignment="1">
      <x:alignment vertical="top" wrapText="1"/>
    </x:xf>
    <x:xf numFmtId="0" fontId="78" fillId="10" borderId="432" xfId="3" applyNumberFormat="1" applyFont="1" applyFill="1" applyBorder="1" applyAlignment="1">
      <x:alignment vertical="top" wrapText="1"/>
    </x:xf>
    <x:xf numFmtId="221" fontId="76" fillId="10" borderId="425" xfId="3" applyNumberFormat="1" applyFont="1" applyFill="1" applyBorder="1" applyAlignment="1">
      <x:alignment vertical="top" wrapText="1"/>
    </x:xf>
    <x:xf numFmtId="219" fontId="76" fillId="10" borderId="431" xfId="3" applyNumberFormat="1" applyFont="1" applyFill="1" applyBorder="1" applyAlignment="1">
      <x:alignment vertical="top" wrapText="1"/>
    </x:xf>
    <x:xf numFmtId="221" fontId="65" fillId="10" borderId="420" xfId="3" applyNumberFormat="1" applyFont="1" applyFill="1" applyBorder="1" applyAlignment="1">
      <x:alignment vertical="top" wrapText="1"/>
    </x:xf>
    <x:xf numFmtId="221" fontId="78" fillId="10" borderId="420" xfId="3" applyNumberFormat="1" applyFont="1" applyFill="1" applyBorder="1" applyAlignment="1">
      <x:alignment vertical="top" wrapText="1"/>
    </x:xf>
    <x:xf numFmtId="221" fontId="78" fillId="10" borderId="424" xfId="3" applyNumberFormat="1" applyFont="1" applyFill="1" applyBorder="1" applyAlignment="1">
      <x:alignment vertical="top" wrapText="1"/>
    </x:xf>
    <x:xf numFmtId="221" fontId="78" fillId="10" borderId="425" xfId="3" applyNumberFormat="1" applyFont="1" applyFill="1" applyBorder="1" applyAlignment="1">
      <x:alignment vertical="top" wrapText="1"/>
    </x:xf>
    <x:xf numFmtId="221" fontId="78" fillId="10" borderId="426" xfId="3" applyNumberFormat="1" applyFont="1" applyFill="1" applyBorder="1" applyAlignment="1">
      <x:alignment vertical="top" wrapText="1"/>
    </x:xf>
    <x:xf numFmtId="221" fontId="78" fillId="10" borderId="427" xfId="3" applyNumberFormat="1" applyFont="1" applyFill="1" applyBorder="1" applyAlignment="1">
      <x:alignment vertical="top" wrapText="1"/>
    </x:xf>
    <x:xf numFmtId="0" fontId="82" fillId="10" borderId="420" xfId="3" applyNumberFormat="1" applyFont="1" applyFill="1" applyBorder="1" applyAlignment="1">
      <x:alignment vertical="top" wrapText="1"/>
    </x:xf>
    <x:xf numFmtId="218" fontId="76" fillId="10" borderId="420" xfId="3" applyNumberFormat="1" applyFont="1" applyFill="1" applyBorder="1" applyAlignment="1">
      <x:alignment vertical="top" wrapText="1"/>
    </x:xf>
    <x:xf numFmtId="218" fontId="76" fillId="10" borderId="425" xfId="3" applyNumberFormat="1" applyFont="1" applyFill="1" applyBorder="1" applyAlignment="1">
      <x:alignment vertical="top" wrapText="1"/>
    </x:xf>
    <x:xf numFmtId="218" fontId="65" fillId="10" borderId="425" xfId="3" applyNumberFormat="1" applyFont="1" applyFill="1" applyBorder="1" applyAlignment="1">
      <x:alignment vertical="top" wrapText="1"/>
    </x:xf>
    <x:xf numFmtId="218" fontId="65" fillId="10" borderId="427" xfId="3" applyNumberFormat="1" applyFont="1" applyFill="1" applyBorder="1" applyAlignment="1">
      <x:alignment vertical="top" wrapText="1"/>
    </x:xf>
    <x:xf numFmtId="0" fontId="65" fillId="10" borderId="422" xfId="3" applyNumberFormat="1" applyFont="1" applyFill="1" applyBorder="1" applyAlignment="1">
      <x:alignment vertical="top" wrapText="1"/>
    </x:xf>
    <x:xf numFmtId="218" fontId="76" fillId="10" borderId="433" xfId="3" applyNumberFormat="1" applyFont="1" applyFill="1" applyBorder="1" applyAlignment="1">
      <x:alignment vertical="top" wrapText="1"/>
    </x:xf>
    <x:xf numFmtId="218" fontId="76" fillId="10" borderId="423" xfId="3" applyNumberFormat="1" applyFont="1" applyFill="1" applyBorder="1" applyAlignment="1">
      <x:alignment vertical="top" wrapText="1"/>
    </x:xf>
    <x:xf numFmtId="218" fontId="65" fillId="10" borderId="429" xfId="3" applyNumberFormat="1" applyFont="1" applyFill="1" applyBorder="1" applyAlignment="1">
      <x:alignment vertical="top" wrapText="1"/>
    </x:xf>
    <x:xf numFmtId="218" fontId="65" fillId="10" borderId="430" xfId="3" applyNumberFormat="1" applyFont="1" applyFill="1" applyBorder="1" applyAlignment="1">
      <x:alignment vertical="top" wrapText="1"/>
    </x:xf>
    <x:xf numFmtId="217" fontId="65" fillId="10" borderId="432" xfId="3" applyNumberFormat="1" applyFont="1" applyFill="1" applyBorder="1" applyAlignment="1">
      <x:alignment vertical="top" wrapText="1"/>
    </x:xf>
    <x:xf numFmtId="218" fontId="66" fillId="10" borderId="425" xfId="3" applyNumberFormat="1" applyFont="1" applyFill="1" applyBorder="1" applyAlignment="1">
      <x:alignment vertical="top" wrapText="1"/>
    </x:xf>
    <x:xf numFmtId="218" fontId="66" fillId="10" borderId="430" xfId="3" applyNumberFormat="1" applyFont="1" applyFill="1" applyBorder="1" applyAlignment="1">
      <x:alignment vertical="top" wrapText="1"/>
    </x:xf>
    <x:xf numFmtId="218" fontId="66" fillId="10" borderId="432" xfId="3" applyNumberFormat="1" applyFont="1" applyFill="1" applyBorder="1" applyAlignment="1">
      <x:alignment vertical="top" wrapText="1"/>
    </x:xf>
    <x:xf numFmtId="218" fontId="66" fillId="10" borderId="427" xfId="3" applyNumberFormat="1" applyFont="1" applyFill="1" applyBorder="1" applyAlignment="1">
      <x:alignment vertical="top" wrapText="1"/>
    </x:xf>
    <x:xf numFmtId="218" fontId="66" fillId="10" borderId="433" xfId="3" applyNumberFormat="1" applyFont="1" applyFill="1" applyBorder="1" applyAlignment="1">
      <x:alignment vertical="top" wrapText="1"/>
    </x:xf>
    <x:xf numFmtId="218" fontId="66" fillId="10" borderId="423" xfId="3" applyNumberFormat="1" applyFont="1" applyFill="1" applyBorder="1" applyAlignment="1">
      <x:alignment vertical="top" wrapText="1"/>
    </x:xf>
    <x:xf numFmtId="217" fontId="66" fillId="10" borderId="432" xfId="3" applyNumberFormat="1" applyFont="1" applyFill="1" applyBorder="1" applyAlignment="1">
      <x:alignment vertical="top" wrapText="1"/>
    </x:xf>
    <x:xf numFmtId="217" fontId="66" fillId="10" borderId="433" xfId="3" applyNumberFormat="1" applyFont="1" applyFill="1" applyBorder="1" applyAlignment="1">
      <x:alignment vertical="top" wrapText="1"/>
    </x:xf>
    <x:xf numFmtId="218" fontId="83" fillId="10" borderId="429" xfId="3" applyNumberFormat="1" applyFont="1" applyFill="1" applyBorder="1" applyAlignment="1">
      <x:alignment vertical="top" wrapText="1"/>
    </x:xf>
    <x:xf numFmtId="217" fontId="76" fillId="10" borderId="431" xfId="3" applyNumberFormat="1" applyFont="1" applyFill="1" applyBorder="1" applyAlignment="1">
      <x:alignment vertical="top" wrapText="1"/>
    </x:xf>
    <x:xf numFmtId="220" fontId="75" fillId="10" borderId="431" xfId="3" applyNumberFormat="1" applyFont="1" applyFill="1" applyBorder="1" applyAlignment="1">
      <x:alignment vertical="top" wrapText="1"/>
    </x:xf>
    <x:xf numFmtId="0" fontId="79" fillId="10" borderId="427" xfId="3" applyNumberFormat="1" applyFont="1" applyFill="1" applyBorder="1" applyAlignment="1">
      <x:alignment vertical="top" wrapText="1"/>
    </x:xf>
    <x:xf numFmtId="0" fontId="65" fillId="10" borderId="420" xfId="3" applyNumberFormat="1" applyFont="1" applyFill="1" applyBorder="1" applyAlignment="1">
      <x:alignment wrapText="1"/>
    </x:xf>
    <x:xf numFmtId="0" fontId="65" fillId="10" borderId="433" xfId="3" applyNumberFormat="1" applyFont="1" applyFill="1" applyBorder="1" applyAlignment="1">
      <x:alignment vertical="top" wrapText="1"/>
    </x:xf>
    <x:xf numFmtId="0" fontId="65" fillId="10" borderId="423" xfId="3" applyNumberFormat="1" applyFont="1" applyFill="1" applyBorder="1" applyAlignment="1">
      <x:alignment vertical="top" wrapText="1"/>
    </x:xf>
    <x:xf numFmtId="0" fontId="65" fillId="10" borderId="434" xfId="3" applyNumberFormat="1" applyFont="1" applyFill="1" applyBorder="1" applyAlignment="1">
      <x:alignment vertical="top" wrapText="1"/>
    </x:xf>
    <x:xf numFmtId="0" fontId="65" fillId="10" borderId="435" xfId="3" applyNumberFormat="1" applyFont="1" applyFill="1" applyBorder="1" applyAlignment="1">
      <x:alignment vertical="top" wrapText="1"/>
    </x:xf>
    <x:xf numFmtId="0" fontId="65" fillId="10" borderId="436" xfId="3" applyNumberFormat="1" applyFont="1" applyFill="1" applyBorder="1" applyAlignment="1">
      <x:alignment vertical="top" wrapText="1"/>
    </x:xf>
    <x:xf numFmtId="0" fontId="65" fillId="12" borderId="434" xfId="3" applyNumberFormat="1" applyFont="1" applyFill="1" applyBorder="1" applyAlignment="1">
      <x:alignment vertical="top" wrapText="1"/>
    </x:xf>
    <x:xf numFmtId="0" fontId="66" fillId="12" borderId="434" xfId="3" applyNumberFormat="1" applyFont="1" applyFill="1" applyBorder="1" applyAlignment="1">
      <x:alignment vertical="top" wrapText="1"/>
    </x:xf>
    <x:xf numFmtId="0" fontId="66" fillId="12" borderId="434" xfId="3" applyNumberFormat="1" applyFont="1" applyFill="1" applyBorder="1" applyAlignment="1">
      <x:alignment horizontal="center" vertical="top" wrapText="1"/>
    </x:xf>
    <x:xf numFmtId="0" fontId="66" fillId="12" borderId="437" xfId="3" applyNumberFormat="1" applyFont="1" applyFill="1" applyBorder="1" applyAlignment="1">
      <x:alignment horizontal="center" vertical="top" wrapText="1"/>
    </x:xf>
    <x:xf numFmtId="218" fontId="75" fillId="10" borderId="420" xfId="3" applyNumberFormat="1" applyFont="1" applyFill="1" applyBorder="1" applyAlignment="1">
      <x:alignment vertical="top" wrapText="1"/>
    </x:xf>
    <x:xf numFmtId="218" fontId="65" fillId="12" borderId="420" xfId="3" applyNumberFormat="1" applyFont="1" applyFill="1" applyBorder="1" applyAlignment="1">
      <x:alignment vertical="top" wrapText="1"/>
    </x:xf>
    <x:xf numFmtId="219" fontId="65" fillId="12" borderId="420" xfId="3" applyNumberFormat="1" applyFont="1" applyFill="1" applyBorder="1" applyAlignment="1">
      <x:alignment vertical="top" wrapText="1"/>
    </x:xf>
    <x:xf numFmtId="218" fontId="66" fillId="12" borderId="420" xfId="3" applyNumberFormat="1" applyFont="1" applyFill="1" applyBorder="1" applyAlignment="1">
      <x:alignment vertical="top" wrapText="1"/>
    </x:xf>
    <x:xf numFmtId="219" fontId="66" fillId="12" borderId="420" xfId="3" applyNumberFormat="1" applyFont="1" applyFill="1" applyBorder="1" applyAlignment="1">
      <x:alignment vertical="top" wrapText="1"/>
    </x:xf>
    <x:xf numFmtId="218" fontId="66" fillId="12" borderId="420" xfId="3" applyNumberFormat="1" applyFont="1" applyFill="1" applyBorder="1" applyAlignment="1">
      <x:alignment horizontal="center" vertical="top" wrapText="1"/>
    </x:xf>
    <x:xf numFmtId="219" fontId="66" fillId="12" borderId="420" xfId="3" applyNumberFormat="1" applyFont="1" applyFill="1" applyBorder="1" applyAlignment="1">
      <x:alignment horizontal="center" vertical="top" wrapText="1"/>
    </x:xf>
    <x:xf numFmtId="218" fontId="66" fillId="12" borderId="421" xfId="3" applyNumberFormat="1" applyFont="1" applyFill="1" applyBorder="1" applyAlignment="1">
      <x:alignment horizontal="center" vertical="top" wrapText="1"/>
    </x:xf>
    <x:xf numFmtId="219" fontId="66" fillId="12" borderId="421" xfId="3" applyNumberFormat="1" applyFont="1" applyFill="1" applyBorder="1" applyAlignment="1">
      <x:alignment horizontal="center" vertical="top" wrapText="1"/>
    </x:xf>
    <x:xf numFmtId="218" fontId="75" fillId="10" borderId="432" xfId="3" applyNumberFormat="1" applyFont="1" applyFill="1" applyBorder="1" applyAlignment="1">
      <x:alignment vertical="top" wrapText="1"/>
    </x:xf>
    <x:xf numFmtId="219" fontId="66" fillId="12" borderId="433" xfId="3" applyNumberFormat="1" applyFont="1" applyFill="1" applyBorder="1" applyAlignment="1">
      <x:alignment horizontal="center" vertical="top" wrapText="1"/>
    </x:xf>
    <x:xf numFmtId="218" fontId="75" fillId="10" borderId="431" xfId="3" applyNumberFormat="1" applyFont="1" applyFill="1" applyBorder="1" applyAlignment="1">
      <x:alignment vertical="top" wrapText="1"/>
    </x:xf>
    <x:xf numFmtId="218" fontId="65" fillId="10" borderId="433" xfId="3" applyNumberFormat="1" applyFont="1" applyFill="1" applyBorder="1" applyAlignment="1">
      <x:alignment vertical="top" wrapText="1"/>
    </x:xf>
    <x:xf numFmtId="219" fontId="65" fillId="10" borderId="433" xfId="3" applyNumberFormat="1" applyFont="1" applyFill="1" applyBorder="1" applyAlignment="1">
      <x:alignment vertical="top" wrapText="1"/>
    </x:xf>
    <x:xf numFmtId="218" fontId="81" fillId="10" borderId="432" xfId="3" applyNumberFormat="1" applyFont="1" applyFill="1" applyBorder="1" applyAlignment="1">
      <x:alignment vertical="top" wrapText="1"/>
    </x:xf>
    <x:xf numFmtId="219" fontId="66" fillId="10" borderId="432" xfId="3" applyNumberFormat="1" applyFont="1" applyFill="1" applyBorder="1" applyAlignment="1">
      <x:alignment vertical="top" wrapText="1"/>
    </x:xf>
    <x:xf numFmtId="219" fontId="66" fillId="10" borderId="433" xfId="3" applyNumberFormat="1" applyFont="1" applyFill="1" applyBorder="1" applyAlignment="1">
      <x:alignment vertical="top" wrapText="1"/>
    </x:xf>
    <x:xf numFmtId="218" fontId="81" fillId="10" borderId="431" xfId="3" applyNumberFormat="1" applyFont="1" applyFill="1" applyBorder="1" applyAlignment="1">
      <x:alignment vertical="top" wrapText="1"/>
    </x:xf>
    <x:xf numFmtId="218" fontId="71" fillId="10" borderId="420" xfId="3" applyNumberFormat="1" applyFont="1" applyFill="1" applyBorder="1"/>
    <x:xf numFmtId="218" fontId="72" fillId="10" borderId="420" xfId="3" applyNumberFormat="1" applyFont="1" applyFill="1" applyBorder="1"/>
    <x:xf numFmtId="217" fontId="71" fillId="10" borderId="420" xfId="3" applyNumberFormat="1" applyFont="1" applyFill="1" applyBorder="1"/>
    <x:xf numFmtId="220" fontId="72" fillId="10" borderId="420" xfId="3" applyNumberFormat="1" applyFont="1" applyFill="1" applyBorder="1"/>
    <x:xf numFmtId="220" fontId="71" fillId="10" borderId="420" xfId="3" applyNumberFormat="1" applyFont="1" applyFill="1" applyBorder="1"/>
    <x:xf numFmtId="218" fontId="74" fillId="10" borderId="420" xfId="3" applyNumberFormat="1" applyFont="1" applyFill="1" applyBorder="1"/>
    <x:xf numFmtId="218" fontId="73" fillId="10" borderId="420" xfId="3" applyNumberFormat="1" applyFont="1" applyFill="1" applyBorder="1"/>
    <x:xf numFmtId="217" fontId="74" fillId="10" borderId="420" xfId="3" applyNumberFormat="1" applyFont="1" applyFill="1" applyBorder="1"/>
    <x:xf numFmtId="220" fontId="73" fillId="10" borderId="420" xfId="3" applyNumberFormat="1" applyFont="1" applyFill="1" applyBorder="1"/>
    <x:xf numFmtId="220" fontId="74" fillId="10" borderId="420" xfId="3" applyNumberFormat="1" applyFont="1" applyFill="1" applyBorder="1"/>
    <x:xf numFmtId="218" fontId="76" fillId="10" borderId="420" xfId="3" applyNumberFormat="1" applyFont="1" applyFill="1" applyBorder="1"/>
    <x:xf numFmtId="218" fontId="75" fillId="10" borderId="420" xfId="3" applyNumberFormat="1" applyFont="1" applyFill="1" applyBorder="1"/>
    <x:xf numFmtId="217" fontId="76" fillId="10" borderId="420" xfId="3" applyNumberFormat="1" applyFont="1" applyFill="1" applyBorder="1"/>
    <x:xf numFmtId="220" fontId="75" fillId="10" borderId="420" xfId="3" applyNumberFormat="1" applyFont="1" applyFill="1" applyBorder="1"/>
    <x:xf numFmtId="220" fontId="76" fillId="10" borderId="420" xfId="3" applyNumberFormat="1" applyFont="1" applyFill="1" applyBorder="1"/>
    <x:xf numFmtId="218" fontId="76" fillId="10" borderId="420" xfId="3" applyNumberFormat="1" applyFont="1" applyFill="1" applyBorder="1" applyAlignment="1">
      <x:alignment wrapText="1"/>
    </x:xf>
    <x:xf numFmtId="218" fontId="75" fillId="10" borderId="420" xfId="3" applyNumberFormat="1" applyFont="1" applyFill="1" applyBorder="1" applyAlignment="1">
      <x:alignment wrapText="1"/>
    </x:xf>
    <x:xf numFmtId="217" fontId="76" fillId="10" borderId="420" xfId="3" applyNumberFormat="1" applyFont="1" applyFill="1" applyBorder="1" applyAlignment="1">
      <x:alignment wrapText="1"/>
    </x:xf>
    <x:xf numFmtId="220" fontId="75" fillId="10" borderId="420" xfId="3" applyNumberFormat="1" applyFont="1" applyFill="1" applyBorder="1" applyAlignment="1">
      <x:alignment wrapText="1"/>
    </x:xf>
    <x:xf numFmtId="220" fontId="76" fillId="10" borderId="420" xfId="3" applyNumberFormat="1" applyFont="1" applyFill="1" applyBorder="1" applyAlignment="1">
      <x:alignment wrapText="1"/>
    </x:xf>
    <x:xf numFmtId="217" fontId="76" fillId="10" borderId="420" xfId="3" applyNumberFormat="1" applyFont="1" applyFill="1" applyBorder="1" applyAlignment="1">
      <x:alignment vertical="top" wrapText="1"/>
    </x:xf>
    <x:xf numFmtId="220" fontId="75" fillId="10" borderId="420" xfId="3" applyNumberFormat="1" applyFont="1" applyFill="1" applyBorder="1" applyAlignment="1">
      <x:alignment vertical="top" wrapText="1"/>
    </x:xf>
    <x:xf numFmtId="220" fontId="76" fillId="10" borderId="420" xfId="3" applyNumberFormat="1" applyFont="1" applyFill="1" applyBorder="1" applyAlignment="1">
      <x:alignment vertical="top" wrapText="1"/>
    </x:xf>
    <x:xf numFmtId="220" fontId="76" fillId="10" borderId="431" xfId="3" applyNumberFormat="1" applyFont="1" applyFill="1" applyBorder="1" applyAlignment="1">
      <x:alignment vertical="top" wrapText="1"/>
    </x:xf>
    <x:xf numFmtId="217" fontId="76" fillId="10" borderId="432" xfId="3" applyNumberFormat="1" applyFont="1" applyFill="1" applyBorder="1" applyAlignment="1">
      <x:alignment vertical="top" wrapText="1"/>
    </x:xf>
    <x:xf numFmtId="0" fontId="65" fillId="10" borderId="422" xfId="3" applyNumberFormat="1" applyFont="1" applyFill="1" applyBorder="1" applyAlignment="1">
      <x:alignment wrapText="1"/>
    </x:xf>
    <x:xf numFmtId="0" fontId="65" fillId="10" borderId="433" xfId="3" applyNumberFormat="1" applyFont="1" applyFill="1" applyBorder="1" applyAlignment="1">
      <x:alignment wrapText="1"/>
    </x:xf>
    <x:xf numFmtId="0" fontId="65" fillId="10" borderId="423" xfId="3" applyNumberFormat="1" applyFont="1" applyFill="1" applyBorder="1" applyAlignment="1">
      <x:alignment wrapText="1"/>
    </x:xf>
    <x:xf numFmtId="218" fontId="76" fillId="10" borderId="427" xfId="3" applyNumberFormat="1" applyFont="1" applyFill="1" applyBorder="1" applyAlignment="1">
      <x:alignment vertical="top" wrapText="1"/>
    </x:xf>
    <x:xf numFmtId="0" fontId="65" fillId="10" borderId="438" xfId="3" applyNumberFormat="1" applyFont="1" applyFill="1" applyBorder="1" applyAlignment="1">
      <x:alignment vertical="top" wrapText="1"/>
    </x:xf>
    <x:xf numFmtId="0" fontId="65" fillId="10" borderId="439" xfId="3" applyNumberFormat="1" applyFont="1" applyFill="1" applyBorder="1" applyAlignment="1">
      <x:alignment vertical="top" wrapText="1"/>
    </x:xf>
    <x:xf numFmtId="0" fontId="67" fillId="10" borderId="440" xfId="3" applyNumberFormat="1" applyFont="1" applyFill="1" applyBorder="1" applyAlignment="1">
      <x:alignment vertical="top" wrapText="0"/>
    </x:xf>
    <x:xf numFmtId="0" fontId="65" fillId="10" borderId="441" xfId="3" applyNumberFormat="1" applyFont="1" applyFill="1" applyBorder="1" applyAlignment="1">
      <x:alignment vertical="top" wrapText="0"/>
    </x:xf>
    <x:xf numFmtId="0" fontId="66" fillId="12" borderId="442" xfId="3" applyNumberFormat="1" applyFont="1" applyFill="1" applyBorder="1" applyAlignment="1">
      <x:alignment horizontal="center" vertical="top" wrapText="1"/>
    </x:xf>
    <x:xf numFmtId="0" fontId="66" fillId="12" borderId="443" xfId="3" applyNumberFormat="1" applyFont="1" applyFill="1" applyBorder="1" applyAlignment="1">
      <x:alignment horizontal="center" vertical="top" wrapText="1"/>
    </x:xf>
    <x:xf numFmtId="0" fontId="66" fillId="10" borderId="444" xfId="3" applyNumberFormat="1" applyFont="1" applyFill="1" applyBorder="1" applyAlignment="1">
      <x:alignment vertical="top" wrapText="1"/>
    </x:xf>
    <x:xf numFmtId="0" fontId="65" fillId="10" borderId="445" xfId="3" applyNumberFormat="1" applyFont="1" applyFill="1" applyBorder="1" applyAlignment="1">
      <x:alignment vertical="top" wrapText="1"/>
    </x:xf>
    <x:xf numFmtId="0" fontId="66" fillId="10" borderId="446" xfId="3" applyNumberFormat="1" applyFont="1" applyFill="1" applyBorder="1" applyAlignment="1">
      <x:alignment vertical="top" wrapText="1"/>
    </x:xf>
    <x:xf numFmtId="0" fontId="65" fillId="10" borderId="447" xfId="3" applyNumberFormat="1" applyFont="1" applyFill="1" applyBorder="1" applyAlignment="1">
      <x:alignment vertical="top" wrapText="1"/>
    </x:xf>
    <x:xf numFmtId="0" fontId="68" fillId="10" borderId="448" xfId="3" applyNumberFormat="1" applyFont="1" applyFill="1" applyBorder="1" applyAlignment="1">
      <x:alignment vertical="top" wrapText="1"/>
    </x:xf>
    <x:xf numFmtId="217" fontId="69" fillId="10" borderId="449" xfId="3" applyNumberFormat="1" applyFont="1" applyFill="1" applyBorder="1" applyAlignment="1">
      <x:alignment vertical="top" wrapText="1"/>
    </x:xf>
    <x:xf numFmtId="0" fontId="65" fillId="10" borderId="450" xfId="3" applyNumberFormat="1" applyFont="1" applyFill="1" applyBorder="1" applyAlignment="1">
      <x:alignment vertical="top" wrapText="1"/>
    </x:xf>
    <x:xf numFmtId="0" fontId="65" fillId="10" borderId="451" xfId="3" applyNumberFormat="1" applyFont="1" applyFill="1" applyBorder="1" applyAlignment="1">
      <x:alignment vertical="top" wrapText="1"/>
    </x:xf>
    <x:xf numFmtId="0" fontId="66" fillId="10" borderId="452" xfId="3" applyNumberFormat="1" applyFont="1" applyFill="1" applyBorder="1" applyAlignment="1">
      <x:alignment vertical="top" wrapText="1"/>
    </x:xf>
    <x:xf numFmtId="0" fontId="65" fillId="10" borderId="453" xfId="3" applyNumberFormat="1" applyFont="1" applyFill="1" applyBorder="1" applyAlignment="1">
      <x:alignment vertical="top" wrapText="1"/>
    </x:xf>
    <x:xf numFmtId="0" fontId="65" fillId="10" borderId="454" xfId="3" applyNumberFormat="1" applyFont="1" applyFill="1" applyBorder="1" applyAlignment="1">
      <x:alignment vertical="top" wrapText="1"/>
    </x:xf>
    <x:xf numFmtId="0" fontId="65" fillId="10" borderId="455" xfId="3" applyNumberFormat="1" applyFont="1" applyFill="1" applyBorder="1" applyAlignment="1">
      <x:alignment vertical="top" wrapText="1"/>
    </x:xf>
    <x:xf numFmtId="0" fontId="65" fillId="10" borderId="456" xfId="3" applyNumberFormat="1" applyFont="1" applyFill="1" applyBorder="1" applyAlignment="1">
      <x:alignment vertical="top" wrapText="1"/>
    </x:xf>
    <x:xf numFmtId="0" fontId="65" fillId="10" borderId="457" xfId="3" applyNumberFormat="1" applyFont="1" applyFill="1" applyBorder="1" applyAlignment="1">
      <x:alignment vertical="top" wrapText="1"/>
    </x:xf>
    <x:xf numFmtId="0" fontId="66" fillId="12" borderId="458" xfId="3" applyNumberFormat="1" applyFont="1" applyFill="1" applyBorder="1" applyAlignment="1">
      <x:alignment horizontal="center" vertical="top" wrapText="1"/>
    </x:xf>
    <x:xf numFmtId="218" fontId="76" fillId="10" borderId="459" xfId="3" applyNumberFormat="1" applyFont="1" applyFill="1" applyBorder="1" applyAlignment="1">
      <x:alignment vertical="top" wrapText="1"/>
    </x:xf>
    <x:xf numFmtId="219" fontId="65" fillId="10" borderId="460" xfId="3" applyNumberFormat="1" applyFont="1" applyFill="1" applyBorder="1" applyAlignment="1">
      <x:alignment vertical="top" wrapText="1"/>
    </x:xf>
    <x:xf numFmtId="0" fontId="65" fillId="10" borderId="461" xfId="3" applyNumberFormat="1" applyFont="1" applyFill="1" applyBorder="1" applyAlignment="1">
      <x:alignment vertical="top" wrapText="1"/>
    </x:xf>
    <x:xf numFmtId="0" fontId="66" fillId="10" borderId="462" xfId="3" applyNumberFormat="1" applyFont="1" applyFill="1" applyBorder="1" applyAlignment="1">
      <x:alignment vertical="top" wrapText="1"/>
    </x:xf>
    <x:xf numFmtId="218" fontId="81" fillId="10" borderId="463" xfId="3" applyNumberFormat="1" applyFont="1" applyFill="1" applyBorder="1" applyAlignment="1">
      <x:alignment vertical="top" wrapText="1"/>
    </x:xf>
    <x:xf numFmtId="219" fontId="66" fillId="10" borderId="464" xfId="3" applyNumberFormat="1" applyFont="1" applyFill="1" applyBorder="1" applyAlignment="1">
      <x:alignment vertical="top" wrapText="1"/>
    </x:xf>
    <x:xf numFmtId="0" fontId="66" fillId="10" borderId="465" xfId="3" applyNumberFormat="1" applyFont="1" applyFill="1" applyBorder="1" applyAlignment="1">
      <x:alignment vertical="top" wrapText="1"/>
    </x:xf>
    <x:xf numFmtId="0" fontId="66" fillId="10" borderId="466" xfId="3" applyNumberFormat="1" applyFont="1" applyFill="1" applyBorder="1" applyAlignment="1">
      <x:alignment vertical="top" wrapText="1"/>
    </x:xf>
    <x:xf numFmtId="218" fontId="65" fillId="10" borderId="467" xfId="3" applyNumberFormat="1" applyFont="1" applyFill="1" applyBorder="1" applyAlignment="1">
      <x:alignment vertical="top" wrapText="1"/>
    </x:xf>
    <x:xf numFmtId="219" fontId="65" fillId="10" borderId="468" xfId="3" applyNumberFormat="1" applyFont="1" applyFill="1" applyBorder="1" applyAlignment="1">
      <x:alignment vertical="top" wrapText="1"/>
    </x:xf>
    <x:xf numFmtId="218" fontId="66" fillId="12" borderId="469" xfId="3" applyNumberFormat="1" applyFont="1" applyFill="1" applyBorder="1" applyAlignment="1">
      <x:alignment horizontal="center" vertical="top" wrapText="1"/>
    </x:xf>
    <x:xf numFmtId="219" fontId="66" fillId="12" borderId="470" xfId="3" applyNumberFormat="1" applyFont="1" applyFill="1" applyBorder="1" applyAlignment="1">
      <x:alignment horizontal="center" vertical="top" wrapText="1"/>
    </x:xf>
    <x:xf numFmtId="218" fontId="65" fillId="10" borderId="471" xfId="3" applyNumberFormat="1" applyFont="1" applyFill="1" applyBorder="1" applyAlignment="1">
      <x:alignment vertical="top" wrapText="1"/>
    </x:xf>
    <x:xf numFmtId="0" fontId="66" fillId="10" borderId="472" xfId="3" applyNumberFormat="1" applyFont="1" applyFill="1" applyBorder="1" applyAlignment="1">
      <x:alignment vertical="top" wrapText="1"/>
    </x:xf>
    <x:xf numFmtId="218" fontId="81" fillId="10" borderId="473" xfId="3" applyNumberFormat="1" applyFont="1" applyFill="1" applyBorder="1" applyAlignment="1">
      <x:alignment vertical="top" wrapText="1"/>
    </x:xf>
    <x:xf numFmtId="219" fontId="66" fillId="10" borderId="474" xfId="3" applyNumberFormat="1" applyFont="1" applyFill="1" applyBorder="1" applyAlignment="1">
      <x:alignment vertical="top" wrapText="1"/>
    </x:xf>
    <x:xf numFmtId="0" fontId="66" fillId="10" borderId="475" xfId="3" applyNumberFormat="1" applyFont="1" applyFill="1" applyBorder="1" applyAlignment="1">
      <x:alignment vertical="top" wrapText="1"/>
    </x:xf>
    <x:xf numFmtId="0" fontId="66" fillId="10" borderId="476" xfId="3" applyNumberFormat="1" applyFont="1" applyFill="1" applyBorder="1" applyAlignment="1">
      <x:alignment vertical="top" wrapText="1"/>
    </x:xf>
    <x:xf numFmtId="218" fontId="65" fillId="10" borderId="477" xfId="3" applyNumberFormat="1" applyFont="1" applyFill="1" applyBorder="1" applyAlignment="1">
      <x:alignment vertical="top" wrapText="1"/>
    </x:xf>
    <x:xf numFmtId="219" fontId="65" fillId="10" borderId="478" xfId="3" applyNumberFormat="1" applyFont="1" applyFill="1" applyBorder="1" applyAlignment="1">
      <x:alignment vertical="top" wrapText="1"/>
    </x:xf>
    <x:xf numFmtId="0" fontId="65" fillId="10" borderId="479" xfId="3" applyNumberFormat="1" applyFont="1" applyFill="1" applyBorder="1" applyAlignment="1">
      <x:alignment vertical="top" wrapText="1"/>
    </x:xf>
    <x:xf numFmtId="0" fontId="65" fillId="10" borderId="480" xfId="3" applyNumberFormat="1" applyFont="1" applyFill="1" applyBorder="1" applyAlignment="1">
      <x:alignment vertical="top" wrapText="1"/>
    </x:xf>
    <x:xf numFmtId="218" fontId="65" fillId="10" borderId="481" xfId="3" applyNumberFormat="1" applyFont="1" applyFill="1" applyBorder="1" applyAlignment="1">
      <x:alignment vertical="top" wrapText="1"/>
    </x:xf>
    <x:xf numFmtId="219" fontId="65" fillId="10" borderId="482" xfId="3" applyNumberFormat="1" applyFont="1" applyFill="1" applyBorder="1" applyAlignment="1">
      <x:alignment vertical="top" wrapText="1"/>
    </x:xf>
    <x:xf numFmtId="0" fontId="65" fillId="10" borderId="483" xfId="3" applyNumberFormat="1" applyFont="1" applyFill="1" applyBorder="1" applyAlignment="1">
      <x:alignment vertical="top" wrapText="1"/>
    </x:xf>
    <x:xf numFmtId="0" fontId="65" fillId="10" borderId="484" xfId="3" applyNumberFormat="1" applyFont="1" applyFill="1" applyBorder="1" applyAlignment="1">
      <x:alignment vertical="top" wrapText="1"/>
    </x:xf>
    <x:xf numFmtId="0" fontId="67" fillId="10" borderId="485" xfId="3" applyNumberFormat="1" applyFont="1" applyFill="1" applyBorder="1" applyAlignment="1">
      <x:alignment vertical="top" wrapText="1"/>
    </x:xf>
    <x:xf numFmtId="0" fontId="79" fillId="10" borderId="486" xfId="3" applyNumberFormat="1" applyFont="1" applyFill="1" applyBorder="1" applyAlignment="1">
      <x:alignment vertical="top" wrapText="1"/>
    </x:xf>
    <x:xf numFmtId="218" fontId="83" fillId="10" borderId="487" xfId="3" applyNumberFormat="1" applyFont="1" applyFill="1" applyBorder="1" applyAlignment="1">
      <x:alignment vertical="top" wrapText="1"/>
    </x:xf>
    <x:xf numFmtId="0" fontId="79" fillId="10" borderId="488" xfId="3" applyNumberFormat="1" applyFont="1" applyFill="1" applyBorder="1" applyAlignment="1">
      <x:alignment vertical="top" wrapText="1"/>
    </x:xf>
    <x:xf numFmtId="217" fontId="76" fillId="10" borderId="489" xfId="3" applyNumberFormat="1" applyFont="1" applyFill="1" applyBorder="1" applyAlignment="1">
      <x:alignment vertical="top" wrapText="1"/>
    </x:xf>
    <x:xf numFmtId="220" fontId="75" fillId="10" borderId="490" xfId="3" applyNumberFormat="1" applyFont="1" applyFill="1" applyBorder="1" applyAlignment="1">
      <x:alignment vertical="top" wrapText="1"/>
    </x:xf>
    <x:xf numFmtId="217" fontId="75" fillId="10" borderId="491" xfId="3" applyNumberFormat="1" applyFont="1" applyFill="1" applyBorder="1" applyAlignment="1">
      <x:alignment vertical="top" wrapText="1"/>
    </x:xf>
    <x:xf numFmtId="0" fontId="79" fillId="10" borderId="492" xfId="3" applyNumberFormat="1" applyFont="1" applyFill="1" applyBorder="1" applyAlignment="1">
      <x:alignment vertical="top" wrapText="1"/>
    </x:xf>
    <x:xf numFmtId="0" fontId="66" fillId="12" borderId="493" xfId="3" applyNumberFormat="1" applyFont="1" applyFill="1" applyBorder="1" applyAlignment="1">
      <x:alignment horizontal="center" vertical="top" wrapText="1"/>
    </x:xf>
    <x:xf numFmtId="0" fontId="76" fillId="10" borderId="494" xfId="3" applyNumberFormat="1" applyFont="1" applyFill="1" applyBorder="1" applyAlignment="1">
      <x:alignment vertical="top" wrapText="1"/>
    </x:xf>
    <x:xf numFmtId="0" fontId="76" fillId="10" borderId="495" xfId="3" applyNumberFormat="1" applyFont="1" applyFill="1" applyBorder="1" applyAlignment="1">
      <x:alignment vertical="top" wrapText="1"/>
    </x:xf>
    <x:xf numFmtId="0" fontId="76" fillId="10" borderId="496" xfId="3" applyNumberFormat="1" applyFont="1" applyFill="1" applyBorder="1" applyAlignment="1">
      <x:alignment vertical="top" wrapText="1"/>
    </x:xf>
    <x:xf numFmtId="0" fontId="76" fillId="10" borderId="497" xfId="3" applyNumberFormat="1" applyFont="1" applyFill="1" applyBorder="1" applyAlignment="1">
      <x:alignment vertical="top" wrapText="1"/>
    </x:xf>
    <x:xf numFmtId="0" fontId="76" fillId="10" borderId="498" xfId="3" applyNumberFormat="1" applyFont="1" applyFill="1" applyBorder="1" applyAlignment="1">
      <x:alignment vertical="top" wrapText="1"/>
    </x:xf>
    <x:xf numFmtId="0" fontId="76" fillId="10" borderId="499" xfId="3" applyNumberFormat="1" applyFont="1" applyFill="1" applyBorder="1" applyAlignment="1">
      <x:alignment vertical="top" wrapText="1"/>
    </x:xf>
    <x:xf numFmtId="0" fontId="82" fillId="10" borderId="500" xfId="3" applyNumberFormat="1" applyFont="1" applyFill="1" applyBorder="1" applyAlignment="1">
      <x:alignment vertical="top" wrapText="1"/>
    </x:xf>
    <x:xf numFmtId="218" fontId="76" fillId="10" borderId="501" xfId="3" applyNumberFormat="1" applyFont="1" applyFill="1" applyBorder="1" applyAlignment="1">
      <x:alignment vertical="top" wrapText="1"/>
    </x:xf>
    <x:xf numFmtId="218" fontId="66" fillId="10" borderId="502" xfId="3" applyNumberFormat="1" applyFont="1" applyFill="1" applyBorder="1" applyAlignment="1">
      <x:alignment vertical="top" wrapText="1"/>
    </x:xf>
    <x:xf numFmtId="218" fontId="66" fillId="10" borderId="503" xfId="3" applyNumberFormat="1" applyFont="1" applyFill="1" applyBorder="1" applyAlignment="1">
      <x:alignment vertical="top" wrapText="1"/>
    </x:xf>
    <x:xf numFmtId="218" fontId="65" fillId="10" borderId="504" xfId="3" applyNumberFormat="1" applyFont="1" applyFill="1" applyBorder="1" applyAlignment="1">
      <x:alignment vertical="top" wrapText="1"/>
    </x:xf>
    <x:xf numFmtId="218" fontId="65" fillId="10" borderId="505" xfId="3" applyNumberFormat="1" applyFont="1" applyFill="1" applyBorder="1" applyAlignment="1">
      <x:alignment vertical="top" wrapText="1"/>
    </x:xf>
    <x:xf numFmtId="218" fontId="66" fillId="10" borderId="506" xfId="3" applyNumberFormat="1" applyFont="1" applyFill="1" applyBorder="1" applyAlignment="1">
      <x:alignment vertical="top" wrapText="1"/>
    </x:xf>
    <x:xf numFmtId="218" fontId="66" fillId="10" borderId="507" xfId="3" applyNumberFormat="1" applyFont="1" applyFill="1" applyBorder="1" applyAlignment="1">
      <x:alignment vertical="top" wrapText="1"/>
    </x:xf>
    <x:xf numFmtId="218" fontId="65" fillId="10" borderId="508" xfId="3" applyNumberFormat="1" applyFont="1" applyFill="1" applyBorder="1" applyAlignment="1">
      <x:alignment vertical="top" wrapText="1"/>
    </x:xf>
    <x:xf numFmtId="218" fontId="76" fillId="10" borderId="509" xfId="3" applyNumberFormat="1" applyFont="1" applyFill="1" applyBorder="1" applyAlignment="1">
      <x:alignment vertical="top" wrapText="1"/>
    </x:xf>
    <x:xf numFmtId="218" fontId="76" fillId="10" borderId="510" xfId="3" applyNumberFormat="1" applyFont="1" applyFill="1" applyBorder="1" applyAlignment="1">
      <x:alignment vertical="top" wrapText="1"/>
    </x:xf>
    <x:xf numFmtId="218" fontId="66" fillId="10" borderId="511" xfId="3" applyNumberFormat="1" applyFont="1" applyFill="1" applyBorder="1" applyAlignment="1">
      <x:alignment vertical="top" wrapText="1"/>
    </x:xf>
    <x:xf numFmtId="218" fontId="66" fillId="10" borderId="512" xfId="3" applyNumberFormat="1" applyFont="1" applyFill="1" applyBorder="1" applyAlignment="1">
      <x:alignment vertical="top" wrapText="1"/>
    </x:xf>
    <x:xf numFmtId="217" fontId="66" fillId="10" borderId="513" xfId="3" applyNumberFormat="1" applyFont="1" applyFill="1" applyBorder="1" applyAlignment="1">
      <x:alignment vertical="top" wrapText="1"/>
    </x:xf>
    <x:xf numFmtId="218" fontId="75" fillId="10" borderId="514" xfId="3" applyNumberFormat="1" applyFont="1" applyFill="1" applyBorder="1" applyAlignment="1">
      <x:alignment vertical="top" wrapText="1"/>
    </x:xf>
    <x:xf numFmtId="220" fontId="76" fillId="10" borderId="515" xfId="3" applyNumberFormat="1" applyFont="1" applyFill="1" applyBorder="1" applyAlignment="1">
      <x:alignment vertical="top" wrapText="1"/>
    </x:xf>
    <x:xf numFmtId="217" fontId="76" fillId="10" borderId="516" xfId="3" applyNumberFormat="1" applyFont="1" applyFill="1" applyBorder="1" applyAlignment="1">
      <x:alignment vertical="top" wrapText="1"/>
    </x:xf>
    <x:xf numFmtId="0" fontId="65" fillId="10" borderId="517" xfId="3" applyNumberFormat="1" applyFont="1" applyFill="1" applyBorder="1"/>
    <x:xf numFmtId="218" fontId="76" fillId="10" borderId="518" xfId="3" applyNumberFormat="1" applyFont="1" applyFill="1" applyBorder="1" applyAlignment="1">
      <x:alignment vertical="top" wrapText="1"/>
    </x:xf>
    <x:xf numFmtId="218" fontId="76" fillId="10" borderId="519" xfId="3" applyNumberFormat="1" applyFont="1" applyFill="1" applyBorder="1" applyAlignment="1">
      <x:alignment vertical="top" wrapText="1"/>
    </x:xf>
    <x:xf numFmtId="218" fontId="76" fillId="10" borderId="520" xfId="3" applyNumberFormat="1" applyFont="1" applyFill="1" applyBorder="1" applyAlignment="1">
      <x:alignment vertical="top" wrapText="1"/>
    </x:xf>
    <x:xf numFmtId="0" fontId="65" fillId="10" borderId="521" xfId="3" applyNumberFormat="1" applyFont="1" applyFill="1" applyBorder="1" applyAlignment="1">
      <x:alignment vertical="top" wrapText="1"/>
    </x:xf>
    <x:xf numFmtId="0" fontId="66" fillId="10" borderId="522" xfId="3" applyNumberFormat="1" applyFont="1" applyFill="1" applyBorder="1" applyAlignment="1">
      <x:alignment vertical="top" wrapText="1"/>
    </x:xf>
    <x:xf numFmtId="0" fontId="66" fillId="10" borderId="523" xfId="3" applyNumberFormat="1" applyFont="1" applyFill="1" applyBorder="1" applyAlignment="1">
      <x:alignment vertical="top" wrapText="1"/>
    </x:xf>
    <x:xf numFmtId="0" fontId="65" fillId="10" borderId="524" xfId="3" applyNumberFormat="1" applyFont="1" applyFill="1" applyBorder="1" applyAlignment="1">
      <x:alignment vertical="top" wrapText="1"/>
    </x:xf>
    <x:xf numFmtId="218" fontId="65" fillId="10" borderId="525" xfId="3" applyNumberFormat="1" applyFont="1" applyFill="1" applyBorder="1" applyAlignment="1">
      <x:alignment vertical="top" wrapText="1"/>
    </x:xf>
    <x:xf numFmtId="0" fontId="65" fillId="10" borderId="526" xfId="3" applyNumberFormat="1" applyFont="1" applyFill="1" applyBorder="1" applyAlignment="1">
      <x:alignment vertical="top" wrapText="1"/>
    </x:xf>
    <x:xf numFmtId="218" fontId="65" fillId="10" borderId="527" xfId="3" applyNumberFormat="1" applyFont="1" applyFill="1" applyBorder="1" applyAlignment="1">
      <x:alignment vertical="top" wrapText="1"/>
    </x:xf>
    <x:xf numFmtId="0" fontId="65" fillId="10" borderId="528" xfId="3" applyNumberFormat="1" applyFont="1" applyFill="1" applyBorder="1" applyAlignment="1">
      <x:alignment vertical="top" wrapText="1"/>
    </x:xf>
    <x:xf numFmtId="0" fontId="65" fillId="10" borderId="529" xfId="3" applyNumberFormat="1" applyFont="1" applyFill="1" applyBorder="1" applyAlignment="1">
      <x:alignment vertical="top" wrapText="1"/>
    </x:xf>
    <x:xf numFmtId="0" fontId="65" fillId="10" borderId="530" xfId="3" applyNumberFormat="1" applyFont="1" applyFill="1" applyBorder="1" applyAlignment="1">
      <x:alignment vertical="top" wrapText="1"/>
    </x:xf>
    <x:xf numFmtId="218" fontId="76" fillId="10" borderId="531" xfId="3" applyNumberFormat="1" applyFont="1" applyFill="1" applyBorder="1" applyAlignment="1">
      <x:alignment vertical="top" wrapText="1"/>
    </x:xf>
    <x:xf numFmtId="0" fontId="65" fillId="10" borderId="532" xfId="3" applyNumberFormat="1" applyFont="1" applyFill="1" applyBorder="1" applyAlignment="1">
      <x:alignment vertical="top" wrapText="1"/>
    </x:xf>
    <x:xf numFmtId="0" fontId="65" fillId="10" borderId="533" xfId="3" applyNumberFormat="1" applyFont="1" applyFill="1" applyBorder="1" applyAlignment="1">
      <x:alignment vertical="top" wrapText="1"/>
    </x:xf>
    <x:xf numFmtId="0" fontId="65" fillId="10" borderId="534" xfId="3" applyNumberFormat="1" applyFont="1" applyFill="1" applyBorder="1" applyAlignment="1">
      <x:alignment vertical="top" wrapText="1"/>
    </x:xf>
    <x:xf numFmtId="219" fontId="76" fillId="10" borderId="535" xfId="3" applyNumberFormat="1" applyFont="1" applyFill="1" applyBorder="1" applyAlignment="1">
      <x:alignment vertical="top" wrapText="1"/>
    </x:xf>
    <x:xf numFmtId="221" fontId="76" fillId="10" borderId="536" xfId="3" applyNumberFormat="1" applyFont="1" applyFill="1" applyBorder="1" applyAlignment="1">
      <x:alignment vertical="top" wrapText="1"/>
    </x:xf>
    <x:xf numFmtId="218" fontId="78" fillId="10" borderId="537" xfId="3" applyNumberFormat="1" applyFont="1" applyFill="1" applyBorder="1" applyAlignment="1">
      <x:alignment vertical="top" wrapText="1"/>
    </x:xf>
    <x:xf numFmtId="219" fontId="65" fillId="10" borderId="538" xfId="3" applyNumberFormat="1" applyFont="1" applyFill="1" applyBorder="1" applyAlignment="1">
      <x:alignment vertical="top" wrapText="1"/>
    </x:xf>
    <x:xf numFmtId="0" fontId="65" fillId="10" borderId="539" xfId="3" applyNumberFormat="1" applyFont="1" applyFill="1" applyBorder="1" applyAlignment="1">
      <x:alignment vertical="top" wrapText="1"/>
    </x:xf>
    <x:xf numFmtId="218" fontId="78" fillId="10" borderId="540" xfId="3" applyNumberFormat="1" applyFont="1" applyFill="1" applyBorder="1" applyAlignment="1">
      <x:alignment vertical="top" wrapText="1"/>
    </x:xf>
    <x:xf numFmtId="0" fontId="65" fillId="10" borderId="541" xfId="3" applyNumberFormat="1" applyFont="1" applyFill="1" applyBorder="1" applyAlignment="1">
      <x:alignment vertical="top" wrapText="1"/>
    </x:xf>
    <x:xf numFmtId="0" fontId="65" fillId="10" borderId="542" xfId="3" applyNumberFormat="1" applyFont="1" applyFill="1" applyBorder="1" applyAlignment="1">
      <x:alignment vertical="top" wrapText="1"/>
    </x:xf>
    <x:xf numFmtId="0" fontId="66" fillId="12" borderId="543" xfId="3" applyNumberFormat="1" applyFont="1" applyFill="1" applyBorder="1" applyAlignment="1">
      <x:alignment horizontal="center" vertical="top" wrapText="1"/>
    </x:xf>
    <x:xf numFmtId="221" fontId="78" fillId="10" borderId="544" xfId="3" applyNumberFormat="1" applyFont="1" applyFill="1" applyBorder="1" applyAlignment="1">
      <x:alignment vertical="top" wrapText="1"/>
    </x:xf>
    <x:xf numFmtId="221" fontId="78" fillId="10" borderId="545" xfId="3" applyNumberFormat="1" applyFont="1" applyFill="1" applyBorder="1" applyAlignment="1">
      <x:alignment vertical="top" wrapText="1"/>
    </x:xf>
    <x:xf numFmtId="221" fontId="78" fillId="10" borderId="546" xfId="3" applyNumberFormat="1" applyFont="1" applyFill="1" applyBorder="1" applyAlignment="1">
      <x:alignment vertical="top" wrapText="1"/>
    </x:xf>
    <x:xf numFmtId="221" fontId="78" fillId="10" borderId="547" xfId="3" applyNumberFormat="1" applyFont="1" applyFill="1" applyBorder="1" applyAlignment="1">
      <x:alignment vertical="top" wrapText="1"/>
    </x:xf>
    <x:xf numFmtId="219" fontId="65" fillId="10" borderId="548" xfId="3" applyNumberFormat="1" applyFont="1" applyFill="1" applyBorder="1" applyAlignment="1">
      <x:alignment vertical="top" wrapText="1"/>
    </x:xf>
    <x:xf numFmtId="221" fontId="78" fillId="10" borderId="549" xfId="3" applyNumberFormat="1" applyFont="1" applyFill="1" applyBorder="1" applyAlignment="1">
      <x:alignment vertical="top" wrapText="1"/>
    </x:xf>
    <x:xf numFmtId="221" fontId="78" fillId="10" borderId="550" xfId="3" applyNumberFormat="1" applyFont="1" applyFill="1" applyBorder="1" applyAlignment="1">
      <x:alignment vertical="top" wrapText="1"/>
    </x:xf>
    <x:xf numFmtId="0" fontId="66" fillId="12" borderId="551" xfId="3" applyNumberFormat="1" applyFont="1" applyFill="1" applyBorder="1" applyAlignment="1">
      <x:alignment horizontal="center" vertical="top" wrapText="1"/>
    </x:xf>
    <x:xf numFmtId="0" fontId="65" fillId="10" borderId="552" xfId="3" applyNumberFormat="1" applyFont="1" applyFill="1" applyBorder="1" applyAlignment="1">
      <x:alignment vertical="top" wrapText="1"/>
    </x:xf>
    <x:xf numFmtId="0" fontId="65" fillId="10" borderId="553" xfId="3" applyNumberFormat="1" applyFont="1" applyFill="1" applyBorder="1" applyAlignment="1">
      <x:alignment vertical="top" wrapText="1"/>
    </x:xf>
    <x:xf numFmtId="218" fontId="78" fillId="10" borderId="554" xfId="3" applyNumberFormat="1" applyFont="1" applyFill="1" applyBorder="1" applyAlignment="1">
      <x:alignment vertical="top" wrapText="1"/>
    </x:xf>
    <x:xf numFmtId="218" fontId="78" fillId="10" borderId="555" xfId="3" applyNumberFormat="1" applyFont="1" applyFill="1" applyBorder="1" applyAlignment="1">
      <x:alignment vertical="top" wrapText="1"/>
    </x:xf>
    <x:xf numFmtId="0" fontId="65" fillId="10" borderId="556" xfId="3" applyNumberFormat="1" applyFont="1" applyFill="1" applyBorder="1" applyAlignment="1">
      <x:alignment vertical="top" wrapText="1"/>
    </x:xf>
    <x:xf numFmtId="0" fontId="65" fillId="10" borderId="557" xfId="3" applyNumberFormat="1" applyFont="1" applyFill="1" applyBorder="1" applyAlignment="1">
      <x:alignment wrapText="1"/>
    </x:xf>
    <x:xf numFmtId="0" fontId="65" fillId="10" borderId="558" xfId="3" applyNumberFormat="1" applyFont="1" applyFill="1" applyBorder="1" applyAlignment="1">
      <x:alignment wrapText="1"/>
    </x:xf>
    <x:xf numFmtId="0" fontId="65" fillId="10" borderId="559" xfId="3" applyNumberFormat="1" applyFont="1" applyFill="1" applyBorder="1" applyAlignment="1">
      <x:alignment wrapText="1"/>
    </x:xf>
    <x:xf numFmtId="222" fontId="65" fillId="10" borderId="420" xfId="3" applyNumberFormat="1" applyFont="1" applyFill="1" applyBorder="1" applyAlignment="1">
      <x:alignment vertical="top" wrapText="1"/>
    </x:xf>
    <x:xf numFmtId="0" fontId="65" fillId="13" borderId="420" xfId="3" applyNumberFormat="1" applyFont="1" applyFill="1" applyBorder="1" applyAlignment="1">
      <x:alignment vertical="top" wrapText="1"/>
    </x:xf>
    <x:xf numFmtId="0" fontId="66" fillId="13" borderId="420" xfId="3" applyNumberFormat="1" applyFont="1" applyFill="1" applyBorder="1" applyAlignment="1">
      <x:alignment vertical="top" wrapText="1"/>
    </x:xf>
    <x:xf numFmtId="0" fontId="66" fillId="13" borderId="420" xfId="3" applyNumberFormat="1" applyFont="1" applyFill="1" applyBorder="1" applyAlignment="1">
      <x:alignment horizontal="center" vertical="top" wrapText="1"/>
    </x:xf>
    <x:xf numFmtId="0" fontId="66" fillId="13" borderId="421" xfId="3" applyNumberFormat="1" applyFont="1" applyFill="1" applyBorder="1" applyAlignment="1">
      <x:alignment horizontal="center" vertical="top" wrapText="1"/>
    </x:xf>
    <x:xf numFmtId="223" fontId="76" fillId="10" borderId="420" xfId="3" applyNumberFormat="1" applyFont="1" applyFill="1" applyBorder="1" applyAlignment="1">
      <x:alignment vertical="top" wrapText="1"/>
    </x:xf>
    <x:xf numFmtId="223" fontId="75" fillId="10" borderId="420" xfId="3" applyNumberFormat="1" applyFont="1" applyFill="1" applyBorder="1" applyAlignment="1">
      <x:alignment vertical="top" wrapText="1"/>
    </x:xf>
    <x:xf numFmtId="0" fontId="66" fillId="13" borderId="422" xfId="3" applyNumberFormat="1" applyFont="1" applyFill="1" applyBorder="1" applyAlignment="1">
      <x:alignment horizontal="center" vertical="top" wrapText="1"/>
    </x:xf>
    <x:xf numFmtId="0" fontId="66" fillId="13" borderId="433" xfId="3" applyNumberFormat="1" applyFont="1" applyFill="1" applyBorder="1" applyAlignment="1">
      <x:alignment horizontal="center" vertical="top" wrapText="1"/>
    </x:xf>
    <x:xf numFmtId="0" fontId="66" fillId="13" borderId="423" xfId="3" applyNumberFormat="1" applyFont="1" applyFill="1" applyBorder="1" applyAlignment="1">
      <x:alignment horizontal="center" vertical="top" wrapText="1"/>
    </x:xf>
    <x:xf numFmtId="223" fontId="76" fillId="10" borderId="431" xfId="3" applyNumberFormat="1" applyFont="1" applyFill="1" applyBorder="1" applyAlignment="1">
      <x:alignment vertical="top" wrapText="1"/>
    </x:xf>
    <x:xf numFmtId="223" fontId="76" fillId="10" borderId="425" xfId="3" applyNumberFormat="1" applyFont="1" applyFill="1" applyBorder="1" applyAlignment="1">
      <x:alignment vertical="top" wrapText="1"/>
    </x:xf>
    <x:xf numFmtId="223" fontId="75" fillId="10" borderId="432" xfId="3" applyNumberFormat="1" applyFont="1" applyFill="1" applyBorder="1" applyAlignment="1">
      <x:alignment vertical="top" wrapText="1"/>
    </x:xf>
    <x:xf numFmtId="223" fontId="75" fillId="10" borderId="427" xfId="3" applyNumberFormat="1" applyFont="1" applyFill="1" applyBorder="1" applyAlignment="1">
      <x:alignment vertical="top" wrapText="1"/>
    </x:xf>
    <x:xf numFmtId="223" fontId="75" fillId="10" borderId="433" xfId="3" applyNumberFormat="1" applyFont="1" applyFill="1" applyBorder="1" applyAlignment="1">
      <x:alignment vertical="top" wrapText="1"/>
    </x:xf>
    <x:xf numFmtId="223" fontId="75" fillId="10" borderId="423" xfId="3" applyNumberFormat="1" applyFont="1" applyFill="1" applyBorder="1" applyAlignment="1">
      <x:alignment vertical="top" wrapText="1"/>
    </x:xf>
    <x:xf numFmtId="223" fontId="65" fillId="10" borderId="420" xfId="3" applyNumberFormat="1" applyFont="1" applyFill="1" applyBorder="1" applyAlignment="1">
      <x:alignment vertical="top" wrapText="1"/>
    </x:xf>
    <x:xf numFmtId="223" fontId="78" fillId="10" borderId="420" xfId="3" applyNumberFormat="1" applyFont="1" applyFill="1" applyBorder="1" applyAlignment="1">
      <x:alignment vertical="top" wrapText="1"/>
    </x:xf>
    <x:xf numFmtId="223" fontId="78" fillId="10" borderId="431" xfId="3" applyNumberFormat="1" applyFont="1" applyFill="1" applyBorder="1" applyAlignment="1">
      <x:alignment vertical="top" wrapText="1"/>
    </x:xf>
    <x:xf numFmtId="222" fontId="65" fillId="10" borderId="431" xfId="3" applyNumberFormat="1" applyFont="1" applyFill="1" applyBorder="1" applyAlignment="1">
      <x:alignment vertical="top" wrapText="1"/>
    </x:xf>
    <x:xf numFmtId="223" fontId="78" fillId="10" borderId="432" xfId="3" applyNumberFormat="1" applyFont="1" applyFill="1" applyBorder="1" applyAlignment="1">
      <x:alignment vertical="top" wrapText="1"/>
    </x:xf>
    <x:xf numFmtId="222" fontId="65" fillId="10" borderId="432" xfId="3" applyNumberFormat="1" applyFont="1" applyFill="1" applyBorder="1" applyAlignment="1">
      <x:alignment vertical="top" wrapText="1"/>
    </x:xf>
    <x:xf numFmtId="0" fontId="65" fillId="13" borderId="428" xfId="3" applyNumberFormat="1" applyFont="1" applyFill="1" applyBorder="1" applyAlignment="1">
      <x:alignment vertical="top" wrapText="1"/>
    </x:xf>
    <x:xf numFmtId="0" fontId="65" fillId="13" borderId="429" xfId="3" applyNumberFormat="1" applyFont="1" applyFill="1" applyBorder="1" applyAlignment="1">
      <x:alignment vertical="top" wrapText="1"/>
    </x:xf>
    <x:xf numFmtId="0" fontId="65" fillId="13" borderId="430" xfId="3" applyNumberFormat="1" applyFont="1" applyFill="1" applyBorder="1" applyAlignment="1">
      <x:alignment vertical="top" wrapText="1"/>
    </x:xf>
    <x:xf numFmtId="0" fontId="66" fillId="13" borderId="428" xfId="3" applyNumberFormat="1" applyFont="1" applyFill="1" applyBorder="1" applyAlignment="1">
      <x:alignment vertical="top" wrapText="1"/>
    </x:xf>
    <x:xf numFmtId="0" fontId="66" fillId="13" borderId="429" xfId="3" applyNumberFormat="1" applyFont="1" applyFill="1" applyBorder="1" applyAlignment="1">
      <x:alignment vertical="top" wrapText="1"/>
    </x:xf>
    <x:xf numFmtId="0" fontId="66" fillId="13" borderId="430" xfId="3" applyNumberFormat="1" applyFont="1" applyFill="1" applyBorder="1" applyAlignment="1">
      <x:alignment vertical="top" wrapText="1"/>
    </x:xf>
    <x:xf numFmtId="0" fontId="66" fillId="13" borderId="428" xfId="3" applyNumberFormat="1" applyFont="1" applyFill="1" applyBorder="1" applyAlignment="1">
      <x:alignment horizontal="center" vertical="top" wrapText="1"/>
    </x:xf>
    <x:xf numFmtId="0" fontId="66" fillId="13" borderId="429" xfId="3" applyNumberFormat="1" applyFont="1" applyFill="1" applyBorder="1" applyAlignment="1">
      <x:alignment horizontal="center" vertical="top" wrapText="1"/>
    </x:xf>
    <x:xf numFmtId="0" fontId="66" fillId="13" borderId="430" xfId="3" applyNumberFormat="1" applyFont="1" applyFill="1" applyBorder="1" applyAlignment="1">
      <x:alignment horizontal="center" vertical="top" wrapText="1"/>
    </x:xf>
    <x:xf numFmtId="0" fontId="63" fillId="10" borderId="420" xfId="3" applyNumberFormat="1" applyFont="1" applyFill="1" applyBorder="1" applyAlignment="1">
      <x:alignment wrapText="1"/>
    </x:xf>
    <x:xf numFmtId="0" fontId="63" fillId="10" borderId="426" xfId="3" applyNumberFormat="1" applyFont="1" applyFill="1" applyBorder="1" applyAlignment="1">
      <x:alignment wrapText="1"/>
    </x:xf>
    <x:xf numFmtId="0" fontId="63" fillId="10" borderId="427" xfId="3" applyNumberFormat="1" applyFont="1" applyFill="1" applyBorder="1" applyAlignment="1">
      <x:alignment wrapText="1"/>
    </x:xf>
    <x:xf numFmtId="0" fontId="63" fillId="10" borderId="426" xfId="3" applyNumberFormat="1" applyFont="1" applyFill="1" applyBorder="1"/>
    <x:xf numFmtId="0" fontId="63" fillId="10" borderId="427" xfId="3" applyNumberFormat="1" applyFont="1" applyFill="1" applyBorder="1"/>
    <x:xf numFmtId="222" fontId="44" fillId="7" borderId="280" xfId="2" applyNumberFormat="1" applyFont="1" applyFill="1" applyBorder="1" applyAlignment="1">
      <x:alignment vertical="top" wrapText="1"/>
    </x:xf>
    <x:xf numFmtId="223" fontId="55" fillId="7" borderId="291" xfId="2" applyNumberFormat="1" applyFont="1" applyFill="1" applyBorder="1" applyAlignment="1">
      <x:alignment vertical="top" wrapText="1"/>
    </x:xf>
    <x:xf numFmtId="223" fontId="55" fillId="7" borderId="285" xfId="2" applyNumberFormat="1" applyFont="1" applyFill="1" applyBorder="1" applyAlignment="1">
      <x:alignment vertical="top" wrapText="1"/>
    </x:xf>
    <x:xf numFmtId="223" fontId="54" fillId="7" borderId="293" xfId="2" applyNumberFormat="1" applyFont="1" applyFill="1" applyBorder="1" applyAlignment="1">
      <x:alignment vertical="top" wrapText="1"/>
    </x:xf>
    <x:xf numFmtId="223" fontId="54" fillId="7" borderId="283" xfId="2" applyNumberFormat="1" applyFont="1" applyFill="1" applyBorder="1" applyAlignment="1">
      <x:alignment vertical="top" wrapText="1"/>
    </x:xf>
    <x:xf numFmtId="0" fontId="45" fillId="7" borderId="280" xfId="2" applyNumberFormat="1" applyFont="1" applyFill="1" applyBorder="1" applyAlignment="1">
      <x:alignment vertical="top" wrapText="0"/>
    </x:xf>
    <x:xf numFmtId="0" fontId="45" fillId="14" borderId="282" xfId="2" applyNumberFormat="1" applyFont="1" applyFill="1" applyBorder="1" applyAlignment="1">
      <x:alignment horizontal="center" vertical="top" wrapText="1"/>
    </x:xf>
    <x:xf numFmtId="0" fontId="45" fillId="14" borderId="293" xfId="2" applyNumberFormat="1" applyFont="1" applyFill="1" applyBorder="1" applyAlignment="1">
      <x:alignment horizontal="center" vertical="top" wrapText="1"/>
    </x:xf>
    <x:xf numFmtId="0" fontId="45" fillId="14" borderId="283" xfId="2" applyNumberFormat="1" applyFont="1" applyFill="1" applyBorder="1" applyAlignment="1">
      <x:alignment horizontal="center" vertical="top" wrapText="1"/>
    </x:xf>
    <x:xf numFmtId="223" fontId="57" fillId="7" borderId="291" xfId="2" applyNumberFormat="1" applyFont="1" applyFill="1" applyBorder="1" applyAlignment="1">
      <x:alignment vertical="top" wrapText="1"/>
    </x:xf>
    <x:xf numFmtId="222" fontId="44" fillId="7" borderId="291" xfId="2" applyNumberFormat="1" applyFont="1" applyFill="1" applyBorder="1" applyAlignment="1">
      <x:alignment vertical="top" wrapText="1"/>
    </x:xf>
    <x:xf numFmtId="223" fontId="57" fillId="7" borderId="292" xfId="2" applyNumberFormat="1" applyFont="1" applyFill="1" applyBorder="1" applyAlignment="1">
      <x:alignment vertical="top" wrapText="1"/>
    </x:xf>
    <x:xf numFmtId="222" fontId="44" fillId="7" borderId="292" xfId="2" applyNumberFormat="1" applyFont="1" applyFill="1" applyBorder="1" applyAlignment="1">
      <x:alignment vertical="top" wrapText="1"/>
    </x:xf>
    <x:xf numFmtId="0" fontId="42" fillId="7" borderId="286" xfId="2" applyNumberFormat="1" applyFont="1" applyFill="1" applyBorder="1" applyAlignment="1">
      <x:alignment wrapText="1"/>
    </x:xf>
    <x:xf numFmtId="0" fontId="42" fillId="7" borderId="287" xfId="2" applyNumberFormat="1" applyFont="1" applyFill="1" applyBorder="1" applyAlignment="1">
      <x:alignment wrapText="1"/>
    </x:xf>
    <x:xf numFmtId="0" fontId="42" fillId="7" borderId="286" xfId="2" applyNumberFormat="1" applyFont="1" applyFill="1" applyBorder="1" applyAlignment="1">
      <x:alignment vertical="top" wrapText="1"/>
    </x:xf>
    <x:xf numFmtId="0" fontId="42" fillId="7" borderId="287" xfId="2" applyNumberFormat="1" applyFont="1" applyFill="1" applyBorder="1" applyAlignment="1">
      <x:alignment vertical="top" wrapText="1"/>
    </x:xf>
    <x:xf numFmtId="0" fontId="43" fillId="7" borderId="286" xfId="2" applyNumberFormat="1" applyFont="1" applyFill="1" applyBorder="1" applyAlignment="1">
      <x:alignment vertical="top" wrapText="1"/>
    </x:xf>
    <x:xf numFmtId="0" fontId="43" fillId="7" borderId="287" xfId="2" applyNumberFormat="1" applyFont="1" applyFill="1" applyBorder="1" applyAlignment="1">
      <x:alignment vertical="top" wrapText="1"/>
    </x:xf>
    <x:xf numFmtId="0" fontId="42" fillId="7" borderId="286" xfId="2" applyNumberFormat="1" applyFont="1" applyFill="1" applyBorder="1" applyAlignment="1">
      <x:alignment vertical="top"/>
    </x:xf>
    <x:xf numFmtId="0" fontId="42" fillId="7" borderId="287" xfId="2" applyNumberFormat="1" applyFont="1" applyFill="1" applyBorder="1" applyAlignment="1">
      <x:alignment vertical="top"/>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8e115f792db040aa" /><ns0:Relationship Type="http://schemas.openxmlformats.org/officeDocument/2006/relationships/theme" Target="/xl/theme/theme1.xml" Id="Rc015eba46e9b4983" /><ns0:Relationship Type="http://schemas.openxmlformats.org/officeDocument/2006/relationships/sharedStrings" Target="/xl/sharedStrings.xml" Id="Rcb08fefba13b4e11" /><ns0:Relationship Type="http://schemas.openxmlformats.org/officeDocument/2006/relationships/worksheet" Target="/xl/worksheets/sheet1.xml" Id="R5d8071a01baa4740" /><ns0:Relationship Type="http://schemas.openxmlformats.org/officeDocument/2006/relationships/worksheet" Target="/xl/worksheets/sheet2.xml" Id="Rdb561f41d7664885" /><ns0:Relationship Type="http://schemas.openxmlformats.org/officeDocument/2006/relationships/worksheet" Target="/xl/worksheets/sheet3.xml" Id="R678973a6daee4721" /><ns0:Relationship Type="http://schemas.openxmlformats.org/officeDocument/2006/relationships/worksheet" Target="/xl/worksheets/sheet4.xml" Id="R61b303ccd30848b0" /><ns0:Relationship Type="http://schemas.openxmlformats.org/officeDocument/2006/relationships/worksheet" Target="/xl/worksheets/sheet5.xml" Id="R147af0f1d96f4e26" /><ns0:Relationship Type="http://schemas.openxmlformats.org/officeDocument/2006/relationships/worksheet" Target="/xl/worksheets/sheet6.xml" Id="R2d31b716f68d4673" /><ns0:Relationship Type="http://schemas.openxmlformats.org/officeDocument/2006/relationships/worksheet" Target="/xl/worksheets/sheet7.xml" Id="Re3efeb6e05ad497b" /><ns0:Relationship Type="http://schemas.openxmlformats.org/officeDocument/2006/relationships/worksheet" Target="/xl/worksheets/sheet8.xml" Id="Rc20a55f23ee44f8d" /><ns0:Relationship Id="rIdAnnualHistory" Type="http://schemas.openxmlformats.org/officeDocument/2006/relationships/worksheet" Target="worksheets/sheet9.xml" /></ns0:Relationships>
</file>

<file path=xl/drawings/_rels/drawing1.xml.rels>&#65279;<?xml version="1.0" encoding="utf-8"?><Relationships xmlns="http://schemas.openxmlformats.org/package/2006/relationships"><Relationship Type="http://schemas.openxmlformats.org/officeDocument/2006/relationships/chart" Target="/xl/drawings/charts/chart1.xml" Id="Rccfae7a6dcce464b" /><Relationship Type="http://schemas.openxmlformats.org/officeDocument/2006/relationships/chart" Target="/xl/drawings/charts/chart2.xml" Id="R530913a246744b55" /></Relationships>
</file>

<file path=xl/drawings/_rels/drawing2.xml.rels>&#65279;<?xml version="1.0" encoding="utf-8"?><Relationships xmlns="http://schemas.openxmlformats.org/package/2006/relationships"><Relationship Type="http://schemas.openxmlformats.org/officeDocument/2006/relationships/chart" Target="/xl/drawings/charts/chart3.xml" Id="R6b2c78017318491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What remained after capital spending?</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USD millions</c:v>
          </c:tx>
          <c:spPr>
            <a:solidFill xmlns:a="http://schemas.openxmlformats.org/drawingml/2006/main">
              <a:srgbClr val="8D99A8"/>
            </a:solidFill>
          </c:spPr>
          <c:invertIfNegative val="0"/>
          <c:cat>
            <c:strRef>
              <c:f>'Core charts'!$A$6:$A$8</c:f>
              <c:strCache>
                <c:ptCount val="0"/>
              </c:strCache>
            </c:strRef>
          </c:cat>
          <c:val>
            <c:numRef>
              <c:f>'Core charts'!$B$6:$B$8</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USD millions</a:t>
                </a:r>
              </a:p>
            </c:rich>
          </c:tx>
          <c:overlay val="0"/>
        </c:title>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How did borrowing and cash change?</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Cash and equivalents</c:v>
          </c:tx>
          <c:spPr>
            <a:solidFill xmlns:a="http://schemas.openxmlformats.org/drawingml/2006/main">
              <a:srgbClr val="8D99A8"/>
            </a:solidFill>
          </c:spPr>
          <c:invertIfNegative val="0"/>
          <c:cat>
            <c:strRef>
              <c:f>'Core charts'!$A$25:$A$26</c:f>
              <c:strCache>
                <c:ptCount val="0"/>
              </c:strCache>
            </c:strRef>
          </c:cat>
          <c:val>
            <c:numRef>
              <c:f>'Core charts'!$B$25:$B$26</c:f>
              <c:numCache>
                <c:formatCode>#,##0,,;(#,##0,,);"-"</c:formatCode>
                <c:ptCount val="0"/>
              </c:numCache>
            </c:numRef>
          </c:val>
        </c:ser>
        <c:ser>
          <c:idx val="1"/>
          <c:order val="1"/>
          <c:tx>
            <c:v>Baseline borrowing</c:v>
          </c:tx>
          <c:spPr>
            <a:solidFill xmlns:a="http://schemas.openxmlformats.org/drawingml/2006/main">
              <a:srgbClr val="47627F"/>
            </a:solidFill>
          </c:spPr>
          <c:invertIfNegative val="0"/>
          <c:cat>
            <c:strRef>
              <c:f>'Core charts'!$A$25:$A$26</c:f>
              <c:strCache>
                <c:ptCount val="0"/>
              </c:strCache>
            </c:strRef>
          </c:cat>
          <c:val>
            <c:numRef>
              <c:f>'Core charts'!$C$25:$C$26</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USD millions</a:t>
                </a:r>
              </a:p>
            </c:rich>
          </c:tx>
          <c:overlay val="0"/>
        </c:title>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What added to or used cash? January–June 2026</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USD millions</c:v>
          </c:tx>
          <c:spPr>
            <a:solidFill xmlns:a="http://schemas.openxmlformats.org/drawingml/2006/main">
              <a:srgbClr val="737985"/>
            </a:solidFill>
          </c:spPr>
          <c:invertIfNegative val="0"/>
          <c:cat>
            <c:strRef>
              <c:f>'Repayment review'!$F$28:$F$33</c:f>
              <c:strCache>
                <c:ptCount val="0"/>
              </c:strCache>
            </c:strRef>
          </c:cat>
          <c:val>
            <c:numRef>
              <c:f>'Repayment review'!$G$28:$G$33</c:f>
              <c:numCache>
                <c:formatCode>#,##0,,</c:formatCode>
                <c:ptCount val="0"/>
              </c:numCache>
            </c:numRef>
          </c:val>
        </c:ser>
        <c:axId val="48650112"/>
        <c:axId val="48672768"/>
      </c:barChart>
      <c:catAx>
        <c:axId val="48650112"/>
        <c:scaling>
          <c:orientation val="minMax"/>
        </c:scaling>
        <c:delete val="0"/>
        <c:axPos val="b"/>
        <c:numFmt formatCode="General"/>
        <c:majorTickMark val="none"/>
        <c:minorTickMark val="none"/>
        <c:tickLblPos val="low"/>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USD millions (negative = cash used)</a:t>
                </a:r>
              </a:p>
            </c:rich>
          </c:tx>
          <c:overlay val="0"/>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xdr:row>
      <xdr:rowOff>0</xdr:rowOff>
    </xdr:from>
    <xdr:to>
      <xdr:col>15</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cfae7a6dcce464b"/>
        </a:graphicData>
      </a:graphic>
    </xdr:graphicFrame>
    <xdr:clientData/>
  </xdr:twoCellAnchor>
  <xdr:twoCellAnchor>
    <xdr:from>
      <xdr:col>5</xdr:col>
      <xdr:colOff>0</xdr:colOff>
      <xdr:row>22</xdr:row>
      <xdr:rowOff>0</xdr:rowOff>
    </xdr:from>
    <xdr:to>
      <xdr:col>15</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30913a246744b55"/>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5</xdr:row>
      <xdr:rowOff>0</xdr:rowOff>
    </xdr:from>
    <xdr:to>
      <xdr:col>16</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b2c78017318491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a3cb24b69ae24fc0" /></Relationships>
</file>

<file path=xl/worksheets/_rels/sheet6.xml.rels>&#65279;<?xml version="1.0" encoding="utf-8"?><Relationships xmlns="http://schemas.openxmlformats.org/package/2006/relationships"><Relationship Type="http://schemas.openxmlformats.org/officeDocument/2006/relationships/drawing" Target="/xl/drawings/drawing2.xml" Id="Rf804cb9b07954525" /></Relationships>
</file>

<file path=xl/worksheets/_rels/sheet7.xml.rels><?xml version='1.0' encoding='utf-8'?>
<ns0:Relationships xmlns:ns0="http://schemas.openxmlformats.org/package/2006/relationships"><ns0:Relationship Id="rIdSource1" Type="http://schemas.openxmlformats.org/officeDocument/2006/relationships/hyperlink" Target="https://www.sec.gov/Archives/edgar/data/59478/000005947826000081/lly-20260630.htm" TargetMode="External" /><ns0:Relationship Id="rIdSource2" Type="http://schemas.openxmlformats.org/officeDocument/2006/relationships/hyperlink" Target="https://www.sec.gov/Archives/edgar/data/59478/000005947826000081/lly-20260630.htm" TargetMode="External" /><ns0:Relationship Id="rIdSource3" Type="http://schemas.openxmlformats.org/officeDocument/2006/relationships/hyperlink" Target="https://www.sec.gov/Archives/edgar/data/59478/000005947826000081/lly-20260630.htm" TargetMode="External" /><ns0:Relationship Id="rIdSource4" Type="http://schemas.openxmlformats.org/officeDocument/2006/relationships/hyperlink" Target="https://www.sec.gov/Archives/edgar/data/59478/000005947826000081/lly-20260630.htm" TargetMode="External" /><ns0:Relationship Id="rIdSource5" Type="http://schemas.openxmlformats.org/officeDocument/2006/relationships/hyperlink" Target="https://www.sec.gov/Archives/edgar/data/59478/000005947826000081/lly-20260630.htm" TargetMode="External" /><ns0:Relationship Id="rIdSource6" Type="http://schemas.openxmlformats.org/officeDocument/2006/relationships/hyperlink" Target="https://www.sec.gov/Archives/edgar/data/59478/000005947826000013/lly-20251231.htm" TargetMode="External" /><ns0:Relationship Id="rIdSource7" Type="http://schemas.openxmlformats.org/officeDocument/2006/relationships/hyperlink" Target="https://www.sec.gov/Archives/edgar/data/59478/000005947826000081/lly-20260630.htm" TargetMode="External" /><ns0:Relationship Id="rIdSource8" Type="http://schemas.openxmlformats.org/officeDocument/2006/relationships/hyperlink" Target="https://www.sec.gov/Archives/edgar/data/59478/000005947826000081/lly-20260630.htm" TargetMode="External" /><ns0:Relationship Id="rIdSource9" Type="http://schemas.openxmlformats.org/officeDocument/2006/relationships/hyperlink" Target="https://www.sec.gov/Archives/edgar/data/59478/000005947826000013/lly-20251231.htm" TargetMode="External" /><ns0:Relationship Id="rIdSource10" Type="http://schemas.openxmlformats.org/officeDocument/2006/relationships/hyperlink" Target="https://www.sec.gov/Archives/edgar/data/59478/000005947826000081/lly-20260630.htm" TargetMode="External" /><ns0:Relationship Id="rIdSource11" Type="http://schemas.openxmlformats.org/officeDocument/2006/relationships/hyperlink" Target="https://www.sec.gov/Archives/edgar/data/59478/000005947826000081/lly-20260630.htm" TargetMode="External" /><ns0:Relationship Id="rIdSource12" Type="http://schemas.openxmlformats.org/officeDocument/2006/relationships/hyperlink" Target="https://www.sec.gov/Archives/edgar/data/59478/000005947826000081/lly-20260630.htm" TargetMode="External" /><ns0:Relationship Id="rIdSource13" Type="http://schemas.openxmlformats.org/officeDocument/2006/relationships/hyperlink" Target="https://www.sec.gov/Archives/edgar/data/59478/000005947826000081/lly-20260630.htm" TargetMode="External" /><ns0:Relationship Id="rIdSource14" Type="http://schemas.openxmlformats.org/officeDocument/2006/relationships/hyperlink" Target="https://www.sec.gov/Archives/edgar/data/59478/000005947826000081/lly-20260630.htm" TargetMode="External" /><ns0:Relationship Id="rIdSource15" Type="http://schemas.openxmlformats.org/officeDocument/2006/relationships/hyperlink" Target="https://www.sec.gov/Archives/edgar/data/59478/000005947826000081/lly-20260630.htm" TargetMode="External" /><ns0:Relationship Id="rIdSource16" Type="http://schemas.openxmlformats.org/officeDocument/2006/relationships/hyperlink" Target="https://www.sec.gov/Archives/edgar/data/59478/000005947826000081/lly-20260630.htm" TargetMode="External" /><ns0:Relationship Id="rIdSource17" Type="http://schemas.openxmlformats.org/officeDocument/2006/relationships/hyperlink" Target="https://www.sec.gov/Archives/edgar/data/59478/000005947826000081/lly-20260630.htm" TargetMode="External" /><ns0:Relationship Id="rIdSource18" Type="http://schemas.openxmlformats.org/officeDocument/2006/relationships/hyperlink" Target="https://www.sec.gov/Archives/edgar/data/59478/000005947826000081/lly-20260630.htm" TargetMode="External" /><ns0:Relationship Id="rIdSource19" Type="http://schemas.openxmlformats.org/officeDocument/2006/relationships/hyperlink" Target="https://www.sec.gov/Archives/edgar/data/59478/000005947826000081/lly-20260630.htm" TargetMode="External" /><ns0:Relationship Id="rIdSource20" Type="http://schemas.openxmlformats.org/officeDocument/2006/relationships/hyperlink" Target="https://www.sec.gov/Archives/edgar/data/59478/000005947826000081/lly-20260630.htm" TargetMode="External" /><ns0:Relationship Id="rIdSource21" Type="http://schemas.openxmlformats.org/officeDocument/2006/relationships/hyperlink" Target="https://www.sec.gov/Archives/edgar/data/59478/000005947826000081/lly-20260630.htm" TargetMode="External" /><ns0:Relationship Id="rIdSource22" Type="http://schemas.openxmlformats.org/officeDocument/2006/relationships/hyperlink" Target="https://www.sec.gov/Archives/edgar/data/59478/000005947826000081/lly-20260630.htm" TargetMode="External" /><ns0:Relationship Id="rIdSource23" Type="http://schemas.openxmlformats.org/officeDocument/2006/relationships/hyperlink" Target="https://www.sec.gov/Archives/edgar/data/59478/000005947826000081/lly-20260630.htm" TargetMode="External" /><ns0:Relationship Id="rIdSource24" Type="http://schemas.openxmlformats.org/officeDocument/2006/relationships/hyperlink" Target="https://www.sec.gov/Archives/edgar/data/59478/000005947826000081/lly-20260630.htm" TargetMode="External" /><ns0:Relationship Id="rIdSource25" Type="http://schemas.openxmlformats.org/officeDocument/2006/relationships/hyperlink" Target="https://www.sec.gov/Archives/edgar/data/59478/000005947826000081/lly-20260630.htm" TargetMode="External" /><ns0:Relationship Id="rIdSource26" Type="http://schemas.openxmlformats.org/officeDocument/2006/relationships/hyperlink" Target="https://www.sec.gov/Archives/edgar/data/59478/000005947826000081/lly-20260630.htm" TargetMode="External" /><ns0:Relationship Id="rIdSource27" Type="http://schemas.openxmlformats.org/officeDocument/2006/relationships/hyperlink" Target="https://www.sec.gov/Archives/edgar/data/59478/000005947826000081/lly-20260630.htm" TargetMode="External" /><ns0:Relationship Id="rIdSource28" Type="http://schemas.openxmlformats.org/officeDocument/2006/relationships/hyperlink" Target="https://www.sec.gov/Archives/edgar/data/59478/000005947826000081/lly-20260630.htm" TargetMode="External" /><ns0:Relationship Id="rIdSource29" Type="http://schemas.openxmlformats.org/officeDocument/2006/relationships/hyperlink" Target="https://www.sec.gov/Archives/edgar/data/59478/000005947826000081/lly-20260630.htm" TargetMode="External" /><ns0:Relationship Id="rIdSource30" Type="http://schemas.openxmlformats.org/officeDocument/2006/relationships/hyperlink" Target="https://www.sec.gov/Archives/edgar/data/59478/000005947826000081/lly-20260630.htm" TargetMode="External" /><ns0:Relationship Id="rIdSource31" Type="http://schemas.openxmlformats.org/officeDocument/2006/relationships/hyperlink" Target="https://www.sec.gov/Archives/edgar/data/59478/000005947826000081/lly-20260630.htm" TargetMode="External" /><ns0:Relationship Id="rIdSource32" Type="http://schemas.openxmlformats.org/officeDocument/2006/relationships/hyperlink" Target="https://www.sec.gov/Archives/edgar/data/59478/000005947826000081/lly-20260630.htm" TargetMode="External" /><ns0:Relationship Id="rIdSource33" Type="http://schemas.openxmlformats.org/officeDocument/2006/relationships/hyperlink" Target="https://www.sec.gov/Archives/edgar/data/59478/000005947826000081/lly-20260630.htm" TargetMode="External" /><ns0:Relationship Id="rIdSource34" Type="http://schemas.openxmlformats.org/officeDocument/2006/relationships/hyperlink" Target="https://www.sec.gov/Archives/edgar/data/59478/000005947826000081/lly-20260630.htm" TargetMode="External" /><ns0:Relationship Id="rIdSource35" Type="http://schemas.openxmlformats.org/officeDocument/2006/relationships/hyperlink" Target="https://www.sec.gov/Archives/edgar/data/59478/000005947826000081/lly-20260630.htm" TargetMode="External" /><ns0:Relationship Id="rIdSource36" Type="http://schemas.openxmlformats.org/officeDocument/2006/relationships/hyperlink" Target="https://www.sec.gov/Archives/edgar/data/59478/000005947826000013/lly-20251231.htm" TargetMode="External" /><ns0:Relationship Id="rIdSource37" Type="http://schemas.openxmlformats.org/officeDocument/2006/relationships/hyperlink" Target="https://www.sec.gov/Archives/edgar/data/59478/000005947826000013/lly-20251231.htm" TargetMode="External" /><ns0:Relationship Id="rIdSource38" Type="http://schemas.openxmlformats.org/officeDocument/2006/relationships/hyperlink" Target="https://www.sec.gov/Archives/edgar/data/59478/000005947826000013/lly-20251231.htm" TargetMode="External" /><ns0:Relationship Id="rIdSource39" Type="http://schemas.openxmlformats.org/officeDocument/2006/relationships/hyperlink" Target="https://www.sec.gov/Archives/edgar/data/59478/000005947826000013/lly-20251231.htm" TargetMode="External" /><ns0:Relationship Id="rIdSource40" Type="http://schemas.openxmlformats.org/officeDocument/2006/relationships/hyperlink" Target="https://www.sec.gov/Archives/edgar/data/59478/000005947826000013/lly-20251231.htm" TargetMode="External" /><ns0:Relationship Id="rIdSource41" Type="http://schemas.openxmlformats.org/officeDocument/2006/relationships/hyperlink" Target="https://www.sec.gov/Archives/edgar/data/59478/000005947826000013/lly-20251231.htm" TargetMode="External" /><ns0:Relationship Id="rIdSource42" Type="http://schemas.openxmlformats.org/officeDocument/2006/relationships/hyperlink" Target="https://www.sec.gov/Archives/edgar/data/59478/000005947826000013/lly-20251231.htm" TargetMode="External" /><ns0:Relationship Id="rIdSource43" Type="http://schemas.openxmlformats.org/officeDocument/2006/relationships/hyperlink" Target="https://www.sec.gov/Archives/edgar/data/59478/000005947826000013/lly-20251231.htm" TargetMode="External" /><ns0:Relationship Id="rIdSource44" Type="http://schemas.openxmlformats.org/officeDocument/2006/relationships/hyperlink" Target="https://www.sec.gov/Archives/edgar/data/59478/000005947826000013/lly-20251231.htm" TargetMode="External" /><ns0:Relationship Id="rIdSource45" Type="http://schemas.openxmlformats.org/officeDocument/2006/relationships/hyperlink" Target="https://www.sec.gov/Archives/edgar/data/59478/000005947826000013/lly-20251231.htm" TargetMode="External" /><ns0:Relationship Id="rIdSource46" Type="http://schemas.openxmlformats.org/officeDocument/2006/relationships/hyperlink" Target="https://www.sec.gov/Archives/edgar/data/59478/000005947826000013/lly-20251231.htm" TargetMode="External" /><ns0:Relationship Id="rIdSource47" Type="http://schemas.openxmlformats.org/officeDocument/2006/relationships/hyperlink" Target="https://www.sec.gov/Archives/edgar/data/59478/000005947826000013/lly-20251231.htm" TargetMode="External" /><ns0:Relationship Id="rIdSource48" Type="http://schemas.openxmlformats.org/officeDocument/2006/relationships/hyperlink" Target="https://www.sec.gov/Archives/edgar/data/59478/000005947826000013/lly-20251231.htm" TargetMode="External" /><ns0:Relationship Id="rIdSource49" Type="http://schemas.openxmlformats.org/officeDocument/2006/relationships/hyperlink" Target="https://www.sec.gov/Archives/edgar/data/59478/000005947826000013/lly-20251231.htm" TargetMode="External" /><ns0:Relationship Id="rIdSource50" Type="http://schemas.openxmlformats.org/officeDocument/2006/relationships/hyperlink" Target="https://www.sec.gov/Archives/edgar/data/59478/000005947826000013/lly-20251231.htm" TargetMode="External" /><ns0:Relationship Id="rIdSource51" Type="http://schemas.openxmlformats.org/officeDocument/2006/relationships/hyperlink" Target="https://www.sec.gov/Archives/edgar/data/59478/000005947826000081/lly-20260630.htm" TargetMode="External" /><ns0:Relationship Id="rIdSource52" Type="http://schemas.openxmlformats.org/officeDocument/2006/relationships/hyperlink" Target="https://www.sec.gov/Archives/edgar/data/59478/000005947826000081/lly-20260630.htm" TargetMode="External" /><ns0:Relationship Id="rIdSource53" Type="http://schemas.openxmlformats.org/officeDocument/2006/relationships/hyperlink" Target="https://www.sec.gov/Archives/edgar/data/59478/000005947826000081/lly-20260630.htm" TargetMode="External" /><ns0:Relationship Id="rIdSource54" Type="http://schemas.openxmlformats.org/officeDocument/2006/relationships/hyperlink" Target="https://www.sec.gov/Archives/edgar/data/59478/000005947826000081/lly-20260630.htm" TargetMode="External" /><ns0:Relationship Id="rIdSource55" Type="http://schemas.openxmlformats.org/officeDocument/2006/relationships/hyperlink" Target="https://www.sec.gov/Archives/edgar/data/59478/000005947826000081/lly-20260630.htm" TargetMode="External" /><ns0:Relationship Id="rIdSource56" Type="http://schemas.openxmlformats.org/officeDocument/2006/relationships/hyperlink" Target="https://www.sec.gov/Archives/edgar/data/59478/000005947826000081/lly-20260630.htm" TargetMode="External" /><ns0:Relationship Id="rIdSource57" Type="http://schemas.openxmlformats.org/officeDocument/2006/relationships/hyperlink" Target="https://www.sec.gov/Archives/edgar/data/59478/000005947826000081/lly-20260630.htm" TargetMode="External" /><ns0:Relationship Id="rIdSource58" Type="http://schemas.openxmlformats.org/officeDocument/2006/relationships/hyperlink" Target="https://www.sec.gov/Archives/edgar/data/59478/000005947826000081/lly-20260630.htm" TargetMode="External" /><ns0:Relationship Id="rIdSource59" Type="http://schemas.openxmlformats.org/officeDocument/2006/relationships/hyperlink" Target="https://www.sec.gov/Archives/edgar/data/59478/000005947826000013/lly-20251231.htm" TargetMode="External" /><ns0:Relationship Id="rIdSource60" Type="http://schemas.openxmlformats.org/officeDocument/2006/relationships/hyperlink" Target="https://www.sec.gov/Archives/edgar/data/59478/000005947826000077/q226lillysalesandearningsp.htm" TargetMode="External" /><ns0:Relationship Id="rIdSource61" Type="http://schemas.openxmlformats.org/officeDocument/2006/relationships/hyperlink" Target="https://www.sec.gov/Archives/edgar/data/59478/000005947826000013/lly-20251231.htm" TargetMode="External" /><ns0:Relationship Id="rIdSource62" Type="http://schemas.openxmlformats.org/officeDocument/2006/relationships/hyperlink" Target="https://www.sec.gov/Archives/edgar/data/59478/000005947826000013/lly-20251231.htm" TargetMode="External" /><ns0:Relationship Id="rIdSource63" Type="http://schemas.openxmlformats.org/officeDocument/2006/relationships/hyperlink" Target="https://www.sec.gov/Archives/edgar/data/59478/000005947826000013/lly-20251231.htm" TargetMode="External" /><ns0:Relationship Id="rIdSource64" Type="http://schemas.openxmlformats.org/officeDocument/2006/relationships/hyperlink" Target="https://www.sec.gov/Archives/edgar/data/59478/000005947826000013/lly-20251231.htm" TargetMode="External" /><ns0:Relationship Id="rIdSource65" Type="http://schemas.openxmlformats.org/officeDocument/2006/relationships/hyperlink" Target="https://www.sec.gov/Archives/edgar/data/59478/000005947826000013/lly-20251231.htm" TargetMode="External" /><ns0:Relationship Id="rIdSource66" Type="http://schemas.openxmlformats.org/officeDocument/2006/relationships/hyperlink" Target="https://www.sec.gov/Archives/edgar/data/59478/000005947826000013/lly-20251231.htm" TargetMode="External" /><ns0:Relationship Id="rIdSource67" Type="http://schemas.openxmlformats.org/officeDocument/2006/relationships/hyperlink" Target="https://www.sec.gov/Archives/edgar/data/59478/000005947826000013/lly-20251231.htm" TargetMode="External" /><ns0:Relationship Id="rIdSource68" Type="http://schemas.openxmlformats.org/officeDocument/2006/relationships/hyperlink" Target="https://www.sec.gov/Archives/edgar/data/59478/000005947826000013/lly-20251231.htm" TargetMode="External" /><ns0:Relationship Id="rIdSource69" Type="http://schemas.openxmlformats.org/officeDocument/2006/relationships/hyperlink" Target="https://www.sec.gov/Archives/edgar/data/59478/000005947826000013/lly-20251231.htm" TargetMode="External" /><ns0:Relationship Id="rIdSource70" Type="http://schemas.openxmlformats.org/officeDocument/2006/relationships/hyperlink" Target="https://www.sec.gov/Archives/edgar/data/59478/000005947826000081/lly-20260630.htm" TargetMode="External" /><ns0:Relationship Id="rIdSource71" Type="http://schemas.openxmlformats.org/officeDocument/2006/relationships/hyperlink" Target="https://www.sec.gov/Archives/edgar/data/59478/000005947826000081/lly-20260630.htm" TargetMode="External" /><ns0:Relationship Id="rIdSource72" Type="http://schemas.openxmlformats.org/officeDocument/2006/relationships/hyperlink" Target="https://www.sec.gov/Archives/edgar/data/59478/000005947826000081/lly-20260630.htm" TargetMode="External" /><ns0:Relationship Id="rIdSource73" Type="http://schemas.openxmlformats.org/officeDocument/2006/relationships/hyperlink" Target="https://www.sec.gov/Archives/edgar/data/59478/000005947826000081/lly-20260630.htm" TargetMode="External" /><ns0:Relationship Id="rIdSource74" Type="http://schemas.openxmlformats.org/officeDocument/2006/relationships/hyperlink" Target="https://www.sec.gov/Archives/edgar/data/59478/000005947826000081/lly-20260630.htm" TargetMode="External" /><ns0:Relationship Id="rIdSource75" Type="http://schemas.openxmlformats.org/officeDocument/2006/relationships/hyperlink" Target="https://www.sec.gov/Archives/edgar/data/59478/000005947826000081/lly-20260630.htm" TargetMode="External" /><ns0:Relationship Id="rIdSource76" Type="http://schemas.openxmlformats.org/officeDocument/2006/relationships/hyperlink" Target="https://www.sec.gov/Archives/edgar/data/59478/000005947826000081/lly-20260630.htm" TargetMode="External" /><ns0:Relationship Id="rIdSource77" Type="http://schemas.openxmlformats.org/officeDocument/2006/relationships/hyperlink" Target="https://www.sec.gov/Archives/edgar/data/59478/000005947826000081/lly-20260630.htm" TargetMode="External" /><ns0:Relationship Id="rIdSource78" Type="http://schemas.openxmlformats.org/officeDocument/2006/relationships/hyperlink" Target="https://www.sec.gov/Archives/edgar/data/59478/000005947826000081/lly-20260630.htm" TargetMode="External" /><ns0:Relationship Id="rIdSource79" Type="http://schemas.openxmlformats.org/officeDocument/2006/relationships/hyperlink" Target="https://www.sec.gov/Archives/edgar/data/59478/000005947826000081/lly-20260630.htm" TargetMode="External" /><ns0:Relationship Id="rIdSource80" Type="http://schemas.openxmlformats.org/officeDocument/2006/relationships/hyperlink" Target="https://www.sec.gov/Archives/edgar/data/59478/000005947826000081/lly-20260630.htm" TargetMode="External" /><ns0:Relationship Id="rIdSource81" Type="http://schemas.openxmlformats.org/officeDocument/2006/relationships/hyperlink" Target="https://www.sec.gov/Archives/edgar/data/59478/000005947826000081/lly-20260630.htm" TargetMode="External" /><ns0:Relationship Id="rIdSource82" Type="http://schemas.openxmlformats.org/officeDocument/2006/relationships/hyperlink" Target="https://www.sec.gov/Archives/edgar/data/59478/000005947826000081/lly-20260630.htm" TargetMode="External" /><ns0:Relationship Id="rIdSource83" Type="http://schemas.openxmlformats.org/officeDocument/2006/relationships/hyperlink" Target="https://www.sec.gov/Archives/edgar/data/59478/000005947826000081/lly-20260630.htm" TargetMode="External" /><ns0:Relationship Id="rIdSource84" Type="http://schemas.openxmlformats.org/officeDocument/2006/relationships/hyperlink" Target="https://www.sec.gov/Archives/edgar/data/59478/000005947826000081/lly-20260630.htm" TargetMode="External" /><ns0:Relationship Id="rIdSource85" Type="http://schemas.openxmlformats.org/officeDocument/2006/relationships/hyperlink" Target="https://www.sec.gov/Archives/edgar/data/59478/000005947826000081/lly-20260630.htm" TargetMode="External" /><ns0:Relationship Id="rIdSource86" Type="http://schemas.openxmlformats.org/officeDocument/2006/relationships/hyperlink" Target="https://www.sec.gov/Archives/edgar/data/59478/000005947826000081/lly-20260630.htm" TargetMode="External" /><ns0:Relationship Id="rIdSource87" Type="http://schemas.openxmlformats.org/officeDocument/2006/relationships/hyperlink" Target="https://www.sec.gov/Archives/edgar/data/59478/000005947826000081/lly-20260630.htm" TargetMode="External" /><ns0:Relationship Id="rIdSource88" Type="http://schemas.openxmlformats.org/officeDocument/2006/relationships/hyperlink" Target="https://www.sec.gov/Archives/edgar/data/59478/000119312526232707/d148580dex44.htm" TargetMode="External" /><ns0:Relationship Id="rIdSource89" Type="http://schemas.openxmlformats.org/officeDocument/2006/relationships/hyperlink" Target="https://www.sec.gov/Archives/edgar/data/59478/000119312526232707/d148580dex44.htm" TargetMode="External" /><ns0:Relationship Id="rIdSource90" Type="http://schemas.openxmlformats.org/officeDocument/2006/relationships/hyperlink" Target="https://www.sec.gov/Archives/edgar/data/59478/000119312526232707/d148580dex43.htm" TargetMode="External" /><ns0:Relationship Id="rIdSource91" Type="http://schemas.openxmlformats.org/officeDocument/2006/relationships/hyperlink" Target="https://www.sec.gov/Archives/edgar/data/59478/000119312526232707/d148580dex43.htm" TargetMode="External" /><ns0:Relationship Id="rIdSource92" Type="http://schemas.openxmlformats.org/officeDocument/2006/relationships/hyperlink" Target="https://www.sec.gov/Archives/edgar/data/59478/000119312526232707/d148580dex43.htm" TargetMode="External" /><ns0:Relationship Id="rIdSource93" Type="http://schemas.openxmlformats.org/officeDocument/2006/relationships/hyperlink" Target="https://www.sec.gov/Archives/edgar/data/59478/000119312526232707/d148580dex43.htm" TargetMode="External" /><ns0:Relationship Id="rIdSource94" Type="http://schemas.openxmlformats.org/officeDocument/2006/relationships/hyperlink" Target="https://www.sec.gov/Archives/edgar/data/59478/000119312526232707/d148580dex43.htm" TargetMode="External" /><ns0:Relationship Id="rIdSource95" Type="http://schemas.openxmlformats.org/officeDocument/2006/relationships/hyperlink" Target="https://www.sec.gov/Archives/edgar/data/59478/000119312526232707/d148580dex43.htm" TargetMode="External" /><ns0:Relationship Id="rIdSource96" Type="http://schemas.openxmlformats.org/officeDocument/2006/relationships/hyperlink" Target="https://www.sec.gov/Archives/edgar/data/59478/000119312526232707/d148580d8k.htm" TargetMode="External" /><ns0:Relationship Id="rIdSource97" Type="http://schemas.openxmlformats.org/officeDocument/2006/relationships/hyperlink" Target="https://www.sec.gov/Archives/edgar/data/59478/000005947826000081/lly-20260630.htm" TargetMode="External" /><ns0:Relationship Id="rIdSource98" Type="http://schemas.openxmlformats.org/officeDocument/2006/relationships/hyperlink" Target="https://www.sec.gov/Archives/edgar/data/59478/000005947826000081/lly-20260630.htm" TargetMode="External" /><ns0:Relationship Id="rIdSource99" Type="http://schemas.openxmlformats.org/officeDocument/2006/relationships/hyperlink" Target="https://www.sec.gov/Archives/edgar/data/59478/000005947826000013/lly-20251231.htm" TargetMode="External" /><ns0:Relationship Id="rIdSource100" Type="http://schemas.openxmlformats.org/officeDocument/2006/relationships/hyperlink" Target="https://www.sec.gov/Archives/edgar/data/59478/000005947826000081/lly-20260630.htm" TargetMode="External" /><ns0:Relationship Id="rIdSource101" Type="http://schemas.openxmlformats.org/officeDocument/2006/relationships/hyperlink" Target="https://www.sec.gov/Archives/edgar/data/59478/000005947826000077/q226lillysalesandearningsp.htm" TargetMode="External" /><ns0:Relationship Id="rIdSource102" Type="http://schemas.openxmlformats.org/officeDocument/2006/relationships/hyperlink" Target="https://www.sec.gov/Archives/edgar/data/59478/000005947826000081/lly-20260630.htm" TargetMode="External" /><ns0:Relationship Id="rIdSource103" Type="http://schemas.openxmlformats.org/officeDocument/2006/relationships/hyperlink" Target="https://www.sec.gov/Archives/edgar/data/59478/000005947826000013/lly-20251231.htm" TargetMode="External" /><ns0:Relationship Id="rIdSource104" Type="http://schemas.openxmlformats.org/officeDocument/2006/relationships/hyperlink" Target="https://www.sec.gov/Archives/edgar/data/59478/000005947826000077/q226lillysalesandearningsp.htm" TargetMode="External" /><ns0:Relationship Id="rIdSource105" Type="http://schemas.openxmlformats.org/officeDocument/2006/relationships/hyperlink" Target="https://www.sec.gov/Archives/edgar/data/59478/000005947826000081/lly-20260630.htm" TargetMode="External" /><ns0:Relationship Id="rIdSource106" Type="http://schemas.openxmlformats.org/officeDocument/2006/relationships/hyperlink" Target="https://www.sec.gov/Archives/edgar/data/59478/000005947826000013/lly-20251231.htm" TargetMode="External" /><ns0:Relationship Id="rIdSource107" Type="http://schemas.openxmlformats.org/officeDocument/2006/relationships/hyperlink" Target="https://www.sec.gov/Archives/edgar/data/59478/000005947826000081/lly-20260630.htm" TargetMode="External" /><ns0:Relationship Id="rIdSource108" Type="http://schemas.openxmlformats.org/officeDocument/2006/relationships/hyperlink" Target="https://www.sec.gov/Archives/edgar/data/59478/000005947826000081/lly-20260630.htm" TargetMode="External" /><ns0:Relationship Id="rIdSource109" Type="http://schemas.openxmlformats.org/officeDocument/2006/relationships/hyperlink" Target="https://www.sec.gov/Archives/edgar/data/59478/000005947826000081/lly-20260630.htm" TargetMode="External" /><ns0:Relationship Id="rIdSource110" Type="http://schemas.openxmlformats.org/officeDocument/2006/relationships/hyperlink" Target="https://www.sec.gov/Archives/edgar/data/59478/000005947826000013/lly-20251231.htm" TargetMode="External" /><ns0:Relationship Id="rIdSource111" Type="http://schemas.openxmlformats.org/officeDocument/2006/relationships/hyperlink" Target="https://www.sec.gov/Archives/edgar/data/59478/000005947826000013/lly-20251231.htm" TargetMode="External" /><ns0:Relationship Id="rIdSource112" Type="http://schemas.openxmlformats.org/officeDocument/2006/relationships/hyperlink" Target="https://www.sec.gov/Archives/edgar/data/59478/000005947826000081/lly-20260630.htm" TargetMode="External" /><ns0:Relationship Id="rIdSource113" Type="http://schemas.openxmlformats.org/officeDocument/2006/relationships/hyperlink" Target="https://www.sec.gov/Archives/edgar/data/59478/000005947826000081/lly-20260630.htm" TargetMode="External" /><ns0:Relationship Id="rIdSource114" Type="http://schemas.openxmlformats.org/officeDocument/2006/relationships/hyperlink" Target="https://www.sec.gov/Archives/edgar/data/59478/000005947826000013/lly-20251231.htm" TargetMode="External" /><ns0:Relationship Id="rIdSource115" Type="http://schemas.openxmlformats.org/officeDocument/2006/relationships/hyperlink" Target="https://www.sec.gov/Archives/edgar/data/59478/000005947826000013/lly-20251231.htm" TargetMode="External" /><ns0:Relationship Id="rIdSource116" Type="http://schemas.openxmlformats.org/officeDocument/2006/relationships/hyperlink" Target="https://www.sec.gov/Archives/edgar/data/59478/000005947826000013/lly-20251231.htm" TargetMode="External" /><ns0:Relationship Id="rIdSource117" Type="http://schemas.openxmlformats.org/officeDocument/2006/relationships/hyperlink" Target="https://www.sec.gov/Archives/edgar/data/59478/000005947826000013/lly-20251231.htm" TargetMode="External" /><ns0:Relationship Id="rIdSource118" Type="http://schemas.openxmlformats.org/officeDocument/2006/relationships/hyperlink" Target="https://www.sec.gov/Archives/edgar/data/59478/000005947826000013/lly-20251231.htm" TargetMode="External" /><ns0:Relationship Id="rIdSource119" Type="http://schemas.openxmlformats.org/officeDocument/2006/relationships/hyperlink" Target="https://www.sec.gov/Archives/edgar/data/59478/000005947826000013/lly-20251231.htm" TargetMode="External" /><ns0:Relationship Id="rIdSource120" Type="http://schemas.openxmlformats.org/officeDocument/2006/relationships/hyperlink" Target="https://www.sec.gov/Archives/edgar/data/59478/000005947826000013/lly-20251231.htm" TargetMode="External" /><ns0:Relationship Id="rIdAnnualSource121" Type="http://schemas.openxmlformats.org/officeDocument/2006/relationships/hyperlink" Target="https://www.sec.gov/Archives/edgar/data/59478/000005947822000068/lly-20211231.htm" TargetMode="External" /><ns0:Relationship Id="rIdAnnualSource122" Type="http://schemas.openxmlformats.org/officeDocument/2006/relationships/hyperlink" Target="https://www.sec.gov/Archives/edgar/data/59478/000005947822000068/lly-20211231.htm" TargetMode="External" /><ns0:Relationship Id="rIdAnnualSource123" Type="http://schemas.openxmlformats.org/officeDocument/2006/relationships/hyperlink" Target="https://www.sec.gov/Archives/edgar/data/59478/000005947822000068/lly-20211231.htm" TargetMode="External" /><ns0:Relationship Id="rIdAnnualSource124" Type="http://schemas.openxmlformats.org/officeDocument/2006/relationships/hyperlink" Target="https://www.sec.gov/Archives/edgar/data/59478/000005947824000065/lly-20231231.htm" TargetMode="External" /><ns0:Relationship Id="rIdAnnualSource125" Type="http://schemas.openxmlformats.org/officeDocument/2006/relationships/hyperlink" Target="https://www.sec.gov/Archives/edgar/data/59478/000005947824000065/lly-20231231.htm" TargetMode="External" /><ns0:Relationship Id="rIdAnnualSource126" Type="http://schemas.openxmlformats.org/officeDocument/2006/relationships/hyperlink" Target="https://www.sec.gov/Archives/edgar/data/59478/000005947823000082/lly-20221231.htm" TargetMode="External" /><ns0:Relationship Id="rIdAnnualSource127" Type="http://schemas.openxmlformats.org/officeDocument/2006/relationships/hyperlink" Target="https://www.sec.gov/Archives/edgar/data/59478/000005947823000082/lly-20221231.htm" TargetMode="External" /><ns0:Relationship Id="rIdAnnualSource128" Type="http://schemas.openxmlformats.org/officeDocument/2006/relationships/hyperlink" Target="https://www.sec.gov/Archives/edgar/data/59478/000005947823000082/lly-20221231.htm" TargetMode="External" /><ns0:Relationship Id="rIdAnnualSource129" Type="http://schemas.openxmlformats.org/officeDocument/2006/relationships/hyperlink" Target="https://www.sec.gov/Archives/edgar/data/59478/000005947824000065/lly-20231231.htm" TargetMode="External" /><ns0:Relationship Id="rIdAnnualSource130" Type="http://schemas.openxmlformats.org/officeDocument/2006/relationships/hyperlink" Target="https://www.sec.gov/Archives/edgar/data/59478/000005947824000065/lly-20231231.htm" TargetMode="External" /><ns0:Relationship Id="rIdAnnualSource131" Type="http://schemas.openxmlformats.org/officeDocument/2006/relationships/hyperlink" Target="https://www.sec.gov/Archives/edgar/data/59478/000005947824000065/lly-20231231.htm" TargetMode="External" /><ns0:Relationship Id="rIdAnnualSource132" Type="http://schemas.openxmlformats.org/officeDocument/2006/relationships/hyperlink" Target="https://www.sec.gov/Archives/edgar/data/59478/000005947824000065/lly-20231231.htm" TargetMode="External" /><ns0:Relationship Id="rIdAnnualSource133" Type="http://schemas.openxmlformats.org/officeDocument/2006/relationships/hyperlink" Target="https://www.sec.gov/Archives/edgar/data/59478/000005947824000065/lly-20231231.htm" TargetMode="External" /><ns0:Relationship Id="rIdAnnualSource134" Type="http://schemas.openxmlformats.org/officeDocument/2006/relationships/hyperlink" Target="https://www.sec.gov/Archives/edgar/data/59478/000005947824000065/lly-20231231.htm" TargetMode="External" /><ns0:Relationship Id="rIdAnnualSource135" Type="http://schemas.openxmlformats.org/officeDocument/2006/relationships/hyperlink" Target="https://www.sec.gov/Archives/edgar/data/59478/000005947824000065/lly-20231231.htm" TargetMode="External" /><ns0:Relationship Id="rIdAnnualSource136" Type="http://schemas.openxmlformats.org/officeDocument/2006/relationships/hyperlink" Target="https://www.sec.gov/Archives/edgar/data/59478/000005947825000067/lly-20241231.htm" TargetMode="External" /><ns0:Relationship Id="rIdAnnualSource137" Type="http://schemas.openxmlformats.org/officeDocument/2006/relationships/hyperlink" Target="https://www.sec.gov/Archives/edgar/data/59478/000005947825000067/lly-20241231.htm" TargetMode="External" /><ns0:Relationship Id="rIdAnnualSource138" Type="http://schemas.openxmlformats.org/officeDocument/2006/relationships/hyperlink" Target="https://www.sec.gov/Archives/edgar/data/59478/000005947825000067/lly-20241231.htm" TargetMode="External" /><ns0:Relationship Id="rIdAnnualSource139" Type="http://schemas.openxmlformats.org/officeDocument/2006/relationships/hyperlink" Target="https://www.sec.gov/Archives/edgar/data/59478/000005947825000067/lly-20241231.htm" TargetMode="External" /><ns0:Relationship Id="rIdAnnualSource140" Type="http://schemas.openxmlformats.org/officeDocument/2006/relationships/hyperlink" Target="https://www.sec.gov/Archives/edgar/data/59478/000005947825000067/lly-20241231.htm" TargetMode="External" /><ns0:Relationship Id="rIdAnnualSource141" Type="http://schemas.openxmlformats.org/officeDocument/2006/relationships/hyperlink" Target="https://www.sec.gov/Archives/edgar/data/59478/000005947826000013/lly-20251231.htm" TargetMode="External" /><ns0:Relationship Id="rIdAnnualSource142" Type="http://schemas.openxmlformats.org/officeDocument/2006/relationships/hyperlink" Target="https://www.sec.gov/Archives/edgar/data/59478/000005947826000013/lly-20251231.htm" TargetMode="External" /><ns0:Relationship Id="rIdAnnualSource143" Type="http://schemas.openxmlformats.org/officeDocument/2006/relationships/hyperlink" Target="https://www.sec.gov/Archives/edgar/data/59478/000005947826000013/lly-20251231.htm" TargetMode="External" /><ns0:Relationship Id="rIdAnnualSource144" Type="http://schemas.openxmlformats.org/officeDocument/2006/relationships/hyperlink" Target="https://www.sec.gov/Archives/edgar/data/59478/000005947826000013/lly-20251231.htm" TargetMode="External" /><ns0:Relationship Id="rIdAnnualSource145" Type="http://schemas.openxmlformats.org/officeDocument/2006/relationships/hyperlink" Target="https://www.sec.gov/Archives/edgar/data/59478/000005947826000013/lly-20251231.htm" TargetMode="External" /></ns0:Relationships>
</file>

<file path=xl/worksheets/_rels/sheet8.xml.rels><?xml version='1.0' encoding='utf-8'?>
<ns0:Relationships xmlns:ns0="http://schemas.openxmlformats.org/package/2006/relationships"><ns0:Relationship Id="rIdSource1" Type="http://schemas.openxmlformats.org/officeDocument/2006/relationships/hyperlink" Target="https://www.sec.gov/Archives/edgar/data/59478/000005947826000081/lly-20260630.htm" TargetMode="External" /><ns0:Relationship Id="rIdSource2" Type="http://schemas.openxmlformats.org/officeDocument/2006/relationships/hyperlink" Target="https://github.com/jackconnolly1000-ux/sec-filing-research-terminal/blob/main/docs/pilot_cashflow_reconciliation.md" TargetMode="External" /><ns0:Relationship Id="rIdSource3" Type="http://schemas.openxmlformats.org/officeDocument/2006/relationships/hyperlink" Target="https://github.com/jackconnolly1000-ux/sec-filing-research-terminal/blob/main/docs/pilot_evidence_lly.md" TargetMode="External" /><ns0:Relationship Id="rIdSource4" Type="http://schemas.openxmlformats.org/officeDocument/2006/relationships/hyperlink" Target="https://www.sec.gov/Archives/edgar/data/59478/000005947826000081/lly-20260630.htm" TargetMode="External" /><ns0:Relationship Id="rIdSource5" Type="http://schemas.openxmlformats.org/officeDocument/2006/relationships/hyperlink" Target="https://github.com/jackconnolly1000-ux/sec-filing-research-terminal/blob/main/docs/lly_liquidity_review.md" TargetMode="External" /><ns0:Relationship Id="rIdSource6" Type="http://schemas.openxmlformats.org/officeDocument/2006/relationships/hyperlink" Target="https://www.sec.gov/Archives/edgar/data/59478/000005947826000077/q226lillysalesandearningsp.htm" TargetMode="External" /><ns0:Relationship Id="rIdSource7" Type="http://schemas.openxmlformats.org/officeDocument/2006/relationships/hyperlink" Target="https://data.sec.gov/submissions/CIK0000059478.json" TargetMode="External" /><ns0:Relationship Id="rIdSource8" Type="http://schemas.openxmlformats.org/officeDocument/2006/relationships/hyperlink" Target="https://github.com/jackconnolly1000-ux/sec-filing-research-terminal/blob/main/docs/lly_financing_audit.md" TargetMode="External" /><ns0:Relationship Id="rIdSource9" Type="http://schemas.openxmlformats.org/officeDocument/2006/relationships/hyperlink" Target="https://github.com/jackconnolly1000-ux/sec-filing-research-terminal/blob/main/docs/lly_interest_coverage.md" TargetMode="External" /><ns0:Relationship Id="rIdSource10" Type="http://schemas.openxmlformats.org/officeDocument/2006/relationships/hyperlink" Target="https://github.com/jackconnolly1000-ux/sec-filing-research-terminal/blob/main/docs/ratio_reconciliation.md" TargetMode="External" /><ns0:Relationship Id="rIdSource11" Type="http://schemas.openxmlformats.org/officeDocument/2006/relationships/hyperlink" Target="https://github.com/jackconnolly1000-ux/sec-filing-research-terminal/blob/main/docs/borrowing_lease_presentation.md" TargetMode="External" /><ns0:Relationship Id="rIdSource12" Type="http://schemas.openxmlformats.org/officeDocument/2006/relationships/hyperlink" Target="https://github.com/jackconnolly1000-ux/sec-filing-research-terminal/blob/main/docs/company_history.md" TargetMode="External" /><ns0:Relationship Id="rIdSource13" Type="http://schemas.openxmlformats.org/officeDocument/2006/relationships/hyperlink" Target="https://github.com/jackconnolly1000-ux/sec-filing-research-terminal/blob/main/docs/core_charts.md" TargetMode="External" /><ns0:Relationship Id="rIdSource14" Type="http://schemas.openxmlformats.org/officeDocument/2006/relationships/hyperlink" Target="https://github.com/jackconnolly1000-ux/sec-filing-research-terminal/blob/main/docs/excel_parity.md" TargetMode="External" /><ns0:Relationship Id="rIdAnnualSource15" Type="http://schemas.openxmlformats.org/officeDocument/2006/relationships/hyperlink" Target="https://github.com/jackconnolly1000-ux/sec-filing-research-terminal/blob/main/docs/annual_history_reconciliation.md" TargetMode="External" /></ns0: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08" hidden="0" customWidth="1"/>
  </x:cols>
  <x:sheetData>
    <x:row r="1">
      <x:c r="A1" s="222"/>
      <x:c r="B1" s="223"/>
    </x:row>
    <x:row r="2" ht="26" customHeight="1">
      <x:c r="A2" s="224" t="str">
        <x:v>Eli Lilly and Company funding conclusion</x:v>
      </x:c>
      <x:c r="B2" s="223"/>
    </x:row>
    <x:row r="3" ht="24" customHeight="1">
      <x:c r="A3" s="225" t="str">
        <x:v>Balance sheet 2026-06-30. Interpretation checked 2026-10-16. Source dates remain historical.</x:v>
      </x:c>
      <x:c r="B3" s="223"/>
    </x:row>
    <x:row r="4">
      <x:c r="A4" s="222"/>
      <x:c r="B4" s="223"/>
    </x:row>
    <x:row r="5">
      <x:c r="A5" s="226" t="str">
        <x:v>Question</x:v>
      </x:c>
      <x:c r="B5" s="227" t="str">
        <x:v>Checked interpretation</x:v>
      </x:c>
    </x:row>
    <x:row r="6" ht="55" customHeight="1">
      <x:c r="A6" s="228" t="str">
        <x:v>Conclusion</x:v>
      </x:c>
      <x:c r="B6" s="229" t="str">
        <x:v>Acquisition and manufacturing spending compete with repayment resources. H1 cash generation after cash PP&amp;E was less than acquisition/IPR&amp;D cash plus shareholder payouts. Incomplete payment dates and unverified post-expiry credit prevent a future funding-surplus conclusion.</x:v>
      </x:c>
    </x:row>
    <x:row r="7" ht="76" customHeight="1">
      <x:c r="A7" s="228" t="str">
        <x:v>Near-term obligations</x:v>
      </x:c>
      <x:c r="B7" s="229" t="str">
        <x:v>At June 30, 2026, current borrowing was $7.050B, a carrying classification without a complete dated principal schedule. Unpaid acquisition cash was $296M with dates unstated. Approximately $2.8B for pending AtaiBeckley was conditional on closing, disclosed August 5.</x:v>
      </x:c>
    </x:row>
    <x:row r="8" ht="76" customHeight="1">
      <x:c r="A8" s="228" t="str">
        <x:v>Resources and access</x:v>
      </x:c>
      <x:c r="B8" s="229" t="str">
        <x:v>$8.950B cash at June 30 excludes restricted cash. H1 2026 OCF less cash PP&amp;E was $10.764B, already reflected in cash. June unused commitments of $10.1B are not verified drawable funds. The $6B facility's August 2026 expiry has no checked renewal.</x:v>
      </x:c>
    </x:row>
    <x:row r="9" ht="76" customHeight="1">
      <x:c r="A9" s="228" t="str">
        <x:v>Competing cash uses</x:v>
      </x:c>
      <x:c r="B9" s="229" t="str">
        <x:v>H1 2026 acquisitions/IPR&amp;D used $13.291B and dividends/buybacks $7.051B, while net borrowing contributed $12.602B. July acquisitions used approximately $2B. August's $4.5B Indiana announcement has no cash schedule. Subsequent uses do not establish an updated cash balance.</x:v>
      </x:c>
    </x:row>
    <x:row r="10" ht="76" customHeight="1">
      <x:c r="A10" s="230" t="str">
        <x:v>Decisive unknowns</x:v>
      </x:c>
      <x:c r="B10" s="231" t="str">
        <x:v>Future funding coverage: Unavailable. Needed: remaining principal dates, current drawable credit and acquisition/manufacturing payment timing. The December 2025 supply/manufacturing ceiling of up to approximately $10B is conditional over generally up to eight years. Its overlap with later investment announcements is unresolved.</x:v>
      </x:c>
    </x:row>
    <x:row r="11">
      <x:c r="A11" s="222"/>
      <x:c r="B11" s="223"/>
    </x:row>
    <x:row r="12" ht="32" customHeight="1">
      <x:c r="A12" s="226" t="str">
        <x:v>Historical interest coverage</x:v>
      </x:c>
      <x:c r="B12" s="227" t="str">
        <x:v>Multiple; historical accrual earnings / interest, not repayment coverage</x:v>
      </x:c>
    </x:row>
    <x:row r="13">
      <x:c r="A13" s="232" t="str">
        <x:v>TTM coverage (x)</x:v>
      </x:c>
      <x:c r="B13" s="233" t="n">
        <x:f>IF(ISNUMBER('Debt and liquidity'!B50),'Debt and liquidity'!B50,NA())</x:f>
        <x:v>31.17052826691381</x:v>
      </x:c>
    </x:row>
    <x:row r="14" ht="72" customHeight="1">
      <x:c r="A14" s="234" t="str">
        <x:v>Company-specific basis</x:v>
      </x:c>
      <x:c r="B14" s="229" t="str">
        <x:v>TTM Jul 2025–Jun 2026: derived operating income $33.633B / reported interest $1.079B. Annual interest is net of capitalization; the interim basis and capitalized amount are unstated. No capitalization adjustment or earnings addback is made.</x:v>
      </x:c>
    </x:row>
    <x:row r="15" ht="88" customHeight="1">
      <x:c r="A15" s="235" t="str">
        <x:v>Interpretation across companies</x:v>
      </x:c>
      <x:c r="B15" s="231" t="str">
        <x:v>Coverage bases differ: Lilly derives operating income and its interim capitalization basis is unstated. Oracle uses reported operating income and a reported interest line with unresolved composition/capitalization. Vistra uses reported operating income and a separate interest component before the capitalized-interest deduction. The periods also differ. These historical accrual ratios do not rank funding strength, measure covenant headroom or prove future repayment capacity.</x:v>
      </x:c>
    </x:row>
    <x:row r="16">
      <x:c r="A16" s="222"/>
      <x:c r="B16" s="223"/>
    </x:row>
    <x:row r="17" ht="42" customHeight="1">
      <x:c r="A17" s="236" t="str">
        <x:v>Future funding coverage</x:v>
      </x:c>
      <x:c r="B17" s="237" t="str">
        <x:v>Unavailable: payment timing, accessible resources and future cash generation are not jointly established.</x:v>
      </x:c>
    </x:row>
    <x:row r="18" ht="42" customHeight="1">
      <x:c r="A18" s="238" t="str">
        <x:v>Source interpretation</x:v>
      </x:c>
      <x:c r="B18" s="237" t="str">
        <x:v>Narrative reflects the checked source snapshot. Editing workbook inputs updates calculations but requires a new review of the narrative.</x:v>
      </x:c>
    </x:row>
    <x:row r="20" ht="44" customHeight="1">
      <x:c r="A20" s="1454" t="str">
        <x:v>Workbook contents — select the named tab</x:v>
      </x:c>
      <x:c r="B20" s="1456" t="str">
        <x:v>Question / evidence</x:v>
      </x:c>
    </x:row>
    <x:row r="21" ht="44" customHeight="1">
      <x:c r="A21" s="739" t="str">
        <x:v>Funding conclusion</x:v>
      </x:c>
      <x:c r="B21" s="740" t="str">
        <x:v>Start here: obligations, accessible resources, competing uses and decisive unknowns.</x:v>
      </x:c>
    </x:row>
    <x:row r="22" ht="44" customHeight="1">
      <x:c r="A22" s="739" t="str">
        <x:v>Borrowing and leases</x:v>
      </x:c>
      <x:c r="B22" s="740" t="str">
        <x:v>Borrowing components, dated lease liabilities and uncommenced commitments, separately.</x:v>
      </x:c>
    </x:row>
    <x:row r="23" ht="44" customHeight="1">
      <x:c r="A23" s="739" t="str">
        <x:v>Debt and liquidity</x:v>
      </x:c>
      <x:c r="B23" s="740" t="str">
        <x:v>Latest checked ratios, formulas, periods and company-specific limits.</x:v>
      </x:c>
    </x:row>
    <x:row r="24" ht="44" customHeight="1">
      <x:c r="A24" s="739" t="str">
        <x:v>History</x:v>
      </x:c>
      <x:c r="B24" s="740" t="str">
        <x:v>Annual versus latest dated balances; overlapping FY and TTM flows. Unavailable is not zero.</x:v>
      </x:c>
    </x:row>
    <x:row r="25" ht="44" customHeight="1">
      <x:c r="A25" s="739" t="str">
        <x:v>Annual history</x:v>
      </x:c>
      <x:c r="B25" s="740" t="str">
        <x:v>Five completed fiscal years, sourced inputs and FCF formulas; annual history is separate from the latest TTM.</x:v>
      </x:c>
    </x:row>
    <x:row r="26" ht="44" customHeight="1">
      <x:c r="A26" s="739" t="str">
        <x:v>Core charts</x:v>
      </x:c>
      <x:c r="B26" s="740" t="str">
        <x:v>What remained after capital spending, and how checked cash/borrowing balances changed.</x:v>
      </x:c>
    </x:row>
    <x:row r="27" ht="44" customHeight="1">
      <x:c r="A27" s="739" t="str">
        <x:v>Repayment review</x:v>
      </x:c>
      <x:c r="B27" s="740" t="str">
        <x:v>H1 cash uses, conditional commitments, credit evidence and selected May issuance maturities.</x:v>
      </x:c>
    </x:row>
    <x:row r="28" ht="44" customHeight="1">
      <x:c r="A28" s="741" t="str">
        <x:v>Data</x:v>
      </x:c>
      <x:c r="B28" s="742" t="str">
        <x:v>Reported inputs with filing dates, accessions, tags, contexts and source URLs; separate evidence blocks.</x:v>
      </x:c>
    </x:row>
    <x:row r="29" ht="44" customHeight="1">
      <x:c r="A29" s="741" t="str">
        <x:v>About</x:v>
      </x:c>
      <x:c r="B29" s="742" t="str">
        <x:v>Definitions, source scope, missing values, colors and methodology references.</x:v>
      </x:c>
    </x:row>
    <x:row r="30" ht="12" customHeight="1">
      <x:c r="A30" s="963"/>
      <x:c r="B30" s="964"/>
    </x:row>
    <x:row r="31" ht="55" customHeight="1">
      <x:c r="A31" s="796" t="str">
        <x:v>Units and dates</x:v>
      </x:c>
      <x:c r="B31" s="798" t="str">
        <x:v>Whole USD, displayed in millions except x and %. Annual history uses five full fiscal years. The separate FY-versus-TTM comparison overlaps.</x:v>
      </x:c>
    </x:row>
    <x:row r="32" ht="55" customHeight="1">
      <x:c r="A32" s="749" t="str">
        <x:v>Colors</x:v>
      </x:c>
      <x:c r="B32" s="740" t="str">
        <x:v>Blue numeric cells are reported inputs; green formulas link to another sheet; black formulas calculate within a sheet.</x:v>
      </x:c>
    </x:row>
    <x:row r="33" ht="55" customHeight="1">
      <x:c r="A33" s="750" t="str">
        <x:v>Evidence and uncertainty</x:v>
      </x:c>
      <x:c r="B33" s="742" t="str">
        <x:v>Data retains source URLs, periods, accessions, tags and contexts. Select a source URL to open it in a browser. Unavailable is never zero.</x:v>
      </x:c>
    </x:row>
    <x:row r="34" ht="55" customHeight="1">
      <x:c r="A34" s="1467" t="str">
        <x:v>Reading the charts</x:v>
      </x:c>
      <x:c r="B34" s="1468" t="str">
        <x:v>FCF is OCF less capex, not another cash flow. Annual charts and the latest TTM keep their own periods and bases.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2" hidden="0" customWidth="1"/>
    <x:col min="2" max="2" width="21" hidden="0" customWidth="1"/>
    <x:col min="3" max="3" width="20" hidden="0" customWidth="1"/>
    <x:col min="4" max="4" width="38" hidden="0" customWidth="1"/>
    <x:col min="5" max="5" width="72" hidden="0" customWidth="1"/>
  </x:cols>
  <x:sheetData>
    <x:row r="1" ht="12" customHeight="1">
      <x:c r="A1" s="222"/>
      <x:c r="B1" s="241"/>
      <x:c r="C1" s="241"/>
      <x:c r="D1" s="241"/>
      <x:c r="E1" s="223"/>
    </x:row>
    <x:row r="2" ht="25" customHeight="1">
      <x:c r="A2" s="224" t="str">
        <x:v>Eli Lilly and Company borrowing and leases</x:v>
      </x:c>
      <x:c r="B2" s="241"/>
      <x:c r="C2" s="241"/>
      <x:c r="D2" s="241"/>
      <x:c r="E2" s="223"/>
    </x:row>
    <x:row r="3" ht="25" customHeight="1">
      <x:c r="A3" s="225" t="str">
        <x:v>Amounts in USD millions. Each balance retains its own date. Baseline borrowing excludes leases.</x:v>
      </x:c>
      <x:c r="B3" s="241"/>
      <x:c r="C3" s="241"/>
      <x:c r="D3" s="241"/>
      <x:c r="E3" s="223"/>
    </x:row>
    <x:row r="4" ht="12" customHeight="1">
      <x:c r="A4" s="222"/>
      <x:c r="B4" s="241"/>
      <x:c r="C4" s="241"/>
      <x:c r="D4" s="241"/>
      <x:c r="E4" s="223"/>
    </x:row>
    <x:row r="5" ht="28" customHeight="1">
      <x:c r="A5" s="226" t="str">
        <x:v>Borrowing component</x:v>
      </x:c>
      <x:c r="B5" s="242" t="str">
        <x:v>USD millions</x:v>
      </x:c>
      <x:c r="C5" s="242" t="str">
        <x:v>As of</x:v>
      </x:c>
      <x:c r="D5" s="242" t="str">
        <x:v>Source / filing</x:v>
      </x:c>
      <x:c r="E5" s="227" t="str">
        <x:v>Basis</x:v>
      </x:c>
    </x:row>
    <x:row r="6" ht="42" customHeight="1">
      <x:c r="A6" s="234" t="str">
        <x:v>Current borrowing</x:v>
      </x:c>
      <x:c r="B6" s="243" t="n">
        <x:f>IF(ISNUMBER('Data'!B120),'Data'!B120,NA())</x:f>
        <x:v>7050000000</x:v>
      </x:c>
      <x:c r="C6" s="244" t="d">
        <x:v>2026-06-30T00:00:00.000Z</x:v>
      </x:c>
      <x:c r="D6" s="245" t="str">
        <x:v>10-Q balance sheet, p. 7; filed 2026-08-05</x:v>
      </x:c>
      <x:c r="E6" s="229" t="str">
        <x:v>Short-term borrowings and current maturities of long-term debt</x:v>
      </x:c>
    </x:row>
    <x:row r="7" ht="42" customHeight="1">
      <x:c r="A7" s="234" t="str">
        <x:v>Noncurrent borrowing</x:v>
      </x:c>
      <x:c r="B7" s="243" t="n">
        <x:f>IF(ISNUMBER('Data'!B121),'Data'!B121,NA())</x:f>
        <x:v>47858000000</x:v>
      </x:c>
      <x:c r="C7" s="244" t="d">
        <x:v>2026-06-30T00:00:00.000Z</x:v>
      </x:c>
      <x:c r="D7" s="245" t="str">
        <x:v>10-Q balance sheet, p. 7; filed 2026-08-05</x:v>
      </x:c>
      <x:c r="E7" s="229" t="str">
        <x:v>Long-term debt</x:v>
      </x:c>
    </x:row>
    <x:row r="8" ht="42" customHeight="1">
      <x:c r="A8" s="246" t="str">
        <x:v>Baseline gross debt</x:v>
      </x:c>
      <x:c r="B8" s="247" t="n">
        <x:f>SUM(B6:B7)</x:f>
        <x:v>54908000000</x:v>
      </x:c>
      <x:c r="C8" s="248" t="d">
        <x:v>2026-06-30T00:00:00.000Z</x:v>
      </x:c>
      <x:c r="D8" s="249" t="str">
        <x:v>Derived from the components above</x:v>
      </x:c>
      <x:c r="E8" s="250" t="str">
        <x:v>Carrying amount; excludes leases.</x:v>
      </x:c>
    </x:row>
    <x:row r="9" ht="12" customHeight="1">
      <x:c r="A9" s="222"/>
      <x:c r="B9" s="251"/>
      <x:c r="C9" s="252"/>
      <x:c r="D9" s="241"/>
      <x:c r="E9" s="223"/>
    </x:row>
    <x:row r="10" ht="58" customHeight="1">
      <x:c r="A10" s="238" t="str">
        <x:v>Borrowing scope</x:v>
      </x:c>
      <x:c r="B10" s="251"/>
      <x:c r="C10" s="252"/>
      <x:c r="D10" s="241"/>
      <x:c r="E10" s="237" t="str">
        <x:v>Current borrowing includes short-term borrowings and current maturities. The Note 8 fair-value carrying amounts describe the same debt and are not added.</x:v>
      </x:c>
    </x:row>
    <x:row r="11" ht="12" customHeight="1">
      <x:c r="A11" s="222"/>
      <x:c r="B11" s="251"/>
      <x:c r="C11" s="252"/>
      <x:c r="D11" s="241"/>
      <x:c r="E11" s="223"/>
    </x:row>
    <x:row r="12" ht="12" customHeight="1">
      <x:c r="A12" s="222"/>
      <x:c r="B12" s="251"/>
      <x:c r="C12" s="252"/>
      <x:c r="D12" s="241"/>
      <x:c r="E12" s="223"/>
    </x:row>
    <x:row r="13" ht="28" customHeight="1">
      <x:c r="A13" s="226" t="str">
        <x:v>Lease liability / commitment</x:v>
      </x:c>
      <x:c r="B13" s="253" t="str">
        <x:v>USD millions</x:v>
      </x:c>
      <x:c r="C13" s="254" t="str">
        <x:v>As of</x:v>
      </x:c>
      <x:c r="D13" s="242" t="str">
        <x:v>Source / filing</x:v>
      </x:c>
      <x:c r="E13" s="227" t="str">
        <x:v>Basis / Unavailable reason</x:v>
      </x:c>
    </x:row>
    <x:row r="14" ht="42" customHeight="1">
      <x:c r="A14" s="234" t="str">
        <x:v>Lease liabilities at latest balance sheet</x:v>
      </x:c>
      <x:c r="B14" s="255" t="str">
        <x:v>Unavailable</x:v>
      </x:c>
      <x:c r="C14" s="244" t="d">
        <x:v>2026-06-30T00:00:00.000Z</x:v>
      </x:c>
      <x:c r="D14" s="245" t="str">
        <x:v>Checked 10-Q review</x:v>
      </x:c>
      <x:c r="E14" s="229" t="str">
        <x:v>No lease liability amounts established in this 10-Q. Older amounts below are not substituted.</x:v>
      </x:c>
    </x:row>
    <x:row r="15" ht="42" customHeight="1">
      <x:c r="A15" s="234" t="str">
        <x:v>Operating lease liabilities — current</x:v>
      </x:c>
      <x:c r="B15" s="243" t="n">
        <x:f>IF(ISNUMBER('Data'!B123),'Data'!B123,NA())</x:f>
        <x:v>222000000</x:v>
      </x:c>
      <x:c r="C15" s="244" t="d">
        <x:v>2025-12-31T00:00:00.000Z</x:v>
      </x:c>
      <x:c r="D15" s="245" t="str">
        <x:v>10-K Note 10, p. 76; filed 2026-02-12</x:v>
      </x:c>
      <x:c r="E15" s="229" t="str">
        <x:v>Recognized lease liability; excluded from baseline borrowing.</x:v>
      </x:c>
    </x:row>
    <x:row r="16" ht="42" customHeight="1">
      <x:c r="A16" s="234" t="str">
        <x:v>Operating lease liabilities — noncurrent</x:v>
      </x:c>
      <x:c r="B16" s="243" t="n">
        <x:f>IF(ISNUMBER('Data'!B124),'Data'!B124,NA())</x:f>
        <x:v>1140000000</x:v>
      </x:c>
      <x:c r="C16" s="244" t="d">
        <x:v>2025-12-31T00:00:00.000Z</x:v>
      </x:c>
      <x:c r="D16" s="245" t="str">
        <x:v>10-K Note 10, p. 76; filed 2026-02-12</x:v>
      </x:c>
      <x:c r="E16" s="229" t="str">
        <x:v>Recognized lease liability; excluded from baseline borrowing.</x:v>
      </x:c>
    </x:row>
    <x:row r="17" ht="42" customHeight="1">
      <x:c r="A17" s="256" t="str">
        <x:v>Operating lease liabilities — total</x:v>
      </x:c>
      <x:c r="B17" s="257" t="n">
        <x:f>B15+B16</x:f>
        <x:v>1362000000</x:v>
      </x:c>
      <x:c r="C17" s="258" t="d">
        <x:v>2025-12-31T00:00:00.000Z</x:v>
      </x:c>
      <x:c r="D17" s="259" t="str">
        <x:v>10-K Note 10, p. 76</x:v>
      </x:c>
      <x:c r="E17" s="260" t="str">
        <x:v>Derived current + noncurrent; no separately tagged total.</x:v>
      </x:c>
    </x:row>
    <x:row r="18" ht="42" customHeight="1">
      <x:c r="A18" s="235" t="str">
        <x:v>Finance lease liabilities</x:v>
      </x:c>
      <x:c r="B18" s="261" t="str">
        <x:v>Unavailable</x:v>
      </x:c>
      <x:c r="C18" s="262" t="d">
        <x:v>2026-06-30T00:00:00.000Z</x:v>
      </x:c>
      <x:c r="D18" s="263" t="str">
        <x:v>10-Q review; June amount not established</x:v>
      </x:c>
      <x:c r="E18" s="231" t="str">
        <x:v>No checked June amount. The 10-K describes operating leases only; finance leases are not reported, which is not zero.</x:v>
      </x:c>
    </x:row>
    <x:row r="19" ht="12" customHeight="1">
      <x:c r="A19" s="222"/>
      <x:c r="B19" s="251"/>
      <x:c r="C19" s="252"/>
      <x:c r="D19" s="241"/>
      <x:c r="E19" s="223"/>
    </x:row>
    <x:row r="20" ht="54" customHeight="1">
      <x:c r="A20" s="264" t="str">
        <x:v>Leases not yet commenced</x:v>
      </x:c>
      <x:c r="B20" s="265" t="str">
        <x:v>Unavailable</x:v>
      </x:c>
      <x:c r="C20" s="266" t="d">
        <x:v>2026-06-30T00:00:00.000Z</x:v>
      </x:c>
      <x:c r="D20" s="267" t="str">
        <x:v>Saved pilot evidence; 10-Q review</x:v>
      </x:c>
      <x:c r="E20" s="268" t="str">
        <x:v>No checked amount for leases not yet commenced is established in the saved pilot evidence. Unavailable does not mean zero.</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29" hidden="0" customWidth="1"/>
    <x:col min="3" max="3" width="23" hidden="0" customWidth="1"/>
    <x:col min="4" max="4" width="78" hidden="0" customWidth="1"/>
  </x:cols>
  <x:sheetData>
    <x:row r="2" ht="30" customHeight="1">
      <x:c r="A2" s="269" t="str">
        <x:v>Eli Lilly and Company</x:v>
      </x:c>
      <x:c r="B2" s="241"/>
      <x:c r="C2" s="241"/>
      <x:c r="D2" s="223"/>
    </x:row>
    <x:row r="3" ht="30" customHeight="1">
      <x:c r="A3" s="225" t="str">
        <x:v>Balance sheet June 30, 2026. TTM July 2025–June 2026. USD millions unless ratio or %.</x:v>
      </x:c>
      <x:c r="B3" s="241"/>
      <x:c r="C3" s="241"/>
      <x:c r="D3" s="223"/>
    </x:row>
    <x:row r="4" ht="30" customHeight="1">
      <x:c r="A4" s="222"/>
      <x:c r="B4" s="241"/>
      <x:c r="C4" s="241"/>
      <x:c r="D4" s="223"/>
    </x:row>
    <x:row r="5" ht="30" customHeight="1">
      <x:c r="A5" s="226" t="str">
        <x:v>Measure</x:v>
      </x:c>
      <x:c r="B5" s="242" t="str">
        <x:v>Value (USD millions / x / %)</x:v>
      </x:c>
      <x:c r="C5" s="242" t="str">
        <x:v>Period end</x:v>
      </x:c>
      <x:c r="D5" s="227" t="str">
        <x:v>Formula / basis / limitation</x:v>
      </x:c>
    </x:row>
    <x:row r="6" ht="50" customHeight="1">
      <x:c r="A6" s="234" t="str">
        <x:v>Cash and cash equivalents</x:v>
      </x:c>
      <x:c r="B6" s="243" t="n">
        <x:f>IF(ISNUMBER('Data'!B2),'Data'!B2,NA())</x:f>
        <x:v>8950000000</x:v>
      </x:c>
      <x:c r="C6" s="244" t="d">
        <x:v>2026-06-30T00:00:00.000Z</x:v>
      </x:c>
      <x:c r="D6" s="270" t="str">
        <x:v>Cash and cash equivalents excluding restricted cash. Investments are not substituted.</x:v>
      </x:c>
    </x:row>
    <x:row r="7" ht="66" customHeight="1">
      <x:c r="A7" s="256" t="str">
        <x:v>Baseline gross debt</x:v>
      </x:c>
      <x:c r="B7" s="271" t="n">
        <x:f>IF(AND(IF(ISNUMBER('Data'!B3),'Data'!B3,NA())&gt;=0,IF(ISNUMBER('Data'!B4),'Data'!B4,NA())&gt;=0),IF(ISNUMBER('Data'!B3),'Data'!B3,NA())+IF(ISNUMBER('Data'!B4),'Data'!B4,NA()),NA())</x:f>
        <x:v>54908000000</x:v>
      </x:c>
      <x:c r="C7" s="258" t="d">
        <x:v>2026-06-30T00:00:00.000Z</x:v>
      </x:c>
      <x:c r="D7" s="272" t="str">
        <x:v>Carrying amount of borrowing. Operating/finance leases and commitments are excluded. In this 10-Q, the Note 8 fair-value table's carrying amounts (commercial paper 5,284M plus long-term debt including current portion 49,624M) present the same 54,908M; they are not added.</x:v>
      </x:c>
    </x:row>
    <x:row r="8" ht="50" customHeight="1">
      <x:c r="A8" s="256" t="str">
        <x:v>Net debt</x:v>
      </x:c>
      <x:c r="B8" s="257" t="n">
        <x:f>B7-B6</x:f>
        <x:v>45958000000</x:v>
      </x:c>
      <x:c r="C8" s="258" t="d">
        <x:v>2026-06-30T00:00:00.000Z</x:v>
      </x:c>
      <x:c r="D8" s="272" t="str">
        <x:v>Baseline borrowing less cash excluding restricted cash. Same date and filing. Negative net debt is retained.</x:v>
      </x:c>
    </x:row>
    <x:row r="9" ht="53" customHeight="1">
      <x:c r="A9" s="234" t="str">
        <x:v>Current ratio</x:v>
      </x:c>
      <x:c r="B9" s="273" t="n">
        <x:f>IF(IF(ISNUMBER('Data'!B5),'Data'!B5,NA())&gt;0,IF(ISNUMBER('Data'!B6),'Data'!B6,NA())/IF(ISNUMBER('Data'!B5),'Data'!B5,NA()),NA())</x:f>
        <x:v>1.3546427598919168</x:v>
      </x:c>
      <x:c r="C9" s="244" t="d">
        <x:v>2026-06-30T00:00:00.000Z</x:v>
      </x:c>
      <x:c r="D9" s="270" t="str">
        <x:v>Total current assets / total current liabilities from one balance sheet. Liabilities include more than borrowing; assets include more than cash.</x:v>
      </x:c>
    </x:row>
    <x:row r="10" ht="50" customHeight="1">
      <x:c r="A10" s="234" t="str">
        <x:v>Operating cash flow</x:v>
      </x:c>
      <x:c r="B10" s="243" t="n">
        <x:f>(1*IF(ISNUMBER('Data'!B7),'Data'!B7,NA()))+(1*IF(ISNUMBER('Data'!B8),'Data'!B8,NA()))+(-1*IF(ISNUMBER('Data'!B9),'Data'!B9,NA()))</x:f>
        <x:v>28083000000</x:v>
      </x:c>
      <x:c r="C10" s="244" t="d">
        <x:v>2026-06-30T00:00:00.000Z</x:v>
      </x:c>
      <x:c r="D10" s="270" t="str">
        <x:v>Reported historical OCF; recurrence is not established. Uses FY + current YTD - prior YTD.</x:v>
      </x:c>
    </x:row>
    <x:row r="11" ht="50" customHeight="1">
      <x:c r="A11" s="234" t="str">
        <x:v>Purchases of property and equipment</x:v>
      </x:c>
      <x:c r="B11" s="243" t="n">
        <x:f>(1*IF(ISNUMBER('Data'!B10),'Data'!B10,NA()))+(1*IF(ISNUMBER('Data'!B11),'Data'!B11,NA()))+(-1*IF(ISNUMBER('Data'!B12),'Data'!B12,NA()))</x:f>
        <x:v>9893000000</x:v>
      </x:c>
      <x:c r="C11" s="244" t="d">
        <x:v>2026-06-30T00:00:00.000Z</x:v>
      </x:c>
      <x:c r="D11" s="270" t="str">
        <x:v>Reported purchases of property and equipment; excludes acquisitions and other investing cash flows.</x:v>
      </x:c>
    </x:row>
    <x:row r="12" ht="50" customHeight="1">
      <x:c r="A12" s="256" t="str">
        <x:v>Free cash flow</x:v>
      </x:c>
      <x:c r="B12" s="257" t="n">
        <x:f>B10-B11</x:f>
        <x:v>18190000000</x:v>
      </x:c>
      <x:c r="C12" s="258" t="d">
        <x:v>2026-06-30T00:00:00.000Z</x:v>
      </x:c>
      <x:c r="D12" s="272" t="str">
        <x:v>OCF less reported capital spending. Uses the spending basis above; excludes acquisitions, dividends and other cash uses.</x:v>
      </x:c>
    </x:row>
    <x:row r="13" ht="50" customHeight="1">
      <x:c r="A13" s="234" t="str">
        <x:v>Operating cash flow / debt</x:v>
      </x:c>
      <x:c r="B13" s="274" t="n">
        <x:f>IF(B7&gt;0,B10/B7,NA())</x:f>
        <x:v>0.511455525606469</x:v>
      </x:c>
      <x:c r="C13" s="244" t="d">
        <x:v>2026-06-30T00:00:00.000Z</x:v>
      </x:c>
      <x:c r="D13" s="270" t="str">
        <x:v>Historical TTM OCF / period-end baseline borrowing, not average debt or repayment coverage. The reported OCF basis above is retained.</x:v>
      </x:c>
    </x:row>
    <x:row r="14" ht="50" customHeight="1">
      <x:c r="A14" s="234" t="str">
        <x:v>Free cash flow / debt</x:v>
      </x:c>
      <x:c r="B14" s="274" t="n">
        <x:f>IF(B7&gt;0,B12/B7,NA())</x:f>
        <x:v>0.33128141618707657</x:v>
      </x:c>
      <x:c r="C14" s="244" t="d">
        <x:v>2026-06-30T00:00:00.000Z</x:v>
      </x:c>
      <x:c r="D14" s="270" t="str">
        <x:v>Historical TTM FCF / period-end baseline borrowing. Uses the spending basis above; not repayment coverage.</x:v>
      </x:c>
    </x:row>
    <x:row r="15" ht="105" customHeight="1">
      <x:c r="A15" s="235" t="str">
        <x:v>Historical interest coverage</x:v>
      </x:c>
      <x:c r="B15" s="275" t="n">
        <x:f>B50</x:f>
        <x:v>31.17052826691381</x:v>
      </x:c>
      <x:c r="C15" s="262" t="d">
        <x:v>2026-06-30T00:00:00.000Z</x:v>
      </x:c>
      <x:c r="D15" s="276" t="str">
        <x:v>FY2025 Note 11 explicitly reports interest on borrowings net of capitalized interest. The interim segment table labels the line interest expense without explicitly stating its capitalization basis. All three amounts are used as reported, before any interest-income offset. Capitalized interest is not added or subtracted; its amount and total interest incurred are Unavailable. See the detailed interest build for composition and limitations.</x:v>
      </x:c>
    </x:row>
    <x:row r="16" ht="30" customHeight="1">
      <x:c r="A16" s="222"/>
      <x:c r="B16" s="241"/>
      <x:c r="C16" s="241"/>
      <x:c r="D16" s="223"/>
    </x:row>
    <x:row r="17" ht="30" customHeight="1">
      <x:c r="A17" s="238" t="str">
        <x:v>Selected obligations, separate from borrowing</x:v>
      </x:c>
      <x:c r="B17" s="241"/>
      <x:c r="C17" s="241"/>
      <x:c r="D17" s="223"/>
    </x:row>
    <x:row r="18" ht="30" customHeight="1">
      <x:c r="A18" s="226" t="str">
        <x:v>Item</x:v>
      </x:c>
      <x:c r="B18" s="242" t="str">
        <x:v>Disclosed amount / timing</x:v>
      </x:c>
      <x:c r="C18" s="277" t="str">
        <x:v>Basis</x:v>
      </x:c>
      <x:c r="D18" s="223"/>
    </x:row>
    <x:row r="19" ht="62" customHeight="1">
      <x:c r="A19" s="278" t="str">
        <x:f>'Data'!A16</x:f>
        <x:v>Pending AtaiBeckley acquisition</x:v>
      </x:c>
      <x:c r="B19" s="279" t="str">
        <x:f>'Data'!B16</x:f>
        <x:v>Approximately $2.8B</x:v>
      </x:c>
      <x:c r="C19" s="280" t="str">
        <x:f>'Data'!I16</x:f>
        <x:v>Potential payment at closing, subject to closing conditions. Not recognized as borrowing.</x:v>
      </x:c>
      <x:c r="D19" s="223"/>
    </x:row>
    <x:row r="20" ht="62" customHeight="1">
      <x:c r="A20" s="281" t="str">
        <x:f>'Data'!A17</x:f>
        <x:v>Venture fund commitments</x:v>
      </x:c>
      <x:c r="B20" s="282" t="str">
        <x:f>'Data'!B17</x:f>
        <x:v>Approximately $806M</x:v>
      </x:c>
      <x:c r="C20" s="283" t="str">
        <x:f>'Data'!I17</x:f>
        <x:v>Expected to be paid over up to ten years. Not recognized as borrowing.</x:v>
      </x:c>
      <x:c r="D20" s="223"/>
    </x:row>
    <x:row r="21" ht="30" customHeight="1">
      <x:c r="A21" s="222"/>
      <x:c r="B21" s="241"/>
      <x:c r="C21" s="241"/>
      <x:c r="D21" s="223"/>
    </x:row>
    <x:row r="22" ht="30" customHeight="1">
      <x:c r="A22" s="222"/>
      <x:c r="B22" s="241"/>
      <x:c r="C22" s="241"/>
      <x:c r="D22" s="223"/>
    </x:row>
    <x:row r="23" ht="30" customHeight="1">
      <x:c r="A23" s="238" t="str">
        <x:v>Remaining gaps</x:v>
      </x:c>
      <x:c r="B23" s="241"/>
      <x:c r="C23" s="241"/>
      <x:c r="D23" s="223"/>
    </x:row>
    <x:row r="24" ht="30" customHeight="1">
      <x:c r="A24" s="225" t="str">
        <x:v>June lease liabilities and a complete updated principal schedule are Unavailable. Historical interest coverage is built below.</x:v>
      </x:c>
      <x:c r="B24" s="241"/>
      <x:c r="C24" s="241"/>
      <x:c r="D24" s="223"/>
    </x:row>
    <x:row r="25" ht="30" customHeight="1">
      <x:c r="A25" s="225" t="str">
        <x:v>See Repayment review for dated cash flows, facilities, acquisitions and manufacturing commitments.</x:v>
      </x:c>
      <x:c r="B25" s="241"/>
      <x:c r="C25" s="241"/>
      <x:c r="D25" s="223"/>
    </x:row>
    <x:row r="26" ht="30" customHeight="1">
      <x:c r="A26" s="225" t="str">
        <x:v>Financing index checked through October 15, 2026. See Repayment review for May terms; all sources and limits are in Data.</x:v>
      </x:c>
      <x:c r="B26" s="241"/>
      <x:c r="C26" s="241"/>
      <x:c r="D26" s="223"/>
    </x:row>
    <x:row r="27" ht="30" customHeight="1">
      <x:c r="A27" s="222"/>
      <x:c r="B27" s="241"/>
      <x:c r="C27" s="241"/>
      <x:c r="D27" s="223"/>
    </x:row>
    <x:row r="28" ht="30" customHeight="1">
      <x:c r="A28" s="222"/>
      <x:c r="B28" s="241"/>
      <x:c r="C28" s="241"/>
      <x:c r="D28" s="223"/>
    </x:row>
    <x:row r="29" ht="30" customHeight="1">
      <x:c r="A29" s="222"/>
      <x:c r="B29" s="241"/>
      <x:c r="C29" s="241"/>
      <x:c r="D29" s="223"/>
    </x:row>
    <x:row r="30" ht="30" customHeight="1">
      <x:c r="A30" s="284" t="str">
        <x:v>Historical operating-income interest coverage</x:v>
      </x:c>
      <x:c r="B30" s="241"/>
      <x:c r="C30" s="241"/>
      <x:c r="D30" s="223"/>
    </x:row>
    <x:row r="31" ht="36" customHeight="1">
      <x:c r="A31" s="238" t="str">
        <x:v>TTM July 1, 2025–June 30, 2026. Derived operating income / reported interest expense on borrowings. USD millions unless ratio.</x:v>
      </x:c>
      <x:c r="B31" s="241"/>
      <x:c r="C31" s="241"/>
      <x:c r="D31" s="223"/>
    </x:row>
    <x:row r="32" ht="30" customHeight="1">
      <x:c r="A32" s="222"/>
      <x:c r="B32" s="241"/>
      <x:c r="C32" s="241"/>
      <x:c r="D32" s="223"/>
    </x:row>
    <x:row r="33" ht="44" customHeight="1">
      <x:c r="A33" s="226" t="str">
        <x:v>Calculation component</x:v>
      </x:c>
      <x:c r="B33" s="242" t="str">
        <x:v>FY2025</x:v>
      </x:c>
      <x:c r="C33" s="242" t="str">
        <x:v>+ H1 2026</x:v>
      </x:c>
      <x:c r="D33" s="227" t="str">
        <x:v>− H1 2025</x:v>
      </x:c>
    </x:row>
    <x:row r="34" ht="44" customHeight="1">
      <x:c r="A34" s="234" t="str">
        <x:v>Revenue</x:v>
      </x:c>
      <x:c r="B34" s="243" t="n">
        <x:f>IF(ISNUMBER('Data'!B68),'Data'!B68,NA())</x:f>
        <x:v>65179000000</x:v>
      </x:c>
      <x:c r="C34" s="243" t="n">
        <x:f>IF(ISNUMBER('Data'!B77),'Data'!B77,NA())</x:f>
        <x:v>42773000000</x:v>
      </x:c>
      <x:c r="D34" s="285" t="n">
        <x:f>IF(ISNUMBER('Data'!B86),'Data'!B86,NA())</x:f>
        <x:v>28286000000</x:v>
      </x:c>
    </x:row>
    <x:row r="35" ht="44" customHeight="1">
      <x:c r="A35" s="234" t="str">
        <x:v>Cost of sales</x:v>
      </x:c>
      <x:c r="B35" s="243" t="n">
        <x:f>IF(ISNUMBER('Data'!B69),'Data'!B69,NA())</x:f>
        <x:v>11052000000</x:v>
      </x:c>
      <x:c r="C35" s="243" t="n">
        <x:f>IF(ISNUMBER('Data'!B78),'Data'!B78,NA())</x:f>
        <x:v>6845000000</x:v>
      </x:c>
      <x:c r="D35" s="285" t="n">
        <x:f>IF(ISNUMBER('Data'!B87),'Data'!B87,NA())</x:f>
        <x:v>4672000000</x:v>
      </x:c>
    </x:row>
    <x:row r="36" ht="44" customHeight="1">
      <x:c r="A36" s="234" t="str">
        <x:v>R&amp;D</x:v>
      </x:c>
      <x:c r="B36" s="243" t="n">
        <x:f>IF(ISNUMBER('Data'!B70),'Data'!B70,NA())</x:f>
        <x:v>13337000000</x:v>
      </x:c>
      <x:c r="C36" s="243" t="n">
        <x:f>IF(ISNUMBER('Data'!B79),'Data'!B79,NA())</x:f>
        <x:v>7329000000</x:v>
      </x:c>
      <x:c r="D36" s="285" t="n">
        <x:f>IF(ISNUMBER('Data'!B88),'Data'!B88,NA())</x:f>
        <x:v>6070000000</x:v>
      </x:c>
    </x:row>
    <x:row r="37" ht="44" customHeight="1">
      <x:c r="A37" s="234" t="str">
        <x:v>SG&amp;A</x:v>
      </x:c>
      <x:c r="B37" s="243" t="n">
        <x:f>IF(ISNUMBER('Data'!B71),'Data'!B71,NA())</x:f>
        <x:v>11094000000</x:v>
      </x:c>
      <x:c r="C37" s="243" t="n">
        <x:f>IF(ISNUMBER('Data'!B80),'Data'!B80,NA())</x:f>
        <x:v>6364000000</x:v>
      </x:c>
      <x:c r="D37" s="285" t="n">
        <x:f>IF(ISNUMBER('Data'!B89),'Data'!B89,NA())</x:f>
        <x:v>5221000000</x:v>
      </x:c>
    </x:row>
    <x:row r="38" ht="44" customHeight="1">
      <x:c r="A38" s="234" t="str">
        <x:v>Acquired IPR&amp;D, expense</x:v>
      </x:c>
      <x:c r="B38" s="243" t="n">
        <x:f>IF(ISNUMBER('Data'!B72),'Data'!B72,NA())</x:f>
        <x:v>2910000000</x:v>
      </x:c>
      <x:c r="C38" s="243" t="n">
        <x:f>IF(ISNUMBER('Data'!B81),'Data'!B81,NA())</x:f>
        <x:v>3360000000</x:v>
      </x:c>
      <x:c r="D38" s="285" t="n">
        <x:f>IF(ISNUMBER('Data'!B90),'Data'!B90,NA())</x:f>
        <x:v>1726000000</x:v>
      </x:c>
    </x:row>
    <x:row r="39" ht="44" customHeight="1">
      <x:c r="A39" s="234" t="str">
        <x:v>Impairment, restructuring and special charges</x:v>
      </x:c>
      <x:c r="B39" s="243" t="n">
        <x:f>IF(ISNUMBER('Data'!B73),'Data'!B73,NA())</x:f>
        <x:v>484000000</x:v>
      </x:c>
      <x:c r="C39" s="243" t="n">
        <x:f>IF(ISNUMBER('Data'!B82),'Data'!B82,NA())</x:f>
        <x:v>982000000</x:v>
      </x:c>
      <x:c r="D39" s="285" t="n">
        <x:f>IF(ISNUMBER('Data'!B91),'Data'!B91,NA())</x:f>
        <x:v>35000000</x:v>
      </x:c>
    </x:row>
    <x:row r="40" ht="44" customHeight="1">
      <x:c r="A40" s="256" t="str">
        <x:v>Derived operating income</x:v>
      </x:c>
      <x:c r="B40" s="286" t="n">
        <x:f>B34-SUM(B35:B39)</x:f>
        <x:v>26302000000</x:v>
      </x:c>
      <x:c r="C40" s="286" t="n">
        <x:f>C34-SUM(C35:C39)</x:f>
        <x:v>17893000000</x:v>
      </x:c>
      <x:c r="D40" s="287" t="n">
        <x:f>D34-SUM(D35:D39)</x:f>
        <x:v>10562000000</x:v>
      </x:c>
    </x:row>
    <x:row r="41" ht="44" customHeight="1">
      <x:c r="A41" s="234" t="str">
        <x:v>Pretax income, reported</x:v>
      </x:c>
      <x:c r="B41" s="243" t="n">
        <x:f>IF(ISNUMBER('Data'!B75),'Data'!B75,NA())</x:f>
        <x:v>25731000000</x:v>
      </x:c>
      <x:c r="C41" s="243" t="n">
        <x:f>IF(ISNUMBER('Data'!B84),'Data'!B84,NA())</x:f>
        <x:v>18097000000</x:v>
      </x:c>
      <x:c r="D41" s="285" t="n">
        <x:f>IF(ISNUMBER('Data'!B93),'Data'!B93,NA())</x:f>
        <x:v>10233000000</x:v>
      </x:c>
    </x:row>
    <x:row r="42" ht="44" customHeight="1">
      <x:c r="A42" s="234" t="str">
        <x:v>Nonoperating income (expense), tagged sign</x:v>
      </x:c>
      <x:c r="B42" s="243" t="n">
        <x:f>IF(ISNUMBER('Data'!B74),'Data'!B74,NA())</x:f>
        <x:v>-571000000</x:v>
      </x:c>
      <x:c r="C42" s="243" t="n">
        <x:f>IF(ISNUMBER('Data'!B83),'Data'!B83,NA())</x:f>
        <x:v>204000000</x:v>
      </x:c>
      <x:c r="D42" s="285" t="n">
        <x:f>IF(ISNUMBER('Data'!B92),'Data'!B92,NA())</x:f>
        <x:v>-329000000</x:v>
      </x:c>
    </x:row>
    <x:row r="43" ht="44" customHeight="1">
      <x:c r="A43" s="234" t="str">
        <x:v>Control: pretax − tagged nonoperating</x:v>
      </x:c>
      <x:c r="B43" s="288" t="n">
        <x:f>B41-B42</x:f>
        <x:v>26302000000</x:v>
      </x:c>
      <x:c r="C43" s="288" t="n">
        <x:f>C41-C42</x:f>
        <x:v>17893000000</x:v>
      </x:c>
      <x:c r="D43" s="289" t="n">
        <x:f>D41-D42</x:f>
        <x:v>10562000000</x:v>
      </x:c>
    </x:row>
    <x:row r="44" ht="44" customHeight="1">
      <x:c r="A44" s="246" t="str">
        <x:v>Reconciliation difference, zero = matched</x:v>
      </x:c>
      <x:c r="B44" s="290" t="n">
        <x:f>B40-B43</x:f>
        <x:v>0</x:v>
      </x:c>
      <x:c r="C44" s="290" t="n">
        <x:f>C40-C43</x:f>
        <x:v>0</x:v>
      </x:c>
      <x:c r="D44" s="291" t="n">
        <x:f>D40-D43</x:f>
        <x:v>0</x:v>
      </x:c>
    </x:row>
    <x:row r="45" ht="44" customHeight="1">
      <x:c r="A45" s="222"/>
      <x:c r="B45" s="251"/>
      <x:c r="C45" s="251"/>
      <x:c r="D45" s="292"/>
    </x:row>
    <x:row r="46" ht="44" customHeight="1">
      <x:c r="A46" s="264" t="str">
        <x:v>Reported interest expense on borrowings</x:v>
      </x:c>
      <x:c r="B46" s="293" t="n">
        <x:f>IF(ISNUMBER('Data'!B76),'Data'!B76,NA())</x:f>
        <x:v>895000000</x:v>
      </x:c>
      <x:c r="C46" s="293" t="n">
        <x:f>IF(ISNUMBER('Data'!B85),'Data'!B85,NA())</x:f>
        <x:v>677000000</x:v>
      </x:c>
      <x:c r="D46" s="294" t="n">
        <x:f>IF(ISNUMBER('Data'!B94),'Data'!B94,NA())</x:f>
        <x:v>493000000</x:v>
      </x:c>
    </x:row>
    <x:row r="47" ht="44" customHeight="1">
      <x:c r="A47" s="222"/>
      <x:c r="B47" s="251"/>
      <x:c r="C47" s="251"/>
      <x:c r="D47" s="292"/>
    </x:row>
    <x:row r="48" ht="44" customHeight="1">
      <x:c r="A48" s="256" t="str">
        <x:v>TTM derived operating income</x:v>
      </x:c>
      <x:c r="B48" s="286" t="n">
        <x:f>B40+C40-D40</x:f>
        <x:v>33633000000</x:v>
      </x:c>
      <x:c r="C48" s="295" t="str">
        <x:v>FY + current H1 − prior H1</x:v>
      </x:c>
      <x:c r="D48" s="296" t="str">
        <x:v>Acquired IPR&amp;D and special charges are retained; no adjusted earnings addbacks.</x:v>
      </x:c>
    </x:row>
    <x:row r="49" ht="44" customHeight="1">
      <x:c r="A49" s="256" t="str">
        <x:v>TTM reported interest expense</x:v>
      </x:c>
      <x:c r="B49" s="286" t="n">
        <x:f>B46+C46-D46</x:f>
        <x:v>1079000000</x:v>
      </x:c>
      <x:c r="C49" s="295" t="str">
        <x:v>FY + current H1 − prior H1</x:v>
      </x:c>
      <x:c r="D49" s="296" t="str">
        <x:v>Annual 895 + H1 2026 677 − H1 2025 493. No capitalized-interest adjustment or interest-income offset.</x:v>
      </x:c>
    </x:row>
    <x:row r="50" ht="44" customHeight="1">
      <x:c r="A50" s="246" t="str">
        <x:v>Historical interest coverage</x:v>
      </x:c>
      <x:c r="B50" s="297" t="n">
        <x:f>IF(AND(B44=0,C44=0,D44=0,B49&gt;0),B48/B49,NA())</x:f>
        <x:v>31.17052826691381</x:v>
      </x:c>
      <x:c r="C50" s="249" t="str">
        <x:v>Operating income / interest</x:v>
      </x:c>
      <x:c r="D50" s="250" t="str">
        <x:v>Accrual earnings measure. Not cash interest coverage, covenant headroom, drawable credit or a repayment forecast.</x:v>
      </x:c>
    </x:row>
    <x:row r="51" ht="30" customHeight="1">
      <x:c r="A51" s="222"/>
      <x:c r="B51" s="241"/>
      <x:c r="C51" s="241"/>
      <x:c r="D51" s="223"/>
    </x:row>
    <x:row r="52" ht="65" customHeight="1">
      <x:c r="A52" s="238" t="str">
        <x:v>FY2025 Note 11 explicitly reports interest on borrowings net of capitalized interest. The interim segment table labels the line interest expense without explicitly stating its capitalization basis. All three amounts are used as reported, before any interest-income offset. Capitalized interest is not added or subtracted; its amount and total interest incurred are Unavailable.</x:v>
      </x:c>
      <x:c r="B52" s="241"/>
      <x:c r="C52" s="241"/>
      <x:c r="D52" s="223"/>
    </x:row>
    <x:row r="53" ht="65" customHeight="1">
      <x:c r="A53" s="238" t="str">
        <x:v>Historical accrual-based earnings coverage, not cash interest coverage, a repayment forecast, a covenant calculation or proof of drawable credit. Operating income is derived, not a reported Lilly subtotal. Acquired IPR&amp;D and impairment/restructuring charges remain included; no adjusted earnings addbacks. Interim capitalization basis and future interest are not inferred.</x:v>
      </x:c>
      <x:c r="B53" s="241"/>
      <x:c r="C53" s="241"/>
      <x:c r="D53" s="223"/>
    </x:row>
    <x:row r="54" ht="65" customHeight="1">
      <x:c r="A54" s="238" t="str">
        <x:v>Operating income is derived, not a reported subtotal. Statement-table selection excludes rounded MD&amp;A repeats. Other–net XBRL values are positive income / negative expense; the control preserves and subtracts that sign.</x:v>
      </x:c>
      <x:c r="B54" s="241"/>
      <x:c r="C54" s="241"/>
      <x:c r="D54" s="223"/>
    </x:row>
    <x:row r="55" ht="65" customHeight="1">
      <x:c r="A55" s="238" t="str">
        <x:v>Interest uses the exact six-month single-segment contexts in the quarterly filing; three-month amounts are not added. Source tags, dates, dimensions and selection rules are in Data.</x:v>
      </x:c>
      <x:c r="B55" s="241"/>
      <x:c r="C55" s="241"/>
      <x:c r="D55" s="223"/>
    </x:row>
  </x:sheetData>
  <x:mergeCells>
    <x:mergeCell ref="A31:D31"/>
    <x:mergeCell ref="A52:D52"/>
    <x:mergeCell ref="A53:D53"/>
    <x:mergeCell ref="A54:D54"/>
    <x:mergeCell ref="A55:D55"/>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3" hidden="0" customWidth="1"/>
    <x:col min="2" max="2" width="29" hidden="0" customWidth="1"/>
    <x:col min="3" max="3" width="29" hidden="0" customWidth="1"/>
    <x:col min="4" max="4" width="85" hidden="0" customWidth="1"/>
  </x:cols>
  <x:sheetData>
    <x:row r="1">
      <x:c r="A1" s="222"/>
      <x:c r="B1" s="241"/>
      <x:c r="C1" s="241"/>
      <x:c r="D1" s="223"/>
    </x:row>
    <x:row r="2">
      <x:c r="A2" s="224" t="str">
        <x:v>Eli Lilly and Company — dated history</x:v>
      </x:c>
      <x:c r="B2" s="241"/>
      <x:c r="C2" s="241"/>
      <x:c r="D2" s="223"/>
    </x:row>
    <x:row r="3">
      <x:c r="A3" s="225" t="str">
        <x:v>USD millions, except ratios (x) and percentages (%). Fiscal year and later TTM both span twelve months and overlap.</x:v>
      </x:c>
      <x:c r="B3" s="241"/>
      <x:c r="C3" s="241"/>
      <x:c r="D3" s="223"/>
    </x:row>
    <x:row r="4">
      <x:c r="A4" s="222"/>
      <x:c r="B4" s="241"/>
      <x:c r="C4" s="241"/>
      <x:c r="D4" s="223"/>
    </x:row>
    <x:row r="5" ht="32" customHeight="1">
      <x:c r="A5" s="226" t="str">
        <x:v>Measure</x:v>
      </x:c>
      <x:c r="B5" s="242" t="str">
        <x:v>As of / FY ended 2025-12-31</x:v>
      </x:c>
      <x:c r="C5" s="242" t="str">
        <x:v>As of / TTM ended 2026-06-30</x:v>
      </x:c>
      <x:c r="D5" s="227" t="str">
        <x:v>Basis / limits</x:v>
      </x:c>
    </x:row>
    <x:row r="6" ht="45" customHeight="1">
      <x:c r="A6" s="234" t="str">
        <x:v>Cash and cash equivalents</x:v>
      </x:c>
      <x:c r="B6" s="243" t="n">
        <x:f>IF(ISNUMBER('Data'!B130),'Data'!B130,NA())</x:f>
        <x:v>7268000000</x:v>
      </x:c>
      <x:c r="C6" s="243" t="n">
        <x:f>'Debt and liquidity'!B6</x:f>
        <x:v>8950000000</x:v>
      </x:c>
      <x:c r="D6" s="229" t="str">
        <x:v>Cash and cash equivalents excluding restricted cash. Investments are not substituted.</x:v>
      </x:c>
    </x:row>
    <x:row r="7" ht="62" customHeight="1">
      <x:c r="A7" s="234" t="str">
        <x:v>Baseline gross debt</x:v>
      </x:c>
      <x:c r="B7" s="243" t="n">
        <x:f>IF(ISNUMBER('Data'!B133),'Data'!B133,NA())+IF(ISNUMBER('Data'!B134),'Data'!B134,NA())</x:f>
        <x:v>42503000000</x:v>
      </x:c>
      <x:c r="C7" s="243" t="n">
        <x:f>'Debt and liquidity'!B7</x:f>
        <x:v>54908000000</x:v>
      </x:c>
      <x:c r="D7" s="229" t="str">
        <x:v>Carrying borrowing; leases and commitments excluded. Latest column only: In this 10-Q, the Note 8 fair-value table's carrying amounts (commercial paper 5,284M plus long-term debt including current portion 49,624M) present the same 54,908M; they are not added.</x:v>
      </x:c>
    </x:row>
    <x:row r="8" ht="45" customHeight="1">
      <x:c r="A8" s="234" t="str">
        <x:v>Net debt</x:v>
      </x:c>
      <x:c r="B8" s="298" t="n">
        <x:f>B7-B6</x:f>
        <x:v>35235000000</x:v>
      </x:c>
      <x:c r="C8" s="243" t="n">
        <x:f>'Debt and liquidity'!B8</x:f>
        <x:v>45958000000</x:v>
      </x:c>
      <x:c r="D8" s="229" t="str">
        <x:v>Baseline borrowing less cash excluding restricted cash. Same date and filing. Negative net debt is retained.</x:v>
      </x:c>
    </x:row>
    <x:row r="9" ht="49" customHeight="1">
      <x:c r="A9" s="234" t="str">
        <x:v>Current ratio</x:v>
      </x:c>
      <x:c r="B9" s="273" t="n">
        <x:f>IF(IF(ISNUMBER('Data'!B132),'Data'!B132,NA())&gt;0,IF(ISNUMBER('Data'!B131),'Data'!B131,NA())/IF(ISNUMBER('Data'!B132),'Data'!B132,NA()),NA())</x:f>
        <x:v>1.5791132054047916</x:v>
      </x:c>
      <x:c r="C9" s="273" t="n">
        <x:f>'Debt and liquidity'!B9</x:f>
        <x:v>1.3546427598919168</x:v>
      </x:c>
      <x:c r="D9" s="229" t="str">
        <x:v>Total current assets / total current liabilities from one balance sheet. Liabilities include more than borrowing; assets include more than cash.</x:v>
      </x:c>
    </x:row>
    <x:row r="10" ht="49" customHeight="1">
      <x:c r="A10" s="234" t="str">
        <x:v>Operating cash flow</x:v>
      </x:c>
      <x:c r="B10" s="243" t="n">
        <x:f>IF(ISNUMBER('Data'!B135),'Data'!B135,NA())</x:f>
        <x:v>16813000000</x:v>
      </x:c>
      <x:c r="C10" s="243" t="n">
        <x:f>'Debt and liquidity'!B10</x:f>
        <x:v>28083000000</x:v>
      </x:c>
      <x:c r="D10" s="229" t="str">
        <x:v>Annual column: reported fiscal-year OCF. Latest column only: Reported historical OCF; recurrence is not established. Uses FY + current YTD - prior YTD.</x:v>
      </x:c>
    </x:row>
    <x:row r="11" ht="45" customHeight="1">
      <x:c r="A11" s="234" t="str">
        <x:v>Purchases of property and equipment</x:v>
      </x:c>
      <x:c r="B11" s="243" t="n">
        <x:f>IF(ISNUMBER('Data'!B136),'Data'!B136,NA())</x:f>
        <x:v>7841000000</x:v>
      </x:c>
      <x:c r="C11" s="243" t="n">
        <x:f>'Debt and liquidity'!B11</x:f>
        <x:v>9893000000</x:v>
      </x:c>
      <x:c r="D11" s="229" t="str">
        <x:v>Reported purchases of property and equipment; excludes acquisitions and other investing cash flows.</x:v>
      </x:c>
    </x:row>
    <x:row r="12" ht="45" customHeight="1">
      <x:c r="A12" s="234" t="str">
        <x:v>Free cash flow</x:v>
      </x:c>
      <x:c r="B12" s="298" t="n">
        <x:f>B10-B11</x:f>
        <x:v>8972000000</x:v>
      </x:c>
      <x:c r="C12" s="243" t="n">
        <x:f>'Debt and liquidity'!B12</x:f>
        <x:v>18190000000</x:v>
      </x:c>
      <x:c r="D12" s="229" t="str">
        <x:v>OCF less reported capital spending. Uses the spending basis above; excludes acquisitions, dividends and other cash uses.</x:v>
      </x:c>
    </x:row>
    <x:row r="13" ht="45" customHeight="1">
      <x:c r="A13" s="234" t="str">
        <x:v>Operating cash flow / debt</x:v>
      </x:c>
      <x:c r="B13" s="274" t="n">
        <x:f>IF(B7&gt;0,B10/B7,NA())</x:f>
        <x:v>0.3955720772651342</x:v>
      </x:c>
      <x:c r="C13" s="299" t="n">
        <x:f>'Debt and liquidity'!B13</x:f>
        <x:v>0.511455525606469</x:v>
      </x:c>
      <x:c r="D13" s="229" t="str">
        <x:v>Twelve-month flow / borrowing at each period end. Annual column uses FY; latest column uses TTM. Not repayment coverage.</x:v>
      </x:c>
    </x:row>
    <x:row r="14" ht="45" customHeight="1">
      <x:c r="A14" s="234" t="str">
        <x:v>Free cash flow / debt</x:v>
      </x:c>
      <x:c r="B14" s="274" t="n">
        <x:f>IF(B7&gt;0,B12/B7,NA())</x:f>
        <x:v>0.2110909818130485</x:v>
      </x:c>
      <x:c r="C14" s="299" t="n">
        <x:f>'Debt and liquidity'!B14</x:f>
        <x:v>0.33128141618707657</x:v>
      </x:c>
      <x:c r="D14" s="229" t="str">
        <x:v>Twelve-month flow / borrowing at each period end. Annual column uses FY; latest column uses TTM. Not repayment coverage.</x:v>
      </x:c>
    </x:row>
    <x:row r="15" ht="49" customHeight="1">
      <x:c r="A15" s="235" t="str">
        <x:v>Historical interest coverage</x:v>
      </x:c>
      <x:c r="B15" s="300" t="n">
        <x:f>IF(AND('Debt and liquidity'!B46&gt;0,'Debt and liquidity'!B44=0),'Debt and liquidity'!B40/'Debt and liquidity'!B46,NA())</x:f>
        <x:v>29.387709497206703</x:v>
      </x:c>
      <x:c r="C15" s="300" t="n">
        <x:f>'Debt and liquidity'!B15</x:f>
        <x:v>31.17052826691381</x:v>
      </x:c>
      <x:c r="D15" s="231" t="str">
        <x:v>Annual interest is reported net of capitalized interest; the later TTM includes interim expense whose capitalization basis is unstated. Amounts remain as reported.</x:v>
      </x:c>
    </x:row>
    <x:row r="16">
      <x:c r="A16" s="222"/>
      <x:c r="B16" s="241"/>
      <x:c r="C16" s="241"/>
      <x:c r="D16" s="223"/>
    </x:row>
    <x:row r="17" ht="70" customHeight="1">
      <x:c r="A17" s="238" t="str">
        <x:v>Period definitions</x:v>
      </x:c>
      <x:c r="B17" s="241"/>
      <x:c r="C17" s="241"/>
      <x:c r="D17" s="237" t="str">
        <x:v>Balance-sheet figures compare the stated dates. Flows and interest coverage compare a fiscal year with a later TTM: both span twelve months and overlap. No interim annualization, independent-period growth rate or future repayment coverage is inferred.</x:v>
      </x:c>
    </x:row>
    <x:row r="18">
      <x:c r="A18" s="238" t="str">
        <x:v>Fiscal-year flows</x:v>
      </x:c>
      <x:c r="B18" s="241"/>
      <x:c r="C18" s="241"/>
      <x:c r="D18" s="237" t="str">
        <x:v>2025-01-01 to 2025-12-31</x:v>
      </x:c>
    </x:row>
    <x:row r="19">
      <x:c r="A19" s="238" t="str">
        <x:v>Later TTM flows</x:v>
      </x:c>
      <x:c r="B19" s="241"/>
      <x:c r="C19" s="241"/>
      <x:c r="D19" s="237" t="str">
        <x:v>2025-07-01 to 2026-06-30</x:v>
      </x:c>
    </x:row>
  </x:sheetData>
  <x:pageMargins left="0.7" right="0.7" top="0.75" bottom="0.75" header="0.3" footer="0.3"/>
</x:worksheet>
</file>

<file path=xl/worksheets/sheet5.xml><?xml version="1.0" encoding="utf-8"?>
<x:worksheet xmlns:ns1="http://schemas.openxmlformats.org/officeDocument/2006/relationships" xmlns:x="http://schemas.openxmlformats.org/spreadsheetml/2006/main">
  <x:sheetViews>
    <x:sheetView showGridLines="0" workbookViewId="0"/>
  </x:sheetViews>
  <x:sheetFormatPr defaultRowHeight="15"/>
  <x:cols>
    <x:col min="1" max="1" width="34" hidden="0" customWidth="1"/>
    <x:col min="2" max="2" width="23" hidden="0" customWidth="1"/>
    <x:col min="3" max="3" width="23" hidden="0" customWidth="1"/>
    <x:col min="4" max="4" width="24" hidden="0" customWidth="1"/>
    <x:col min="5" max="5" width="3"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10" hidden="0" customWidth="1"/>
    <x:col min="15" max="15" width="10" hidden="0" customWidth="1"/>
  </x:cols>
  <x:sheetData>
    <x:row r="1" ht="35" customHeight="1">
      <x:c r="A1" s="222"/>
      <x:c r="B1" s="241"/>
      <x:c r="C1" s="241"/>
      <x:c r="D1" s="223"/>
      <x:c r="E1" s="301"/>
      <x:c r="F1" s="301"/>
      <x:c r="G1" s="301"/>
      <x:c r="H1" s="301"/>
      <x:c r="I1" s="301"/>
      <x:c r="J1" s="301"/>
      <x:c r="K1" s="301"/>
      <x:c r="L1" s="301"/>
      <x:c r="M1" s="301"/>
      <x:c r="N1" s="301"/>
      <x:c r="O1" s="301"/>
    </x:row>
    <x:row r="2" ht="35" customHeight="1">
      <x:c r="A2" s="224" t="str">
        <x:v>LLY — two chart questions</x:v>
      </x:c>
      <x:c r="B2" s="241"/>
      <x:c r="C2" s="241"/>
      <x:c r="D2" s="223"/>
      <x:c r="E2" s="301"/>
      <x:c r="F2" s="301"/>
      <x:c r="G2" s="301"/>
      <x:c r="H2" s="301"/>
      <x:c r="I2" s="301"/>
      <x:c r="J2" s="301"/>
      <x:c r="K2" s="301"/>
      <x:c r="L2" s="301"/>
      <x:c r="M2" s="301"/>
      <x:c r="N2" s="301"/>
      <x:c r="O2" s="301"/>
    </x:row>
    <x:row r="3" ht="35" customHeight="1">
      <x:c r="A3" s="225" t="str">
        <x:v>TTM 2025-07-01 to 2026-06-30. Values stored in USD, displayed in millions.</x:v>
      </x:c>
      <x:c r="B3" s="241"/>
      <x:c r="C3" s="241"/>
      <x:c r="D3" s="223"/>
      <x:c r="E3" s="301"/>
      <x:c r="F3" s="301"/>
      <x:c r="G3" s="301"/>
      <x:c r="H3" s="301"/>
      <x:c r="I3" s="301"/>
      <x:c r="J3" s="301"/>
      <x:c r="K3" s="301"/>
      <x:c r="L3" s="301"/>
      <x:c r="M3" s="301"/>
      <x:c r="N3" s="301"/>
      <x:c r="O3" s="301"/>
    </x:row>
    <x:row r="4" ht="35" customHeight="1">
      <x:c r="A4" s="222"/>
      <x:c r="B4" s="241"/>
      <x:c r="C4" s="241"/>
      <x:c r="D4" s="223"/>
      <x:c r="E4" s="301"/>
      <x:c r="F4" s="301"/>
      <x:c r="G4" s="301"/>
      <x:c r="H4" s="301"/>
      <x:c r="I4" s="301"/>
      <x:c r="J4" s="301"/>
      <x:c r="K4" s="301"/>
      <x:c r="L4" s="301"/>
      <x:c r="M4" s="301"/>
      <x:c r="N4" s="301"/>
      <x:c r="O4" s="301"/>
    </x:row>
    <x:row r="5" ht="35" customHeight="1">
      <x:c r="A5" s="226" t="str">
        <x:v>TTM measure</x:v>
      </x:c>
      <x:c r="B5" s="277" t="str">
        <x:v>USD millions</x:v>
      </x:c>
      <x:c r="C5" s="241"/>
      <x:c r="D5" s="223"/>
      <x:c r="E5" s="301"/>
      <x:c r="F5" s="301"/>
      <x:c r="G5" s="301"/>
      <x:c r="H5" s="301"/>
      <x:c r="I5" s="301"/>
      <x:c r="J5" s="301"/>
      <x:c r="K5" s="301"/>
      <x:c r="L5" s="301"/>
      <x:c r="M5" s="301"/>
      <x:c r="N5" s="301"/>
      <x:c r="O5" s="301"/>
    </x:row>
    <x:row r="6" ht="35" customHeight="1">
      <x:c r="A6" s="234" t="str">
        <x:v>Operating cash flow</x:v>
      </x:c>
      <x:c r="B6" s="302" t="n">
        <x:f>'Debt and liquidity'!B10</x:f>
        <x:v>28083000000</x:v>
      </x:c>
      <x:c r="C6" s="241"/>
      <x:c r="D6" s="223"/>
      <x:c r="E6" s="301"/>
      <x:c r="F6" s="301"/>
      <x:c r="G6" s="301"/>
      <x:c r="H6" s="301"/>
      <x:c r="I6" s="301"/>
      <x:c r="J6" s="301"/>
      <x:c r="K6" s="301"/>
      <x:c r="L6" s="301"/>
      <x:c r="M6" s="301"/>
      <x:c r="N6" s="301"/>
      <x:c r="O6" s="301"/>
    </x:row>
    <x:row r="7" ht="35" customHeight="1">
      <x:c r="A7" s="234" t="str">
        <x:v>Capital spending</x:v>
      </x:c>
      <x:c r="B7" s="302" t="n">
        <x:f>-'Debt and liquidity'!B11</x:f>
        <x:v>-9893000000</x:v>
      </x:c>
      <x:c r="C7" s="241"/>
      <x:c r="D7" s="223"/>
      <x:c r="E7" s="301"/>
      <x:c r="F7" s="301"/>
      <x:c r="G7" s="301"/>
      <x:c r="H7" s="301"/>
      <x:c r="I7" s="301"/>
      <x:c r="J7" s="301"/>
      <x:c r="K7" s="301"/>
      <x:c r="L7" s="301"/>
      <x:c r="M7" s="301"/>
      <x:c r="N7" s="301"/>
      <x:c r="O7" s="301"/>
    </x:row>
    <x:row r="8" ht="35" customHeight="1">
      <x:c r="A8" s="235" t="str">
        <x:v>Free cash flow</x:v>
      </x:c>
      <x:c r="B8" s="303" t="n">
        <x:f>'Debt and liquidity'!B12</x:f>
        <x:v>18190000000</x:v>
      </x:c>
      <x:c r="C8" s="241"/>
      <x:c r="D8" s="223"/>
      <x:c r="E8" s="301"/>
      <x:c r="F8" s="301"/>
      <x:c r="G8" s="301"/>
      <x:c r="H8" s="301"/>
      <x:c r="I8" s="301"/>
      <x:c r="J8" s="301"/>
      <x:c r="K8" s="301"/>
      <x:c r="L8" s="301"/>
      <x:c r="M8" s="301"/>
      <x:c r="N8" s="301"/>
      <x:c r="O8" s="301"/>
    </x:row>
    <x:row r="9" ht="35" customHeight="1">
      <x:c r="A9" s="222"/>
      <x:c r="B9" s="241"/>
      <x:c r="C9" s="241"/>
      <x:c r="D9" s="223"/>
      <x:c r="E9" s="301"/>
      <x:c r="F9" s="301"/>
      <x:c r="G9" s="301"/>
      <x:c r="H9" s="301"/>
      <x:c r="I9" s="301"/>
      <x:c r="J9" s="301"/>
      <x:c r="K9" s="301"/>
      <x:c r="L9" s="301"/>
      <x:c r="M9" s="301"/>
      <x:c r="N9" s="301"/>
      <x:c r="O9" s="301"/>
    </x:row>
    <x:row r="10" ht="80" customHeight="1">
      <x:c r="A10" s="238" t="str">
        <x:v>Calculation basis</x:v>
      </x:c>
      <x:c r="B10" s="241"/>
      <x:c r="C10" s="241"/>
      <x:c r="D10" s="237" t="str">
        <x:v>FCF = OCF − capital spending. FCF is a result, not an additional cash flow. Capital spending is shown negative.</x:v>
      </x:c>
      <x:c r="E10" s="301"/>
      <x:c r="F10" s="301"/>
      <x:c r="G10" s="301"/>
      <x:c r="H10" s="301"/>
      <x:c r="I10" s="301"/>
      <x:c r="J10" s="301"/>
      <x:c r="K10" s="301"/>
      <x:c r="L10" s="301"/>
      <x:c r="M10" s="301"/>
      <x:c r="N10" s="301"/>
      <x:c r="O10" s="301"/>
    </x:row>
    <x:row r="11" ht="35" customHeight="1">
      <x:c r="A11" s="222"/>
      <x:c r="B11" s="241"/>
      <x:c r="C11" s="241"/>
      <x:c r="D11" s="223"/>
      <x:c r="E11" s="301"/>
      <x:c r="F11" s="301"/>
      <x:c r="G11" s="301"/>
      <x:c r="H11" s="301"/>
      <x:c r="I11" s="301"/>
      <x:c r="J11" s="301"/>
      <x:c r="K11" s="301"/>
      <x:c r="L11" s="301"/>
      <x:c r="M11" s="301"/>
      <x:c r="N11" s="301"/>
      <x:c r="O11" s="301"/>
    </x:row>
    <x:row r="12" ht="35" customHeight="1">
      <x:c r="A12" s="222"/>
      <x:c r="B12" s="241"/>
      <x:c r="C12" s="241"/>
      <x:c r="D12" s="223"/>
      <x:c r="E12" s="301"/>
      <x:c r="F12" s="301"/>
      <x:c r="G12" s="301"/>
      <x:c r="H12" s="301"/>
      <x:c r="I12" s="301"/>
      <x:c r="J12" s="301"/>
      <x:c r="K12" s="301"/>
      <x:c r="L12" s="301"/>
      <x:c r="M12" s="301"/>
      <x:c r="N12" s="301"/>
      <x:c r="O12" s="301"/>
    </x:row>
    <x:row r="13" ht="35" customHeight="1">
      <x:c r="A13" s="222"/>
      <x:c r="B13" s="241"/>
      <x:c r="C13" s="241"/>
      <x:c r="D13" s="223"/>
      <x:c r="E13" s="301"/>
      <x:c r="F13" s="301"/>
      <x:c r="G13" s="301"/>
      <x:c r="H13" s="301"/>
      <x:c r="I13" s="301"/>
      <x:c r="J13" s="301"/>
      <x:c r="K13" s="301"/>
      <x:c r="L13" s="301"/>
      <x:c r="M13" s="301"/>
      <x:c r="N13" s="301"/>
      <x:c r="O13" s="301"/>
    </x:row>
    <x:row r="14" ht="35" customHeight="1">
      <x:c r="A14" s="222"/>
      <x:c r="B14" s="241"/>
      <x:c r="C14" s="241"/>
      <x:c r="D14" s="223"/>
      <x:c r="E14" s="301"/>
      <x:c r="F14" s="301"/>
      <x:c r="G14" s="301"/>
      <x:c r="H14" s="301"/>
      <x:c r="I14" s="301"/>
      <x:c r="J14" s="301"/>
      <x:c r="K14" s="301"/>
      <x:c r="L14" s="301"/>
      <x:c r="M14" s="301"/>
      <x:c r="N14" s="301"/>
      <x:c r="O14" s="301"/>
    </x:row>
    <x:row r="15" ht="35" customHeight="1">
      <x:c r="A15" s="222"/>
      <x:c r="B15" s="241"/>
      <x:c r="C15" s="241"/>
      <x:c r="D15" s="223"/>
      <x:c r="E15" s="301"/>
      <x:c r="F15" s="301"/>
      <x:c r="G15" s="301"/>
      <x:c r="H15" s="301"/>
      <x:c r="I15" s="301"/>
      <x:c r="J15" s="301"/>
      <x:c r="K15" s="301"/>
      <x:c r="L15" s="301"/>
      <x:c r="M15" s="301"/>
      <x:c r="N15" s="301"/>
      <x:c r="O15" s="301"/>
    </x:row>
    <x:row r="16" ht="35" customHeight="1">
      <x:c r="A16" s="222"/>
      <x:c r="B16" s="241"/>
      <x:c r="C16" s="241"/>
      <x:c r="D16" s="223"/>
      <x:c r="E16" s="301"/>
      <x:c r="F16" s="301"/>
      <x:c r="G16" s="301"/>
      <x:c r="H16" s="301"/>
      <x:c r="I16" s="301"/>
      <x:c r="J16" s="301"/>
      <x:c r="K16" s="301"/>
      <x:c r="L16" s="301"/>
      <x:c r="M16" s="301"/>
      <x:c r="N16" s="301"/>
      <x:c r="O16" s="301"/>
    </x:row>
    <x:row r="17" ht="35" customHeight="1">
      <x:c r="A17" s="222"/>
      <x:c r="B17" s="241"/>
      <x:c r="C17" s="241"/>
      <x:c r="D17" s="223"/>
      <x:c r="E17" s="301"/>
      <x:c r="F17" s="301"/>
      <x:c r="G17" s="301"/>
      <x:c r="H17" s="301"/>
      <x:c r="I17" s="301"/>
      <x:c r="J17" s="301"/>
      <x:c r="K17" s="301"/>
      <x:c r="L17" s="301"/>
      <x:c r="M17" s="301"/>
      <x:c r="N17" s="301"/>
      <x:c r="O17" s="301"/>
    </x:row>
    <x:row r="18" ht="35" customHeight="1">
      <x:c r="A18" s="222"/>
      <x:c r="B18" s="241"/>
      <x:c r="C18" s="241"/>
      <x:c r="D18" s="223"/>
      <x:c r="E18" s="301"/>
      <x:c r="F18" s="301"/>
      <x:c r="G18" s="301"/>
      <x:c r="H18" s="301"/>
      <x:c r="I18" s="301"/>
      <x:c r="J18" s="301"/>
      <x:c r="K18" s="301"/>
      <x:c r="L18" s="301"/>
      <x:c r="M18" s="301"/>
      <x:c r="N18" s="301"/>
      <x:c r="O18" s="301"/>
    </x:row>
    <x:row r="19" ht="35" customHeight="1">
      <x:c r="A19" s="222"/>
      <x:c r="B19" s="241"/>
      <x:c r="C19" s="241"/>
      <x:c r="D19" s="223"/>
      <x:c r="E19" s="301"/>
      <x:c r="F19" s="301"/>
      <x:c r="G19" s="301"/>
      <x:c r="H19" s="301"/>
      <x:c r="I19" s="301"/>
      <x:c r="J19" s="301"/>
      <x:c r="K19" s="301"/>
      <x:c r="L19" s="301"/>
      <x:c r="M19" s="301"/>
      <x:c r="N19" s="301"/>
      <x:c r="O19" s="301"/>
    </x:row>
    <x:row r="20" ht="35" customHeight="1">
      <x:c r="A20" s="222"/>
      <x:c r="B20" s="241"/>
      <x:c r="C20" s="241"/>
      <x:c r="D20" s="223"/>
      <x:c r="E20" s="301"/>
      <x:c r="F20" s="301"/>
      <x:c r="G20" s="301"/>
      <x:c r="H20" s="301"/>
      <x:c r="I20" s="301"/>
      <x:c r="J20" s="301"/>
      <x:c r="K20" s="301"/>
      <x:c r="L20" s="301"/>
      <x:c r="M20" s="301"/>
      <x:c r="N20" s="301"/>
      <x:c r="O20" s="301"/>
    </x:row>
    <x:row r="21" ht="35" customHeight="1">
      <x:c r="A21" s="222"/>
      <x:c r="B21" s="241"/>
      <x:c r="C21" s="241"/>
      <x:c r="D21" s="223"/>
      <x:c r="E21" s="301"/>
      <x:c r="F21" s="301"/>
      <x:c r="G21" s="301"/>
      <x:c r="H21" s="301"/>
      <x:c r="I21" s="301"/>
      <x:c r="J21" s="301"/>
      <x:c r="K21" s="301"/>
      <x:c r="L21" s="301"/>
      <x:c r="M21" s="301"/>
      <x:c r="N21" s="301"/>
      <x:c r="O21" s="301"/>
    </x:row>
    <x:row r="22" ht="35" customHeight="1">
      <x:c r="A22" s="222"/>
      <x:c r="B22" s="241"/>
      <x:c r="C22" s="241"/>
      <x:c r="D22" s="223"/>
      <x:c r="E22" s="301"/>
      <x:c r="F22" s="301"/>
      <x:c r="G22" s="301"/>
      <x:c r="H22" s="301"/>
      <x:c r="I22" s="301"/>
      <x:c r="J22" s="301"/>
      <x:c r="K22" s="301"/>
      <x:c r="L22" s="301"/>
      <x:c r="M22" s="301"/>
      <x:c r="N22" s="301"/>
      <x:c r="O22" s="301"/>
    </x:row>
    <x:row r="23" ht="35" customHeight="1">
      <x:c r="A23" s="222"/>
      <x:c r="B23" s="241"/>
      <x:c r="C23" s="241"/>
      <x:c r="D23" s="223"/>
      <x:c r="E23" s="301"/>
      <x:c r="F23" s="301"/>
      <x:c r="G23" s="301"/>
      <x:c r="H23" s="301"/>
      <x:c r="I23" s="301"/>
      <x:c r="J23" s="301"/>
      <x:c r="K23" s="301"/>
      <x:c r="L23" s="301"/>
      <x:c r="M23" s="301"/>
      <x:c r="N23" s="301"/>
      <x:c r="O23" s="301"/>
    </x:row>
    <x:row r="24" ht="35" customHeight="1">
      <x:c r="A24" s="226" t="str">
        <x:v>Balance-sheet date</x:v>
      </x:c>
      <x:c r="B24" s="242" t="str">
        <x:v>Cash and equivalents</x:v>
      </x:c>
      <x:c r="C24" s="277" t="str">
        <x:v>Baseline borrowing</x:v>
      </x:c>
      <x:c r="D24" s="223"/>
      <x:c r="E24" s="301"/>
      <x:c r="F24" s="301"/>
      <x:c r="G24" s="301"/>
      <x:c r="H24" s="301"/>
      <x:c r="I24" s="301"/>
      <x:c r="J24" s="301"/>
      <x:c r="K24" s="301"/>
      <x:c r="L24" s="301"/>
      <x:c r="M24" s="301"/>
      <x:c r="N24" s="301"/>
      <x:c r="O24" s="301"/>
    </x:row>
    <x:row r="25" ht="35" customHeight="1">
      <x:c r="A25" s="234" t="str">
        <x:v>2025-12-31</x:v>
      </x:c>
      <x:c r="B25" s="243" t="n">
        <x:f>'History'!B6</x:f>
        <x:v>7268000000</x:v>
      </x:c>
      <x:c r="C25" s="302" t="n">
        <x:f>'History'!B7</x:f>
        <x:v>42503000000</x:v>
      </x:c>
      <x:c r="D25" s="223"/>
      <x:c r="E25" s="301"/>
      <x:c r="F25" s="301"/>
      <x:c r="G25" s="301"/>
      <x:c r="H25" s="301"/>
      <x:c r="I25" s="301"/>
      <x:c r="J25" s="301"/>
      <x:c r="K25" s="301"/>
      <x:c r="L25" s="301"/>
      <x:c r="M25" s="301"/>
      <x:c r="N25" s="301"/>
      <x:c r="O25" s="301"/>
    </x:row>
    <x:row r="26" ht="35" customHeight="1">
      <x:c r="A26" s="235" t="str">
        <x:v>2026-06-30</x:v>
      </x:c>
      <x:c r="B26" s="304" t="n">
        <x:f>'History'!C6</x:f>
        <x:v>8950000000</x:v>
      </x:c>
      <x:c r="C26" s="303" t="n">
        <x:f>'History'!C7</x:f>
        <x:v>54908000000</x:v>
      </x:c>
      <x:c r="D26" s="223"/>
      <x:c r="E26" s="301"/>
      <x:c r="F26" s="301"/>
      <x:c r="G26" s="301"/>
      <x:c r="H26" s="301"/>
      <x:c r="I26" s="301"/>
      <x:c r="J26" s="301"/>
      <x:c r="K26" s="301"/>
      <x:c r="L26" s="301"/>
      <x:c r="M26" s="301"/>
      <x:c r="N26" s="301"/>
      <x:c r="O26" s="301"/>
    </x:row>
    <x:row r="27" ht="35" customHeight="1">
      <x:c r="A27" s="222"/>
      <x:c r="B27" s="241"/>
      <x:c r="C27" s="241"/>
      <x:c r="D27" s="223"/>
      <x:c r="E27" s="301"/>
      <x:c r="F27" s="301"/>
      <x:c r="G27" s="301"/>
      <x:c r="H27" s="301"/>
      <x:c r="I27" s="301"/>
      <x:c r="J27" s="301"/>
      <x:c r="K27" s="301"/>
      <x:c r="L27" s="301"/>
      <x:c r="M27" s="301"/>
      <x:c r="N27" s="301"/>
      <x:c r="O27" s="301"/>
    </x:row>
    <x:row r="28" ht="35" customHeight="1">
      <x:c r="A28" s="222"/>
      <x:c r="B28" s="241"/>
      <x:c r="C28" s="241"/>
      <x:c r="D28" s="223"/>
      <x:c r="E28" s="301"/>
      <x:c r="F28" s="301"/>
      <x:c r="G28" s="301"/>
      <x:c r="H28" s="301"/>
      <x:c r="I28" s="301"/>
      <x:c r="J28" s="301"/>
      <x:c r="K28" s="301"/>
      <x:c r="L28" s="301"/>
      <x:c r="M28" s="301"/>
      <x:c r="N28" s="301"/>
      <x:c r="O28" s="301"/>
    </x:row>
    <x:row r="29" ht="95" customHeight="1">
      <x:c r="A29" s="238" t="str">
        <x:v>Scope / missing history</x:v>
      </x:c>
      <x:c r="B29" s="241"/>
      <x:c r="C29" s="241"/>
      <x:c r="D29" s="237" t="str">
        <x:v>Baseline borrowing excludes leases; cash excludes restricted cash and investments. These balances do not establish repayment coverage.</x:v>
      </x:c>
      <x:c r="E29" s="301"/>
      <x:c r="F29" s="301"/>
      <x:c r="G29" s="301"/>
      <x:c r="H29" s="301"/>
      <x:c r="I29" s="301"/>
      <x:c r="J29" s="301"/>
      <x:c r="K29" s="301"/>
      <x:c r="L29" s="301"/>
      <x:c r="M29" s="301"/>
      <x:c r="N29" s="301"/>
      <x:c r="O29" s="301"/>
    </x:row>
    <x:row r="30" ht="35" customHeight="1">
      <x:c r="A30" s="222"/>
      <x:c r="B30" s="241"/>
      <x:c r="C30" s="241"/>
      <x:c r="D30" s="223"/>
      <x:c r="E30" s="301"/>
      <x:c r="F30" s="301"/>
      <x:c r="G30" s="301"/>
      <x:c r="H30" s="301"/>
      <x:c r="I30" s="301"/>
      <x:c r="J30" s="301"/>
      <x:c r="K30" s="301"/>
      <x:c r="L30" s="301"/>
      <x:c r="M30" s="301"/>
      <x:c r="N30" s="301"/>
      <x:c r="O30" s="301"/>
    </x:row>
    <x:row r="31" ht="35" customHeight="1">
      <x:c r="A31" s="222"/>
      <x:c r="B31" s="241"/>
      <x:c r="C31" s="241"/>
      <x:c r="D31" s="223"/>
      <x:c r="E31" s="301"/>
      <x:c r="F31" s="301"/>
      <x:c r="G31" s="301"/>
      <x:c r="H31" s="301"/>
      <x:c r="I31" s="301"/>
      <x:c r="J31" s="301"/>
      <x:c r="K31" s="301"/>
      <x:c r="L31" s="301"/>
      <x:c r="M31" s="301"/>
      <x:c r="N31" s="301"/>
      <x:c r="O31" s="301"/>
    </x:row>
    <x:row r="32" ht="35" customHeight="1">
      <x:c r="A32" s="222"/>
      <x:c r="B32" s="241"/>
      <x:c r="C32" s="241"/>
      <x:c r="D32" s="223"/>
      <x:c r="E32" s="301"/>
      <x:c r="F32" s="301"/>
      <x:c r="G32" s="301"/>
      <x:c r="H32" s="301"/>
      <x:c r="I32" s="301"/>
      <x:c r="J32" s="301"/>
      <x:c r="K32" s="301"/>
      <x:c r="L32" s="301"/>
      <x:c r="M32" s="301"/>
      <x:c r="N32" s="301"/>
      <x:c r="O32" s="301"/>
    </x:row>
    <x:row r="33" ht="35" customHeight="1">
      <x:c r="A33" s="222"/>
      <x:c r="B33" s="241"/>
      <x:c r="C33" s="241"/>
      <x:c r="D33" s="223"/>
      <x:c r="E33" s="301"/>
      <x:c r="F33" s="301"/>
      <x:c r="G33" s="301"/>
      <x:c r="H33" s="301"/>
      <x:c r="I33" s="301"/>
      <x:c r="J33" s="301"/>
      <x:c r="K33" s="301"/>
      <x:c r="L33" s="301"/>
      <x:c r="M33" s="301"/>
      <x:c r="N33" s="301"/>
      <x:c r="O33" s="301"/>
    </x:row>
    <x:row r="34" ht="35" customHeight="1">
      <x:c r="A34" s="222"/>
      <x:c r="B34" s="241"/>
      <x:c r="C34" s="241"/>
      <x:c r="D34" s="223"/>
      <x:c r="E34" s="301"/>
      <x:c r="F34" s="301"/>
      <x:c r="G34" s="301"/>
      <x:c r="H34" s="301"/>
      <x:c r="I34" s="301"/>
      <x:c r="J34" s="301"/>
      <x:c r="K34" s="301"/>
      <x:c r="L34" s="301"/>
      <x:c r="M34" s="301"/>
      <x:c r="N34" s="301"/>
      <x:c r="O34" s="301"/>
    </x:row>
    <x:row r="35" ht="35" customHeight="1">
      <x:c r="A35" s="222"/>
      <x:c r="B35" s="241"/>
      <x:c r="C35" s="241"/>
      <x:c r="D35" s="223"/>
      <x:c r="E35" s="301"/>
      <x:c r="F35" s="301"/>
      <x:c r="G35" s="301"/>
      <x:c r="H35" s="301"/>
      <x:c r="I35" s="301"/>
      <x:c r="J35" s="301"/>
      <x:c r="K35" s="301"/>
      <x:c r="L35" s="301"/>
      <x:c r="M35" s="301"/>
      <x:c r="N35" s="301"/>
      <x:c r="O35" s="301"/>
    </x:row>
    <x:row r="36" ht="35" customHeight="1">
      <x:c r="A36" s="222"/>
      <x:c r="B36" s="241"/>
      <x:c r="C36" s="241"/>
      <x:c r="D36" s="223"/>
      <x:c r="E36" s="301"/>
      <x:c r="F36" s="301"/>
      <x:c r="G36" s="301"/>
      <x:c r="H36" s="301"/>
      <x:c r="I36" s="301"/>
      <x:c r="J36" s="301"/>
      <x:c r="K36" s="301"/>
      <x:c r="L36" s="301"/>
      <x:c r="M36" s="301"/>
      <x:c r="N36" s="301"/>
      <x:c r="O36" s="301"/>
    </x:row>
    <x:row r="37" ht="35" customHeight="1">
      <x:c r="A37" s="222"/>
      <x:c r="B37" s="241"/>
      <x:c r="C37" s="241"/>
      <x:c r="D37" s="223"/>
      <x:c r="E37" s="301"/>
      <x:c r="F37" s="301"/>
      <x:c r="G37" s="301"/>
      <x:c r="H37" s="301"/>
      <x:c r="I37" s="301"/>
      <x:c r="J37" s="301"/>
      <x:c r="K37" s="301"/>
      <x:c r="L37" s="301"/>
      <x:c r="M37" s="301"/>
      <x:c r="N37" s="301"/>
      <x:c r="O37" s="301"/>
    </x:row>
    <x:row r="38" ht="35" customHeight="1">
      <x:c r="A38" s="222"/>
      <x:c r="B38" s="241"/>
      <x:c r="C38" s="241"/>
      <x:c r="D38" s="223"/>
      <x:c r="E38" s="301"/>
      <x:c r="F38" s="301"/>
      <x:c r="G38" s="301"/>
      <x:c r="H38" s="301"/>
      <x:c r="I38" s="301"/>
      <x:c r="J38" s="301"/>
      <x:c r="K38" s="301"/>
      <x:c r="L38" s="301"/>
      <x:c r="M38" s="301"/>
      <x:c r="N38" s="301"/>
      <x:c r="O38" s="301"/>
    </x:row>
    <x:row r="39" ht="35" customHeight="1">
      <x:c r="A39" s="222"/>
      <x:c r="B39" s="241"/>
      <x:c r="C39" s="241"/>
      <x:c r="D39" s="223"/>
      <x:c r="E39" s="301"/>
      <x:c r="F39" s="301"/>
      <x:c r="G39" s="301"/>
      <x:c r="H39" s="301"/>
      <x:c r="I39" s="301"/>
      <x:c r="J39" s="301"/>
      <x:c r="K39" s="301"/>
      <x:c r="L39" s="301"/>
      <x:c r="M39" s="301"/>
      <x:c r="N39" s="301"/>
      <x:c r="O39" s="301"/>
    </x:row>
    <x:row r="40" ht="35" customHeight="1">
      <x:c r="A40" s="222"/>
      <x:c r="B40" s="241"/>
      <x:c r="C40" s="241"/>
      <x:c r="D40" s="223"/>
      <x:c r="E40" s="301"/>
      <x:c r="F40" s="301"/>
      <x:c r="G40" s="301"/>
      <x:c r="H40" s="301"/>
      <x:c r="I40" s="301"/>
      <x:c r="J40" s="301"/>
      <x:c r="K40" s="301"/>
      <x:c r="L40" s="301"/>
      <x:c r="M40" s="301"/>
      <x:c r="N40" s="301"/>
      <x:c r="O40" s="301"/>
    </x:row>
    <x:row r="41" ht="65" customHeight="1">
      <x:c r="A41" s="238" t="str">
        <x:v>Evidence trail</x:v>
      </x:c>
      <x:c r="B41" s="241"/>
      <x:c r="C41" s="241"/>
      <x:c r="D41" s="237" t="str">
        <x:v>Chart values link to Debt and liquidity and History. Data retains the exact input periods, tags, accessions and source URLs.</x:v>
      </x:c>
      <x:c r="E41" s="301"/>
      <x:c r="F41" s="301"/>
      <x:c r="G41" s="301"/>
      <x:c r="H41" s="301"/>
      <x:c r="I41" s="301"/>
      <x:c r="J41" s="301"/>
      <x:c r="K41" s="301"/>
      <x:c r="L41" s="301"/>
      <x:c r="M41" s="301"/>
      <x:c r="N41" s="301"/>
      <x:c r="O41" s="301"/>
    </x:row>
    <x:row r="42" ht="35" customHeight="1">
      <x:c r="A42" s="222"/>
      <x:c r="B42" s="241"/>
      <x:c r="C42" s="241"/>
      <x:c r="D42" s="223"/>
      <x:c r="E42" s="301"/>
      <x:c r="F42" s="301"/>
      <x:c r="G42" s="301"/>
      <x:c r="H42" s="301"/>
      <x:c r="I42" s="301"/>
      <x:c r="J42" s="301"/>
      <x:c r="K42" s="301"/>
      <x:c r="L42" s="301"/>
      <x:c r="M42" s="301"/>
      <x:c r="N42" s="301"/>
      <x:c r="O42" s="301"/>
    </x:row>
    <x:row r="43" ht="35" customHeight="1">
      <x:c r="A43" s="222"/>
      <x:c r="B43" s="241"/>
      <x:c r="C43" s="241"/>
      <x:c r="D43" s="223"/>
      <x:c r="E43" s="301"/>
      <x:c r="F43" s="301"/>
      <x:c r="G43" s="301"/>
      <x:c r="H43" s="301"/>
      <x:c r="I43" s="301"/>
      <x:c r="J43" s="301"/>
      <x:c r="K43" s="301"/>
      <x:c r="L43" s="301"/>
      <x:c r="M43" s="301"/>
      <x:c r="N43" s="301"/>
      <x:c r="O43" s="301"/>
    </x:row>
  </x:sheetData>
  <x:pageMargins left="0.7" right="0.7" top="0.75" bottom="0.75" header="0.3" footer="0.3"/>
  <x:drawing ns1:id="Ra3cb24b69ae24fc0"/>
</x:worksheet>
</file>

<file path=xl/worksheets/sheet6.xml><?xml version="1.0" encoding="utf-8"?>
<x:worksheet xmlns:ns1="http://schemas.openxmlformats.org/officeDocument/2006/relationships" xmlns:x="http://schemas.openxmlformats.org/spreadsheetml/2006/main">
  <x:sheetViews>
    <x:sheetView showGridLines="0" workbookViewId="0">
      <x:pane ySplit="6" topLeftCell="A7" activePane="bottomLeft" state="frozen"/>
    </x:sheetView>
  </x:sheetViews>
  <x:sheetFormatPr defaultRowHeight="15"/>
  <x:cols>
    <x:col min="1" max="1" width="46" hidden="0" customWidth="1"/>
    <x:col min="2" max="2" width="23" hidden="0" customWidth="1"/>
    <x:col min="3" max="3" width="34" hidden="0" customWidth="1"/>
    <x:col min="4" max="4" width="99" hidden="0" customWidth="1"/>
    <x:col min="5" max="5" width="3"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s>
  <x:sheetData>
    <x:row r="2" ht="30" customHeight="1">
      <x:c r="A2" s="269" t="str">
        <x:v>Lilly — dated liquidity and repayment review</x:v>
      </x:c>
      <x:c r="B2" s="241"/>
      <x:c r="C2" s="241"/>
      <x:c r="D2" s="241"/>
      <x:c r="E2" s="241"/>
      <x:c r="F2" s="241"/>
      <x:c r="G2" s="223"/>
    </x:row>
    <x:row r="3" ht="30" customHeight="1">
      <x:c r="A3" s="225" t="str">
        <x:v>Saved filings reviewed October 15, 2026. Cash flows: January–June 2026. USD millions.</x:v>
      </x:c>
      <x:c r="B3" s="241"/>
      <x:c r="C3" s="241"/>
      <x:c r="D3" s="241"/>
      <x:c r="E3" s="241"/>
      <x:c r="F3" s="241"/>
      <x:c r="G3" s="223"/>
    </x:row>
    <x:row r="4" ht="43" customHeight="1">
      <x:c r="A4" s="238" t="str">
        <x:v>H1 cash generation after PP&amp;E was positive; acquisitions and payouts competed for it. Net borrowing contributed to cash growth. Future funding coverage: Unavailable.</x:v>
      </x:c>
      <x:c r="B4" s="241"/>
      <x:c r="C4" s="241"/>
      <x:c r="D4" s="241"/>
      <x:c r="E4" s="241"/>
      <x:c r="F4" s="241"/>
      <x:c r="G4" s="223"/>
    </x:row>
    <x:row r="5" ht="30" customHeight="1">
      <x:c r="A5" s="222"/>
      <x:c r="B5" s="241"/>
      <x:c r="C5" s="241"/>
      <x:c r="D5" s="241"/>
      <x:c r="E5" s="241"/>
      <x:c r="F5" s="241"/>
      <x:c r="G5" s="223"/>
    </x:row>
    <x:row r="6" ht="30" customHeight="1">
      <x:c r="A6" s="226" t="str">
        <x:v>Half-year cash build</x:v>
      </x:c>
      <x:c r="B6" s="242" t="str">
        <x:v>USD millions</x:v>
      </x:c>
      <x:c r="C6" s="242" t="str">
        <x:v>Period / basis</x:v>
      </x:c>
      <x:c r="D6" s="277" t="str">
        <x:v>Interpretation</x:v>
      </x:c>
      <x:c r="E6" s="241"/>
      <x:c r="F6" s="241"/>
      <x:c r="G6" s="223"/>
    </x:row>
    <x:row r="7" ht="43" customHeight="1">
      <x:c r="A7" s="234" t="str">
        <x:v>Opening cash</x:v>
      </x:c>
      <x:c r="B7" s="243" t="n">
        <x:f>IF(ISNUMBER('Data'!B37),'Data'!B37,NA())</x:f>
        <x:v>7268000000</x:v>
      </x:c>
      <x:c r="C7" s="245" t="str">
        <x:v>December 31, 2025</x:v>
      </x:c>
      <x:c r="D7" s="305" t="str">
        <x:v>Excludes restricted cash. Not an additional half-year flow.</x:v>
      </x:c>
      <x:c r="E7" s="241"/>
      <x:c r="F7" s="241"/>
      <x:c r="G7" s="223"/>
    </x:row>
    <x:row r="8" ht="43" customHeight="1">
      <x:c r="A8" s="234" t="str">
        <x:v>Operating cash flow</x:v>
      </x:c>
      <x:c r="B8" s="243" t="n">
        <x:f>IF(ISNUMBER('Data'!B21),'Data'!B21,NA())</x:f>
        <x:v>16023000000</x:v>
      </x:c>
      <x:c r="C8" s="245" t="str">
        <x:v>January–June 2026</x:v>
      </x:c>
      <x:c r="D8" s="305" t="str">
        <x:v>Historical; includes working capital. Future recurrence not established.</x:v>
      </x:c>
      <x:c r="E8" s="241"/>
      <x:c r="F8" s="241"/>
      <x:c r="G8" s="223"/>
    </x:row>
    <x:row r="9" ht="43" customHeight="1">
      <x:c r="A9" s="234" t="str">
        <x:v>Cash PP&amp;E spending</x:v>
      </x:c>
      <x:c r="B9" s="243" t="n">
        <x:f>-IF(ISNUMBER('Data'!B22),'Data'!B22,NA())</x:f>
        <x:v>-5259000000</x:v>
      </x:c>
      <x:c r="C9" s="245" t="str">
        <x:v>January–June 2026</x:v>
      </x:c>
      <x:c r="D9" s="305" t="str">
        <x:v>Cash use, not a forecast of manufacturing investment.</x:v>
      </x:c>
      <x:c r="E9" s="241"/>
      <x:c r="F9" s="241"/>
      <x:c r="G9" s="223"/>
    </x:row>
    <x:row r="10" ht="43" customHeight="1">
      <x:c r="A10" s="234" t="str">
        <x:v>Cash acquisitions, net of cash acquired</x:v>
      </x:c>
      <x:c r="B10" s="243" t="n">
        <x:f>-IF(ISNUMBER('Data'!B25),'Data'!B25,NA())</x:f>
        <x:v>-9805000000</x:v>
      </x:c>
      <x:c r="C10" s="245" t="str">
        <x:v>January–June 2026</x:v>
      </x:c>
      <x:c r="D10" s="305" t="str">
        <x:v>Not added again to the approximately $13.3B business-development disclosure.</x:v>
      </x:c>
      <x:c r="E10" s="241"/>
      <x:c r="F10" s="241"/>
      <x:c r="G10" s="223"/>
    </x:row>
    <x:row r="11" ht="43" customHeight="1">
      <x:c r="A11" s="234" t="str">
        <x:v>Purchased in-process R&amp;D</x:v>
      </x:c>
      <x:c r="B11" s="243" t="n">
        <x:f>-IF(ISNUMBER('Data'!B24),'Data'!B24,NA())</x:f>
        <x:v>-3486000000</x:v>
      </x:c>
      <x:c r="C11" s="245" t="str">
        <x:v>January–June 2026</x:v>
      </x:c>
      <x:c r="D11" s="305" t="str">
        <x:v>Separate cash use; not all acquisition-related expense is cash.</x:v>
      </x:c>
      <x:c r="E11" s="241"/>
      <x:c r="F11" s="241"/>
      <x:c r="G11" s="223"/>
    </x:row>
    <x:row r="12" ht="43" customHeight="1">
      <x:c r="A12" s="234" t="str">
        <x:v>Cash dividends</x:v>
      </x:c>
      <x:c r="B12" s="243" t="n">
        <x:f>-IF(ISNUMBER('Data'!B28),'Data'!B28,NA())</x:f>
        <x:v>-3094000000</x:v>
      </x:c>
      <x:c r="C12" s="245" t="str">
        <x:v>January–June 2026</x:v>
      </x:c>
      <x:c r="D12" s="305" t="str">
        <x:v>Competes with repayments for cash.</x:v>
      </x:c>
      <x:c r="E12" s="241"/>
      <x:c r="F12" s="241"/>
      <x:c r="G12" s="223"/>
    </x:row>
    <x:row r="13" ht="43" customHeight="1">
      <x:c r="A13" s="234" t="str">
        <x:v>Share repurchases</x:v>
      </x:c>
      <x:c r="B13" s="243" t="n">
        <x:f>-IF(ISNUMBER('Data'!B32),'Data'!B32,NA())</x:f>
        <x:v>-3957000000</x:v>
      </x:c>
      <x:c r="C13" s="245" t="str">
        <x:v>January–June 2026</x:v>
      </x:c>
      <x:c r="D13" s="305" t="str">
        <x:v>Historical spending; no future pace assumed.</x:v>
      </x:c>
      <x:c r="E13" s="241"/>
      <x:c r="F13" s="241"/>
      <x:c r="G13" s="223"/>
    </x:row>
    <x:row r="14" ht="43" customHeight="1">
      <x:c r="A14" s="234" t="str">
        <x:v>Short-term borrowing, net</x:v>
      </x:c>
      <x:c r="B14" s="243" t="n">
        <x:f>IF(ISNUMBER('Data'!B29),'Data'!B29,NA())</x:f>
        <x:v>5284000000</x:v>
      </x:c>
      <x:c r="C14" s="245" t="str">
        <x:v>January–June 2026</x:v>
      </x:c>
      <x:c r="D14" s="305" t="str">
        <x:v>Financing inflow, not recurring operating generation.</x:v>
      </x:c>
      <x:c r="E14" s="241"/>
      <x:c r="F14" s="241"/>
      <x:c r="G14" s="223"/>
    </x:row>
    <x:row r="15" ht="43" customHeight="1">
      <x:c r="A15" s="234" t="str">
        <x:v>Long-term debt proceeds, net</x:v>
      </x:c>
      <x:c r="B15" s="243" t="n">
        <x:f>IF(ISNUMBER('Data'!B30),'Data'!B30,NA())</x:f>
        <x:v>8941000000</x:v>
      </x:c>
      <x:c r="C15" s="245" t="str">
        <x:v>January–June 2026</x:v>
      </x:c>
      <x:c r="D15" s="305" t="str">
        <x:v>May $9B issue is already included here; net cash differs from face amount.</x:v>
      </x:c>
      <x:c r="E15" s="241"/>
      <x:c r="F15" s="241"/>
      <x:c r="G15" s="223"/>
    </x:row>
    <x:row r="16" ht="43" customHeight="1">
      <x:c r="A16" s="234" t="str">
        <x:v>Long-term debt repaid</x:v>
      </x:c>
      <x:c r="B16" s="243" t="n">
        <x:f>-IF(ISNUMBER('Data'!B31),'Data'!B31,NA())</x:f>
        <x:v>-1623000000</x:v>
      </x:c>
      <x:c r="C16" s="245" t="str">
        <x:v>January–June 2026</x:v>
      </x:c>
      <x:c r="D16" s="305" t="str">
        <x:v>Already paid; not a future maturity schedule.</x:v>
      </x:c>
      <x:c r="E16" s="241"/>
      <x:c r="F16" s="241"/>
      <x:c r="G16" s="223"/>
    </x:row>
    <x:row r="17" ht="43" customHeight="1">
      <x:c r="A17" s="234" t="str">
        <x:v>Other investing and financing</x:v>
      </x:c>
      <x:c r="B17" s="243" t="n">
        <x:f>-IF(ISNUMBER('Data'!B23),'Data'!B23,NA())-IF(ISNUMBER('Data'!B26),'Data'!B26,NA())+IF(ISNUMBER('Data'!B33),'Data'!B33,NA())</x:f>
        <x:v>-1357000000</x:v>
      </x:c>
      <x:c r="C17" s="245" t="str">
        <x:v>January–June 2026</x:v>
      </x:c>
      <x:c r="D17" s="305" t="str">
        <x:v>Investment purchases, other investing and other financing.</x:v>
      </x:c>
      <x:c r="E17" s="241"/>
      <x:c r="F17" s="241"/>
      <x:c r="G17" s="223"/>
    </x:row>
    <x:row r="18" ht="43" customHeight="1">
      <x:c r="A18" s="234" t="str">
        <x:v>Exchange-rate effect</x:v>
      </x:c>
      <x:c r="B18" s="243" t="n">
        <x:f>IF(ISNUMBER('Data'!B35),'Data'!B35,NA())</x:f>
        <x:v>15000000</x:v>
      </x:c>
      <x:c r="C18" s="245" t="str">
        <x:v>January–June 2026</x:v>
      </x:c>
      <x:c r="D18" s="305" t="str">
        <x:v>Reconciles the cash balance.</x:v>
      </x:c>
      <x:c r="E18" s="241"/>
      <x:c r="F18" s="241"/>
      <x:c r="G18" s="223"/>
    </x:row>
    <x:row r="19" ht="43" customHeight="1">
      <x:c r="A19" s="256" t="str">
        <x:v>Calculated cash change</x:v>
      </x:c>
      <x:c r="B19" s="257" t="n">
        <x:f>SUM(B8:B18)</x:f>
        <x:v>1682000000</x:v>
      </x:c>
      <x:c r="C19" s="259" t="str">
        <x:v>January–June 2026</x:v>
      </x:c>
      <x:c r="D19" s="306" t="str">
        <x:v>All signed flows counted once.</x:v>
      </x:c>
      <x:c r="E19" s="241"/>
      <x:c r="F19" s="241"/>
      <x:c r="G19" s="223"/>
    </x:row>
    <x:row r="20" ht="43" customHeight="1">
      <x:c r="A20" s="256" t="str">
        <x:v>Calculated closing cash</x:v>
      </x:c>
      <x:c r="B20" s="257" t="n">
        <x:f>B7+B19</x:f>
        <x:v>8950000000</x:v>
      </x:c>
      <x:c r="C20" s="259" t="str">
        <x:v>June 30, 2026</x:v>
      </x:c>
      <x:c r="D20" s="306" t="str">
        <x:v>Opening cash plus change.</x:v>
      </x:c>
      <x:c r="E20" s="241"/>
      <x:c r="F20" s="241"/>
      <x:c r="G20" s="223"/>
    </x:row>
    <x:row r="21" ht="43" customHeight="1">
      <x:c r="A21" s="234" t="str">
        <x:v>Reported closing cash</x:v>
      </x:c>
      <x:c r="B21" s="243" t="n">
        <x:f>IF(ISNUMBER('Data'!B38),'Data'!B38,NA())</x:f>
        <x:v>8950000000</x:v>
      </x:c>
      <x:c r="C21" s="245" t="str">
        <x:v>June 30, 2026</x:v>
      </x:c>
      <x:c r="D21" s="305" t="str">
        <x:v>Not a current cash balance after subsequent payments.</x:v>
      </x:c>
      <x:c r="E21" s="241"/>
      <x:c r="F21" s="241"/>
      <x:c r="G21" s="223"/>
    </x:row>
    <x:row r="22" ht="43" customHeight="1">
      <x:c r="A22" s="256" t="str">
        <x:v>Cash reconciliation difference</x:v>
      </x:c>
      <x:c r="B22" s="257" t="n">
        <x:f>B20-B21</x:f>
        <x:v>0</x:v>
      </x:c>
      <x:c r="C22" s="259" t="str">
        <x:v>Zero = reconciled</x:v>
      </x:c>
      <x:c r="D22" s="306" t="str">
        <x:v>No cash forecast or unrestricted-funding total.</x:v>
      </x:c>
      <x:c r="E22" s="241"/>
      <x:c r="F22" s="241"/>
      <x:c r="G22" s="223"/>
    </x:row>
    <x:row r="23" ht="43" customHeight="1">
      <x:c r="A23" s="256" t="str">
        <x:v>OCF less cash PP&amp;E spending</x:v>
      </x:c>
      <x:c r="B23" s="257" t="n">
        <x:f>B8+B9</x:f>
        <x:v>10764000000</x:v>
      </x:c>
      <x:c r="C23" s="259" t="str">
        <x:v>Historical H1 only</x:v>
      </x:c>
      <x:c r="D23" s="306" t="str">
        <x:v>Excludes acquisitions, payouts and other cash uses.</x:v>
      </x:c>
      <x:c r="E23" s="241"/>
      <x:c r="F23" s="241"/>
      <x:c r="G23" s="223"/>
    </x:row>
    <x:row r="24" ht="43" customHeight="1">
      <x:c r="A24" s="256" t="str">
        <x:v>Net borrowing cash flow</x:v>
      </x:c>
      <x:c r="B24" s="257" t="n">
        <x:f>SUM(B14:B16)</x:f>
        <x:v>12602000000</x:v>
      </x:c>
      <x:c r="C24" s="259" t="str">
        <x:v>Historical H1 only</x:v>
      </x:c>
      <x:c r="D24" s="306" t="str">
        <x:v>Borrowing contributed to closing cash.</x:v>
      </x:c>
      <x:c r="E24" s="241"/>
      <x:c r="F24" s="241"/>
      <x:c r="G24" s="223"/>
    </x:row>
    <x:row r="25" ht="43" customHeight="1">
      <x:c r="A25" s="256" t="str">
        <x:v>Acquisitions + purchased IPR&amp;D</x:v>
      </x:c>
      <x:c r="B25" s="257" t="n">
        <x:f>-SUM(B10:B11)</x:f>
        <x:v>13291000000</x:v>
      </x:c>
      <x:c r="C25" s="259" t="str">
        <x:v>Historical H1 only</x:v>
      </x:c>
      <x:c r="D25" s="306" t="str">
        <x:v>Approximately $13.3B, already spent.</x:v>
      </x:c>
      <x:c r="E25" s="241"/>
      <x:c r="F25" s="241"/>
      <x:c r="G25" s="223"/>
    </x:row>
    <x:row r="26" ht="43" customHeight="1">
      <x:c r="A26" s="246" t="str">
        <x:v>Dividends + buybacks</x:v>
      </x:c>
      <x:c r="B26" s="247" t="n">
        <x:f>-SUM(B12:B13)</x:f>
        <x:v>7051000000</x:v>
      </x:c>
      <x:c r="C26" s="249" t="str">
        <x:v>Historical H1 only</x:v>
      </x:c>
      <x:c r="D26" s="307" t="str">
        <x:v>Not automatically recurring future obligations.</x:v>
      </x:c>
      <x:c r="E26" s="241"/>
      <x:c r="F26" s="241"/>
      <x:c r="G26" s="223"/>
    </x:row>
    <x:row r="27" ht="30" customHeight="1">
      <x:c r="A27" s="222"/>
      <x:c r="B27" s="251"/>
      <x:c r="C27" s="241"/>
      <x:c r="D27" s="241"/>
      <x:c r="E27" s="241"/>
      <x:c r="F27" s="308" t="str">
        <x:v>H1 cash contribution</x:v>
      </x:c>
      <x:c r="G27" s="237" t="str">
        <x:v>USD millions</x:v>
      </x:c>
    </x:row>
    <x:row r="28" ht="30" customHeight="1">
      <x:c r="A28" s="222"/>
      <x:c r="B28" s="251"/>
      <x:c r="C28" s="241"/>
      <x:c r="D28" s="241"/>
      <x:c r="E28" s="241"/>
      <x:c r="F28" s="308" t="str">
        <x:v>Operating cash flow</x:v>
      </x:c>
      <x:c r="G28" s="309" t="n">
        <x:f>B8</x:f>
        <x:v>16023000000</x:v>
      </x:c>
    </x:row>
    <x:row r="29" ht="30" customHeight="1">
      <x:c r="A29" s="226" t="str">
        <x:v>Credit capacity, dates kept separate</x:v>
      </x:c>
      <x:c r="B29" s="253" t="str">
        <x:v>USD millions</x:v>
      </x:c>
      <x:c r="C29" s="242" t="str">
        <x:v>Date / expiry</x:v>
      </x:c>
      <x:c r="D29" s="277" t="str">
        <x:v>Availability limitation</x:v>
      </x:c>
      <x:c r="E29" s="241"/>
      <x:c r="F29" s="308" t="str">
        <x:v>Cash PP&amp;E spending</x:v>
      </x:c>
      <x:c r="G29" s="309" t="n">
        <x:f>B9</x:f>
        <x:v>-5259000000</x:v>
      </x:c>
    </x:row>
    <x:row r="30" ht="70" customHeight="1">
      <x:c r="A30" s="234" t="str">
        <x:v>Unused committed facilities</x:v>
      </x:c>
      <x:c r="B30" s="243" t="n">
        <x:f>IF(ISNUMBER('Data'!B58),'Data'!B58,NA())</x:f>
        <x:v>10100000000</x:v>
      </x:c>
      <x:c r="C30" s="245" t="str">
        <x:v>June 30, 2026</x:v>
      </x:c>
      <x:c r="D30" s="305" t="str">
        <x:v>Reported unused, not cash or verified drawable. $10B supports CP and is not added again.</x:v>
      </x:c>
      <x:c r="E30" s="241"/>
      <x:c r="F30" s="308" t="str">
        <x:v>Acquisitions + purchased IPR&amp;D</x:v>
      </x:c>
      <x:c r="G30" s="309" t="n">
        <x:f>-B25</x:f>
        <x:v>-13291000000</x:v>
      </x:c>
    </x:row>
    <x:row r="31" ht="70" customHeight="1">
      <x:c r="A31" s="234" t="str">
        <x:v>364-day facility expires August 2026</x:v>
      </x:c>
      <x:c r="B31" s="243" t="n">
        <x:f>IF(ISNUMBER('Data'!B56),'Data'!B56,NA())</x:f>
        <x:v>6000000000</x:v>
      </x:c>
      <x:c r="C31" s="245" t="str">
        <x:v>August 2026 expiry</x:v>
      </x:c>
      <x:c r="D31" s="305" t="str">
        <x:v>Annual terms: 364-day facility. Exact expiry day and renewal Unavailable; do not carry June capacity past expiry.</x:v>
      </x:c>
      <x:c r="E31" s="241"/>
      <x:c r="F31" s="308" t="str">
        <x:v>Dividends + buybacks</x:v>
      </x:c>
      <x:c r="G31" s="309" t="n">
        <x:f>-B26</x:f>
        <x:v>-7051000000</x:v>
      </x:c>
    </x:row>
    <x:row r="32" ht="70" customHeight="1">
      <x:c r="A32" s="234" t="str">
        <x:v>Facility expires December 2029</x:v>
      </x:c>
      <x:c r="B32" s="243" t="n">
        <x:f>IF(ISNUMBER('Data'!B57),'Data'!B57,NA())</x:f>
        <x:v>4000000000</x:v>
      </x:c>
      <x:c r="C32" s="245" t="str">
        <x:v>December 2029 expiry</x:v>
      </x:c>
      <x:c r="D32" s="305" t="str">
        <x:v>Annual terms only. Exact day, June facility composition, contract conditions and current draws Unavailable.</x:v>
      </x:c>
      <x:c r="E32" s="241"/>
      <x:c r="F32" s="308" t="str">
        <x:v>Net borrowing</x:v>
      </x:c>
      <x:c r="G32" s="309" t="n">
        <x:f>B24</x:f>
        <x:v>12602000000</x:v>
      </x:c>
    </x:row>
    <x:row r="33" ht="70" customHeight="1">
      <x:c r="A33" s="310"/>
      <x:c r="B33" s="311"/>
      <x:c r="C33" s="312"/>
      <x:c r="D33" s="313"/>
      <x:c r="E33" s="241"/>
      <x:c r="F33" s="308" t="str">
        <x:v>Other cash flows including FX</x:v>
      </x:c>
      <x:c r="G33" s="309" t="n">
        <x:f>B17+B18</x:f>
        <x:v>-1342000000</x:v>
      </x:c>
    </x:row>
    <x:row r="34" ht="70" customHeight="1">
      <x:c r="A34" s="234" t="str">
        <x:v>Drawable credit</x:v>
      </x:c>
      <x:c r="B34" s="255" t="str">
        <x:v>Unavailable</x:v>
      </x:c>
      <x:c r="C34" s="245" t="str">
        <x:v>No saved credit agreement</x:v>
      </x:c>
      <x:c r="D34" s="305" t="str">
        <x:v>Draw conditions, covenants, permitted uses and post-August renewal not established. Cash + commitments is not a verified funding total.</x:v>
      </x:c>
      <x:c r="E34" s="241"/>
      <x:c r="F34" s="241"/>
      <x:c r="G34" s="223"/>
    </x:row>
    <x:row r="35" ht="70" customHeight="1">
      <x:c r="A35" s="235" t="str">
        <x:v>December unused capacity</x:v>
      </x:c>
      <x:c r="B35" s="304" t="n">
        <x:f>IF(ISNUMBER('Data'!B55),'Data'!B55,NA())</x:f>
        <x:v>10100000000</x:v>
      </x:c>
      <x:c r="C35" s="263" t="str">
        <x:v>December 31, 2025</x:v>
      </x:c>
      <x:c r="D35" s="314" t="str">
        <x:v>Annual unused total is $10.1B, primarily the $6B and $4B facilities. The residual $0.1B is not separately described.</x:v>
      </x:c>
      <x:c r="E35" s="241"/>
      <x:c r="F35" s="241"/>
      <x:c r="G35" s="223"/>
    </x:row>
    <x:row r="36" ht="30" customHeight="1">
      <x:c r="A36" s="222"/>
      <x:c r="B36" s="251"/>
      <x:c r="C36" s="241"/>
      <x:c r="D36" s="241"/>
      <x:c r="E36" s="241"/>
      <x:c r="F36" s="241"/>
      <x:c r="G36" s="223"/>
    </x:row>
    <x:row r="37" ht="30" customHeight="1">
      <x:c r="A37" s="222"/>
      <x:c r="B37" s="251"/>
      <x:c r="C37" s="241"/>
      <x:c r="D37" s="241"/>
      <x:c r="E37" s="241"/>
      <x:c r="F37" s="241"/>
      <x:c r="G37" s="223"/>
    </x:row>
    <x:row r="38" ht="30" customHeight="1">
      <x:c r="A38" s="226" t="str">
        <x:v>Acquisitions / manufacturing</x:v>
      </x:c>
      <x:c r="B38" s="253" t="str">
        <x:v>USD millions</x:v>
      </x:c>
      <x:c r="C38" s="242" t="str">
        <x:v>Date and classification</x:v>
      </x:c>
      <x:c r="D38" s="277" t="str">
        <x:v>Timing, overlap and funding limitation</x:v>
      </x:c>
      <x:c r="E38" s="241"/>
      <x:c r="F38" s="241"/>
      <x:c r="G38" s="223"/>
    </x:row>
    <x:row r="39" ht="96" customHeight="1">
      <x:c r="A39" s="234" t="str">
        <x:v>Pending AtaiBeckley acquisition</x:v>
      </x:c>
      <x:c r="B39" s="243" t="n">
        <x:f>IF(ISNUMBER('Data'!B60),'Data'!B60,NA())</x:f>
        <x:v>2800000000</x:v>
      </x:c>
      <x:c r="C39" s="245" t="str">
        <x:v>Disclosed August 5, 2026 · Approximate conditional closing payment</x:v>
      </x:c>
      <x:c r="D39" s="305" t="str">
        <x:v>Payable at closing, subject to conditions. Disclosed after quarter end; closing date, completion and funding allocation are not established here.</x:v>
      </x:c>
      <x:c r="E39" s="241"/>
      <x:c r="F39" s="241"/>
      <x:c r="G39" s="223"/>
    </x:row>
    <x:row r="40" ht="96" customHeight="1">
      <x:c r="A40" s="234" t="str">
        <x:v>Unpaid Kelonia cash consideration</x:v>
      </x:c>
      <x:c r="B40" s="243" t="n">
        <x:f>IF(ISNUMBER('Data'!B61),'Data'!B61,NA())</x:f>
        <x:v>208000000</x:v>
      </x:c>
      <x:c r="C40" s="245" t="str">
        <x:v>2026-06-30 · Unpaid acquisition consideration</x:v>
      </x:c>
      <x:c r="D40" s="305" t="str">
        <x:v>Payment date Unavailable. Separate from cash already paid and from contingent-consideration fair value.</x:v>
      </x:c>
      <x:c r="E40" s="241"/>
      <x:c r="F40" s="241"/>
      <x:c r="G40" s="223"/>
    </x:row>
    <x:row r="41" ht="96" customHeight="1">
      <x:c r="A41" s="234" t="str">
        <x:v>Unpaid Centessa cash consideration</x:v>
      </x:c>
      <x:c r="B41" s="243" t="n">
        <x:f>IF(ISNUMBER('Data'!B62),'Data'!B62,NA())</x:f>
        <x:v>88000000</x:v>
      </x:c>
      <x:c r="C41" s="245" t="str">
        <x:v>2026-06-30 · Unpaid acquisition consideration</x:v>
      </x:c>
      <x:c r="D41" s="305" t="str">
        <x:v>Payment date Unavailable. Do not add to paid acquisition cash or contingent-consideration fair value.</x:v>
      </x:c>
      <x:c r="E41" s="241"/>
      <x:c r="F41" s="241"/>
      <x:c r="G41" s="223"/>
    </x:row>
    <x:row r="42" ht="96" customHeight="1">
      <x:c r="A42" s="234" t="str">
        <x:v>July infectious-disease acquisitions: cash paid</x:v>
      </x:c>
      <x:c r="B42" s="243" t="n">
        <x:f>IF(ISNUMBER('Data'!B63),'Data'!B63,NA())</x:f>
        <x:v>2000000000</x:v>
      </x:c>
      <x:c r="C42" s="245" t="str">
        <x:v>July 2026 · Approximate subsequent cash use</x:v>
      </x:c>
      <x:c r="D42" s="305" t="str">
        <x:v>Already paid after June. Other July cash flows are unknown; June cash less this payment is not a current cash balance.</x:v>
      </x:c>
      <x:c r="E42" s="241"/>
      <x:c r="F42" s="241"/>
      <x:c r="G42" s="223"/>
    </x:row>
    <x:row r="43" ht="96" customHeight="1">
      <x:c r="A43" s="234" t="str">
        <x:v>July acquisitions: aggregate consideration up to</x:v>
      </x:c>
      <x:c r="B43" s="243" t="n">
        <x:f>IF(ISNUMBER('Data'!B64),'Data'!B64,NA())</x:f>
        <x:v>3900000000</x:v>
      </x:c>
      <x:c r="C43" s="245" t="str">
        <x:v>July 2026 · Conditional aggregate ceiling</x:v>
      </x:c>
      <x:c r="D43" s="305" t="str">
        <x:v>Includes upfront cash and potential clinical, regulatory and commercial milestones. Includes the approximately $2B paid; do not add the two amounts or infer a precise remaining cash bill.</x:v>
      </x:c>
      <x:c r="E43" s="241"/>
      <x:c r="F43" s="241"/>
      <x:c r="G43" s="223"/>
    </x:row>
    <x:row r="44" ht="96" customHeight="1">
      <x:c r="A44" s="234" t="str">
        <x:v>Unfunded venture fund commitments</x:v>
      </x:c>
      <x:c r="B44" s="243" t="n">
        <x:f>IF(ISNUMBER('Data'!B65),'Data'!B65,NA())</x:f>
        <x:v>806000000</x:v>
      </x:c>
      <x:c r="C44" s="245" t="str">
        <x:v>2026-06-30 · Approximate investment commitment</x:v>
      </x:c>
      <x:c r="D44" s="305" t="str">
        <x:v>Expected to be paid over up to ten years. Individual capital-call dates are Unavailable.</x:v>
      </x:c>
      <x:c r="E44" s="241"/>
      <x:c r="F44" s="241"/>
      <x:c r="G44" s="223"/>
    </x:row>
    <x:row r="45" ht="96" customHeight="1">
      <x:c r="A45" s="234" t="str">
        <x:v>Development-medicine supply arrangements: up to</x:v>
      </x:c>
      <x:c r="B45" s="243" t="n">
        <x:f>IF(ISNUMBER('Data'!B66),'Data'!B66,NA())</x:f>
        <x:v>10000000000</x:v>
      </x:c>
      <x:c r="C45" s="245" t="str">
        <x:v>2025-12-31 · Approximate conditional purchase shortfall ceiling</x:v>
      </x:c>
      <x:c r="D45" s="305" t="str">
        <x:v>Payments if specified purchases are not met under executed manufacturing and supply agreements; durations generally up to eight years. Not an unconditional $10B bill. Updated June ceiling, annual payments and overlap with other spending are Unavailable.</x:v>
      </x:c>
      <x:c r="E45" s="241"/>
      <x:c r="F45" s="241"/>
      <x:c r="G45" s="223"/>
    </x:row>
    <x:row r="46" ht="96" customHeight="1">
      <x:c r="A46" s="235" t="str">
        <x:v>Additional Indiana manufacturing investment</x:v>
      </x:c>
      <x:c r="B46" s="304" t="n">
        <x:f>IF(ISNUMBER('Data'!B67),'Data'!B67,NA())</x:f>
        <x:v>4500000000</x:v>
      </x:c>
      <x:c r="C46" s="263" t="str">
        <x:v>Announced August 5, 2026 · Announced investment commitment</x:v>
      </x:c>
      <x:c r="D46" s="314" t="str">
        <x:v>Release says committed an additional $4.5B. Contractual payment schedule, spending to date and overlap with capex or supply commitments are not established by this release. Not added to debt or the $10B ceiling.</x:v>
      </x:c>
      <x:c r="E46" s="241"/>
      <x:c r="F46" s="241"/>
      <x:c r="G46" s="223"/>
    </x:row>
    <x:row r="47" ht="30" customHeight="1">
      <x:c r="A47" s="222"/>
      <x:c r="B47" s="251"/>
      <x:c r="C47" s="241"/>
      <x:c r="D47" s="241"/>
      <x:c r="E47" s="241"/>
      <x:c r="F47" s="241"/>
      <x:c r="G47" s="223"/>
    </x:row>
    <x:row r="48" ht="68" customHeight="1">
      <x:c r="A48" s="239" t="str">
        <x:v>Contingent consideration fair value</x:v>
      </x:c>
      <x:c r="B48" s="315" t="n">
        <x:f>IF(ISNUMBER('Data'!B41),'Data'!B41,NA())+IF(ISNUMBER('Data'!B42),'Data'!B42,NA())</x:f>
        <x:v>2518000000</x:v>
      </x:c>
      <x:c r="C48" s="316" t="str">
        <x:v>June 30, 2026</x:v>
      </x:c>
      <x:c r="D48" s="317" t="str">
        <x:v>Current $814M + noncurrent $1,704M. Valuation, not dated payment or contractual maximum. Not added to acquisition amounts above.</x:v>
      </x:c>
      <x:c r="E48" s="241"/>
      <x:c r="F48" s="241"/>
      <x:c r="G48" s="223"/>
    </x:row>
    <x:row r="49" ht="68" customHeight="1">
      <x:c r="A49" s="234" t="str">
        <x:v>Future funding coverage</x:v>
      </x:c>
      <x:c r="B49" s="255" t="str">
        <x:v>Unavailable</x:v>
      </x:c>
      <x:c r="C49" s="245" t="str">
        <x:v>Each future obligation</x:v>
      </x:c>
      <x:c r="D49" s="305" t="str">
        <x:v>Future principal dates, future cash generation, payment dates and drawable credit not all established. No coverage ratio calculated.</x:v>
      </x:c>
      <x:c r="E49" s="241"/>
      <x:c r="F49" s="241"/>
      <x:c r="G49" s="223"/>
    </x:row>
    <x:row r="50" ht="68" customHeight="1">
      <x:c r="A50" s="235" t="str">
        <x:v>Scope</x:v>
      </x:c>
      <x:c r="B50" s="261" t="str">
        <x:v>Financing index through Oct 15, 2026</x:v>
      </x:c>
      <x:c r="C50" s="263" t="str">
        <x:v>10-K; 10-Q; earnings and financing documents</x:v>
      </x:c>
      <x:c r="D50" s="314" t="str">
        <x:v>SEC financing candidates screened through October 15. Not a complete review of all liability notes. No combined obligations total.</x:v>
      </x:c>
      <x:c r="E50" s="241"/>
      <x:c r="F50" s="241"/>
      <x:c r="G50" s="223"/>
    </x:row>
    <x:row r="51" ht="30" customHeight="1">
      <x:c r="A51" s="222"/>
      <x:c r="B51" s="251"/>
      <x:c r="C51" s="241"/>
      <x:c r="D51" s="241"/>
      <x:c r="E51" s="241"/>
      <x:c r="F51" s="241"/>
      <x:c r="G51" s="223"/>
    </x:row>
    <x:row r="52" ht="30" customHeight="1">
      <x:c r="A52" s="222"/>
      <x:c r="B52" s="251"/>
      <x:c r="C52" s="241"/>
      <x:c r="D52" s="241"/>
      <x:c r="E52" s="241"/>
      <x:c r="F52" s="241"/>
      <x:c r="G52" s="223"/>
    </x:row>
    <x:row r="53" ht="30" customHeight="1">
      <x:c r="A53" s="226" t="str">
        <x:v>Notes grouped by due year</x:v>
      </x:c>
      <x:c r="B53" s="253" t="str">
        <x:v>USD millions</x:v>
      </x:c>
      <x:c r="C53" s="242" t="str">
        <x:v>Basis date</x:v>
      </x:c>
      <x:c r="D53" s="277" t="str">
        <x:v>Interpretation</x:v>
      </x:c>
      <x:c r="E53" s="241"/>
      <x:c r="F53" s="241"/>
      <x:c r="G53" s="223"/>
    </x:row>
    <x:row r="54" ht="43" customHeight="1">
      <x:c r="A54" s="234" t="str">
        <x:v>Notes due 2026</x:v>
      </x:c>
      <x:c r="B54" s="243" t="n">
        <x:f>IF(ISNUMBER('Data'!B43),'Data'!B43,NA())</x:f>
        <x:v>1632000000</x:v>
      </x:c>
      <x:c r="C54" s="245" t="str">
        <x:v>December 31, 2025</x:v>
      </x:c>
      <x:c r="D54" s="305" t="str">
        <x:v>Historical carrying amount; not principal cash payments. Multi-year groups are combined.</x:v>
      </x:c>
      <x:c r="E54" s="241"/>
      <x:c r="F54" s="241"/>
      <x:c r="G54" s="223"/>
    </x:row>
    <x:row r="55" ht="43" customHeight="1">
      <x:c r="A55" s="234" t="str">
        <x:v>Notes due 2027</x:v>
      </x:c>
      <x:c r="B55" s="243" t="n">
        <x:f>IF(ISNUMBER('Data'!B44),'Data'!B44,NA())</x:f>
        <x:v>2516000000</x:v>
      </x:c>
      <x:c r="C55" s="245" t="str">
        <x:v>December 31, 2025</x:v>
      </x:c>
      <x:c r="D55" s="305" t="str">
        <x:v>Historical carrying amount; not principal cash payments. Multi-year groups are combined.</x:v>
      </x:c>
      <x:c r="E55" s="241"/>
      <x:c r="F55" s="241"/>
      <x:c r="G55" s="223"/>
    </x:row>
    <x:row r="56" ht="43" customHeight="1">
      <x:c r="A56" s="234" t="str">
        <x:v>Notes due 2028</x:v>
      </x:c>
      <x:c r="B56" s="243" t="n">
        <x:f>IF(ISNUMBER('Data'!B45),'Data'!B45,NA())</x:f>
        <x:v>3256000000</x:v>
      </x:c>
      <x:c r="C56" s="245" t="str">
        <x:v>December 31, 2025</x:v>
      </x:c>
      <x:c r="D56" s="305" t="str">
        <x:v>Historical carrying amount; not principal cash payments. Multi-year groups are combined.</x:v>
      </x:c>
      <x:c r="E56" s="241"/>
      <x:c r="F56" s="241"/>
      <x:c r="G56" s="223"/>
    </x:row>
    <x:row r="57" ht="43" customHeight="1">
      <x:c r="A57" s="234" t="str">
        <x:v>Notes due 2029</x:v>
      </x:c>
      <x:c r="B57" s="243" t="n">
        <x:f>IF(ISNUMBER('Data'!B46),'Data'!B46,NA())</x:f>
        <x:v>3077000000</x:v>
      </x:c>
      <x:c r="C57" s="245" t="str">
        <x:v>December 31, 2025</x:v>
      </x:c>
      <x:c r="D57" s="305" t="str">
        <x:v>Historical carrying amount; not principal cash payments. Multi-year groups are combined.</x:v>
      </x:c>
      <x:c r="E57" s="241"/>
      <x:c r="F57" s="241"/>
      <x:c r="G57" s="223"/>
    </x:row>
    <x:row r="58" ht="43" customHeight="1">
      <x:c r="A58" s="234" t="str">
        <x:v>Notes due 2030</x:v>
      </x:c>
      <x:c r="B58" s="243" t="n">
        <x:f>IF(ISNUMBER('Data'!B47),'Data'!B47,NA())</x:f>
        <x:v>2132000000</x:v>
      </x:c>
      <x:c r="C58" s="245" t="str">
        <x:v>December 31, 2025</x:v>
      </x:c>
      <x:c r="D58" s="305" t="str">
        <x:v>Historical carrying amount; not principal cash payments. Multi-year groups are combined.</x:v>
      </x:c>
      <x:c r="E58" s="241"/>
      <x:c r="F58" s="241"/>
      <x:c r="G58" s="223"/>
    </x:row>
    <x:row r="59" ht="43" customHeight="1">
      <x:c r="A59" s="234" t="str">
        <x:v>Notes due 2031–2040</x:v>
      </x:c>
      <x:c r="B59" s="243" t="n">
        <x:f>IF(ISNUMBER('Data'!B48),'Data'!B48,NA())</x:f>
        <x:v>11582000000</x:v>
      </x:c>
      <x:c r="C59" s="245" t="str">
        <x:v>December 31, 2025</x:v>
      </x:c>
      <x:c r="D59" s="305" t="str">
        <x:v>Historical carrying amount; not principal cash payments. Multi-year groups are combined.</x:v>
      </x:c>
      <x:c r="E59" s="241"/>
      <x:c r="F59" s="241"/>
      <x:c r="G59" s="223"/>
    </x:row>
    <x:row r="60" ht="43" customHeight="1">
      <x:c r="A60" s="234" t="str">
        <x:v>Notes due 2041–2050</x:v>
      </x:c>
      <x:c r="B60" s="243" t="n">
        <x:f>IF(ISNUMBER('Data'!B49),'Data'!B49,NA())</x:f>
        <x:v>4543000000</x:v>
      </x:c>
      <x:c r="C60" s="245" t="str">
        <x:v>December 31, 2025</x:v>
      </x:c>
      <x:c r="D60" s="305" t="str">
        <x:v>Historical carrying amount; not principal cash payments. Multi-year groups are combined.</x:v>
      </x:c>
      <x:c r="E60" s="241"/>
      <x:c r="F60" s="241"/>
      <x:c r="G60" s="223"/>
    </x:row>
    <x:row r="61" ht="43" customHeight="1">
      <x:c r="A61" s="234" t="str">
        <x:v>Notes due 2051–2060</x:v>
      </x:c>
      <x:c r="B61" s="243" t="n">
        <x:f>IF(ISNUMBER('Data'!B50),'Data'!B50,NA())</x:f>
        <x:v>8280000000</x:v>
      </x:c>
      <x:c r="C61" s="245" t="str">
        <x:v>December 31, 2025</x:v>
      </x:c>
      <x:c r="D61" s="305" t="str">
        <x:v>Historical carrying amount; not principal cash payments. Multi-year groups are combined.</x:v>
      </x:c>
      <x:c r="E61" s="241"/>
      <x:c r="F61" s="241"/>
      <x:c r="G61" s="223"/>
    </x:row>
    <x:row r="62" ht="43" customHeight="1">
      <x:c r="A62" s="234" t="str">
        <x:v>Notes due 2061–2070</x:v>
      </x:c>
      <x:c r="B62" s="243" t="n">
        <x:f>IF(ISNUMBER('Data'!B51),'Data'!B51,NA())</x:f>
        <x:v>5824000000</x:v>
      </x:c>
      <x:c r="C62" s="245" t="str">
        <x:v>December 31, 2025</x:v>
      </x:c>
      <x:c r="D62" s="305" t="str">
        <x:v>Historical carrying amount; not principal cash payments. Multi-year groups are combined.</x:v>
      </x:c>
      <x:c r="E62" s="241"/>
      <x:c r="F62" s="241"/>
      <x:c r="G62" s="223"/>
    </x:row>
    <x:row r="63" ht="43" customHeight="1">
      <x:c r="A63" s="256" t="str">
        <x:v>Total notes</x:v>
      </x:c>
      <x:c r="B63" s="257" t="n">
        <x:f>SUM(B54:B62)</x:f>
        <x:v>42842000000</x:v>
      </x:c>
      <x:c r="C63" s="259" t="str">
        <x:v>December 31, 2025</x:v>
      </x:c>
      <x:c r="D63" s="306" t="str">
        <x:v>Carrying amount; not payment total.</x:v>
      </x:c>
      <x:c r="E63" s="241"/>
      <x:c r="F63" s="241"/>
      <x:c r="G63" s="223"/>
    </x:row>
    <x:row r="64" ht="43" customHeight="1">
      <x:c r="A64" s="234" t="str">
        <x:v>Other debt and adjustments</x:v>
      </x:c>
      <x:c r="B64" s="243" t="n">
        <x:f>-IF(ISNUMBER('Data'!B52),'Data'!B52,NA())</x:f>
        <x:v>-339000000</x:v>
      </x:c>
      <x:c r="C64" s="245" t="str">
        <x:v>December 31, 2025</x:v>
      </x:c>
      <x:c r="D64" s="305" t="str">
        <x:v>Printed as (339). Tagged +339 source magnitude; presentation coefficient −1.</x:v>
      </x:c>
      <x:c r="E64" s="241"/>
      <x:c r="F64" s="241"/>
      <x:c r="G64" s="223"/>
    </x:row>
    <x:row r="65" ht="43" customHeight="1">
      <x:c r="A65" s="234" t="str">
        <x:v>Commercial paper</x:v>
      </x:c>
      <x:c r="B65" s="243" t="n">
        <x:f>IF(ISNUMBER('Data'!B53),'Data'!B53,NA())</x:f>
        <x:v>0</x:v>
      </x:c>
      <x:c r="C65" s="245" t="str">
        <x:v>December 31, 2025</x:v>
      </x:c>
      <x:c r="D65" s="305" t="str">
        <x:v>Reported zero at December 31, 2025.</x:v>
      </x:c>
      <x:c r="E65" s="241"/>
      <x:c r="F65" s="241"/>
      <x:c r="G65" s="223"/>
    </x:row>
    <x:row r="66" ht="43" customHeight="1">
      <x:c r="A66" s="256" t="str">
        <x:v>Calculated total debt</x:v>
      </x:c>
      <x:c r="B66" s="257" t="n">
        <x:f>SUM(B63:B65)</x:f>
        <x:v>42503000000</x:v>
      </x:c>
      <x:c r="C66" s="259" t="str">
        <x:v>December 31, 2025</x:v>
      </x:c>
      <x:c r="D66" s="306" t="str">
        <x:v>Same annual filing; no roll-forward to June.</x:v>
      </x:c>
      <x:c r="E66" s="241"/>
      <x:c r="F66" s="241"/>
      <x:c r="G66" s="223"/>
    </x:row>
    <x:row r="67" ht="43" customHeight="1">
      <x:c r="A67" s="234" t="str">
        <x:v>Reported total debt</x:v>
      </x:c>
      <x:c r="B67" s="243" t="n">
        <x:f>IF(ISNUMBER('Data'!B54),'Data'!B54,NA())</x:f>
        <x:v>42503000000</x:v>
      </x:c>
      <x:c r="C67" s="245" t="str">
        <x:v>December 31, 2025</x:v>
      </x:c>
      <x:c r="D67" s="305" t="str">
        <x:v>Reconciles to annual balance sheet.</x:v>
      </x:c>
      <x:c r="E67" s="241"/>
      <x:c r="F67" s="241"/>
      <x:c r="G67" s="223"/>
    </x:row>
    <x:row r="68" ht="43" customHeight="1">
      <x:c r="A68" s="246" t="str">
        <x:v>Debt reconciliation difference</x:v>
      </x:c>
      <x:c r="B68" s="247" t="n">
        <x:f>B66-B67</x:f>
        <x:v>0</x:v>
      </x:c>
      <x:c r="C68" s="249" t="str">
        <x:v>December 31, 2025</x:v>
      </x:c>
      <x:c r="D68" s="307" t="str">
        <x:v>Zero = reconciled.</x:v>
      </x:c>
      <x:c r="E68" s="241"/>
      <x:c r="F68" s="241"/>
      <x:c r="G68" s="223"/>
    </x:row>
    <x:row r="69" ht="30" customHeight="1">
      <x:c r="A69" s="222"/>
      <x:c r="B69" s="241"/>
      <x:c r="C69" s="241"/>
      <x:c r="D69" s="241"/>
      <x:c r="E69" s="241"/>
      <x:c r="F69" s="241"/>
      <x:c r="G69" s="223"/>
    </x:row>
    <x:row r="70" ht="80" customHeight="1">
      <x:c r="A70" s="239" t="str">
        <x:v>June 30 principal schedule</x:v>
      </x:c>
      <x:c r="B70" s="316" t="str">
        <x:v>Unavailable</x:v>
      </x:c>
      <x:c r="C70" s="316" t="str">
        <x:v>Updated payment dates missing</x:v>
      </x:c>
      <x:c r="D70" s="317" t="str">
        <x:v>Do not allocate May issuance or H1 repayments to annual buckets. Current borrowing $7.050B is not an instrument-level schedule.</x:v>
      </x:c>
      <x:c r="E70" s="241"/>
      <x:c r="F70" s="241"/>
      <x:c r="G70" s="223"/>
    </x:row>
    <x:row r="71" ht="80" customHeight="1">
      <x:c r="A71" s="235" t="str">
        <x:v>Repayment conclusion</x:v>
      </x:c>
      <x:c r="B71" s="318"/>
      <x:c r="C71" s="263" t="str">
        <x:v>Coverage Unavailable</x:v>
      </x:c>
      <x:c r="D71" s="314" t="str">
        <x:v>H1 cash generation after PP&amp;E was positive; acquisitions and payouts competed for cash. Net borrowing contributed materially. Updated debt dates, draw terms/renewal and payment calendars are needed.</x:v>
      </x:c>
      <x:c r="E71" s="241"/>
      <x:c r="F71" s="241"/>
      <x:c r="G71" s="223"/>
    </x:row>
    <x:row r="72" ht="30" customHeight="1">
      <x:c r="A72" s="222"/>
      <x:c r="B72" s="241"/>
      <x:c r="C72" s="241"/>
      <x:c r="D72" s="241"/>
      <x:c r="E72" s="241"/>
      <x:c r="F72" s="241"/>
      <x:c r="G72" s="223"/>
    </x:row>
    <x:row r="73" ht="30" customHeight="1">
      <x:c r="A73" s="222"/>
      <x:c r="B73" s="241"/>
      <x:c r="C73" s="241"/>
      <x:c r="D73" s="241"/>
      <x:c r="E73" s="241"/>
      <x:c r="F73" s="241"/>
      <x:c r="G73" s="223"/>
    </x:row>
    <x:row r="74" ht="30" customHeight="1">
      <x:c r="A74" s="236" t="str">
        <x:v>May 2026 issue — documented stated maturities</x:v>
      </x:c>
      <x:c r="B74" s="241"/>
      <x:c r="C74" s="241"/>
      <x:c r="D74" s="241"/>
      <x:c r="E74" s="241"/>
      <x:c r="F74" s="241"/>
      <x:c r="G74" s="223"/>
    </x:row>
    <x:row r="75" ht="43" customHeight="1">
      <x:c r="A75" s="238" t="str">
        <x:v>Initial issue principal, not a complete June/October outstanding-debt schedule. Already in June borrowing and H1 proceeds; do not add to either.</x:v>
      </x:c>
      <x:c r="B75" s="241"/>
      <x:c r="C75" s="241"/>
      <x:c r="D75" s="241"/>
      <x:c r="E75" s="241"/>
      <x:c r="F75" s="241"/>
      <x:c r="G75" s="223"/>
    </x:row>
    <x:row r="76" ht="43" customHeight="1">
      <x:c r="A76" s="226" t="str">
        <x:v>Series</x:v>
      </x:c>
      <x:c r="B76" s="242" t="str">
        <x:v>Initial principal, USD millions</x:v>
      </x:c>
      <x:c r="C76" s="242" t="str">
        <x:v>Stated maturity</x:v>
      </x:c>
      <x:c r="D76" s="277" t="str">
        <x:v>Contract rate</x:v>
      </x:c>
      <x:c r="E76" s="241"/>
      <x:c r="F76" s="241"/>
      <x:c r="G76" s="223"/>
    </x:row>
    <x:row r="77" ht="43" customHeight="1">
      <x:c r="A77" s="234" t="str">
        <x:v>Floating 2028</x:v>
      </x:c>
      <x:c r="B77" s="243" t="n">
        <x:f>IF(ISNUMBER('Data'!B95),'Data'!B95,NA())</x:f>
        <x:v>750000000</x:v>
      </x:c>
      <x:c r="C77" s="319" t="n">
        <x:f>'Data'!E95</x:f>
        <x:v>46893</x:v>
      </x:c>
      <x:c r="D77" s="280" t="str">
        <x:f>"Compounded SOFR + "&amp;TEXT('Data'!T95,"0.000%")</x:f>
        <x:v>Compounded SOFR + 0.350%</x:v>
      </x:c>
      <x:c r="E77" s="241"/>
      <x:c r="F77" s="241"/>
      <x:c r="G77" s="223"/>
    </x:row>
    <x:row r="78" ht="43" customHeight="1">
      <x:c r="A78" s="234" t="str">
        <x:v>Floating 2029</x:v>
      </x:c>
      <x:c r="B78" s="243" t="n">
        <x:f>IF(ISNUMBER('Data'!B96),'Data'!B96,NA())</x:f>
        <x:v>500000000</x:v>
      </x:c>
      <x:c r="C78" s="319" t="n">
        <x:f>'Data'!E96</x:f>
        <x:v>47258</x:v>
      </x:c>
      <x:c r="D78" s="280" t="str">
        <x:f>"Compounded SOFR + "&amp;TEXT('Data'!T96,"0.000%")</x:f>
        <x:v>Compounded SOFR + 0.460%</x:v>
      </x:c>
      <x:c r="E78" s="241"/>
      <x:c r="F78" s="241"/>
      <x:c r="G78" s="223"/>
    </x:row>
    <x:row r="79" ht="43" customHeight="1">
      <x:c r="A79" s="234" t="str">
        <x:v>Fixed 2029</x:v>
      </x:c>
      <x:c r="B79" s="243" t="n">
        <x:f>IF(ISNUMBER('Data'!B97),'Data'!B97,NA())</x:f>
        <x:v>750000000</x:v>
      </x:c>
      <x:c r="C79" s="319" t="n">
        <x:f>'Data'!E97</x:f>
        <x:v>47258</x:v>
      </x:c>
      <x:c r="D79" s="320" t="n">
        <x:f>'Data'!S97</x:f>
        <x:v>0.0415</x:v>
      </x:c>
      <x:c r="E79" s="241"/>
      <x:c r="F79" s="241"/>
      <x:c r="G79" s="223"/>
    </x:row>
    <x:row r="80" ht="43" customHeight="1">
      <x:c r="A80" s="234" t="str">
        <x:v>Fixed 2031</x:v>
      </x:c>
      <x:c r="B80" s="243" t="n">
        <x:f>IF(ISNUMBER('Data'!B98),'Data'!B98,NA())</x:f>
        <x:v>1500000000</x:v>
      </x:c>
      <x:c r="C80" s="319" t="n">
        <x:f>'Data'!E98</x:f>
        <x:v>47988</x:v>
      </x:c>
      <x:c r="D80" s="320" t="n">
        <x:f>'Data'!S98</x:f>
        <x:v>0.04375</x:v>
      </x:c>
      <x:c r="E80" s="241"/>
      <x:c r="F80" s="241"/>
      <x:c r="G80" s="223"/>
    </x:row>
    <x:row r="81" ht="43" customHeight="1">
      <x:c r="A81" s="234" t="str">
        <x:v>Fixed 2033</x:v>
      </x:c>
      <x:c r="B81" s="243" t="n">
        <x:f>IF(ISNUMBER('Data'!B99),'Data'!B99,NA())</x:f>
        <x:v>1250000000</x:v>
      </x:c>
      <x:c r="C81" s="319" t="n">
        <x:f>'Data'!E99</x:f>
        <x:v>48719</x:v>
      </x:c>
      <x:c r="D81" s="320" t="n">
        <x:f>'Data'!S99</x:f>
        <x:v>0.0465</x:v>
      </x:c>
      <x:c r="E81" s="241"/>
      <x:c r="F81" s="241"/>
      <x:c r="G81" s="223"/>
    </x:row>
    <x:row r="82" ht="43" customHeight="1">
      <x:c r="A82" s="234" t="str">
        <x:v>Fixed 2036</x:v>
      </x:c>
      <x:c r="B82" s="243" t="n">
        <x:f>IF(ISNUMBER('Data'!B100),'Data'!B100,NA())</x:f>
        <x:v>1500000000</x:v>
      </x:c>
      <x:c r="C82" s="319" t="n">
        <x:f>'Data'!E100</x:f>
        <x:v>49815</x:v>
      </x:c>
      <x:c r="D82" s="320" t="n">
        <x:f>'Data'!S100</x:f>
        <x:v>0.0485</x:v>
      </x:c>
      <x:c r="E82" s="241"/>
      <x:c r="F82" s="241"/>
      <x:c r="G82" s="223"/>
    </x:row>
    <x:row r="83" ht="43" customHeight="1">
      <x:c r="A83" s="234" t="str">
        <x:v>Fixed 2056</x:v>
      </x:c>
      <x:c r="B83" s="243" t="n">
        <x:f>IF(ISNUMBER('Data'!B101),'Data'!B101,NA())</x:f>
        <x:v>1750000000</x:v>
      </x:c>
      <x:c r="C83" s="319" t="n">
        <x:f>'Data'!E101</x:f>
        <x:v>57120</x:v>
      </x:c>
      <x:c r="D83" s="320" t="n">
        <x:f>'Data'!S101</x:f>
        <x:v>0.056</x:v>
      </x:c>
      <x:c r="E83" s="241"/>
      <x:c r="F83" s="241"/>
      <x:c r="G83" s="223"/>
    </x:row>
    <x:row r="84" ht="43" customHeight="1">
      <x:c r="A84" s="234" t="str">
        <x:v>Fixed 2066</x:v>
      </x:c>
      <x:c r="B84" s="243" t="n">
        <x:f>IF(ISNUMBER('Data'!B102),'Data'!B102,NA())</x:f>
        <x:v>1000000000</x:v>
      </x:c>
      <x:c r="C84" s="319" t="n">
        <x:f>'Data'!E102</x:f>
        <x:v>60772</x:v>
      </x:c>
      <x:c r="D84" s="320" t="n">
        <x:f>'Data'!S102</x:f>
        <x:v>0.057</x:v>
      </x:c>
      <x:c r="E84" s="241"/>
      <x:c r="F84" s="241"/>
      <x:c r="G84" s="223"/>
    </x:row>
    <x:row r="85" ht="43" customHeight="1">
      <x:c r="A85" s="256" t="str">
        <x:v>Calculated initial issue total</x:v>
      </x:c>
      <x:c r="B85" s="286" t="n">
        <x:f>SUM(B77:B84)</x:f>
        <x:v>9000000000</x:v>
      </x:c>
      <x:c r="C85" s="259" t="str">
        <x:v>May 20, 2026</x:v>
      </x:c>
      <x:c r="D85" s="306" t="str">
        <x:v>Eight series; not additional June debt.</x:v>
      </x:c>
      <x:c r="E85" s="241"/>
      <x:c r="F85" s="241"/>
      <x:c r="G85" s="223"/>
    </x:row>
    <x:row r="86" ht="43" customHeight="1">
      <x:c r="A86" s="234" t="str">
        <x:v>Reported completed issue total</x:v>
      </x:c>
      <x:c r="B86" s="243" t="n">
        <x:f>IF(ISNUMBER('Data'!B103),'Data'!B103,NA())</x:f>
        <x:v>9000000000</x:v>
      </x:c>
      <x:c r="C86" s="245" t="str">
        <x:v>May 20, 2026</x:v>
      </x:c>
      <x:c r="D86" s="305" t="str">
        <x:v>8-K Item 8.01; face principal differs from net cash proceeds.</x:v>
      </x:c>
      <x:c r="E86" s="241"/>
      <x:c r="F86" s="241"/>
      <x:c r="G86" s="223"/>
    </x:row>
    <x:row r="87" ht="43" customHeight="1">
      <x:c r="A87" s="256" t="str">
        <x:v>Issue reconciliation difference</x:v>
      </x:c>
      <x:c r="B87" s="286" t="n">
        <x:f>B85-B86</x:f>
        <x:v>0</x:v>
      </x:c>
      <x:c r="C87" s="259" t="str">
        <x:v>Zero = reconciled</x:v>
      </x:c>
      <x:c r="D87" s="306" t="str">
        <x:v>No roll-forward to June outstanding principal.</x:v>
      </x:c>
      <x:c r="E87" s="241"/>
      <x:c r="F87" s="241"/>
      <x:c r="G87" s="223"/>
    </x:row>
    <x:row r="88" ht="43" customHeight="1">
      <x:c r="A88" s="234" t="str">
        <x:v>Current outstanding by series</x:v>
      </x:c>
      <x:c r="B88" s="245" t="str">
        <x:v>Unavailable</x:v>
      </x:c>
      <x:c r="C88" s="245" t="str">
        <x:v>June / October 2026</x:v>
      </x:c>
      <x:c r="D88" s="305" t="str">
        <x:v>Initial issue amounts do not establish current balances.</x:v>
      </x:c>
      <x:c r="E88" s="241"/>
      <x:c r="F88" s="241"/>
      <x:c r="G88" s="223"/>
    </x:row>
    <x:row r="89" ht="43" customHeight="1">
      <x:c r="A89" s="235" t="str">
        <x:v>Drawable capacity / future coverage</x:v>
      </x:c>
      <x:c r="B89" s="263" t="str">
        <x:v>Unavailable</x:v>
      </x:c>
      <x:c r="C89" s="263" t="str">
        <x:v>October 15 review</x:v>
      </x:c>
      <x:c r="D89" s="314" t="str">
        <x:v>No new verified facility renewal, drawable credit or complete future funding coverage.</x:v>
      </x:c>
      <x:c r="E89" s="241"/>
      <x:c r="F89" s="241"/>
      <x:c r="G89" s="223"/>
    </x:row>
    <x:row r="90" ht="30" customHeight="1">
      <x:c r="A90" s="222"/>
      <x:c r="B90" s="241"/>
      <x:c r="C90" s="241"/>
      <x:c r="D90" s="241"/>
      <x:c r="E90" s="241"/>
      <x:c r="F90" s="241"/>
      <x:c r="G90" s="223"/>
    </x:row>
    <x:row r="91" ht="70" customHeight="1">
      <x:c r="A91" s="238" t="str">
        <x:v>The May 20 8-K's interest paragraph says 4.650% for the fixed 2029 notes, while its series title, final prospectus and Exhibit 4.3 clauses (i)/(v) agree on 4.150%. This review uses the corroborated contract rate, 4.150%, and retains the conflicting statement here.</x:v>
      </x:c>
      <x:c r="B91" s="241"/>
      <x:c r="C91" s="241"/>
      <x:c r="D91" s="241"/>
      <x:c r="E91" s="241"/>
      <x:c r="F91" s="241"/>
      <x:c r="G91" s="223"/>
    </x:row>
    <x:row r="92" ht="70" customHeight="1">
      <x:c r="A92" s="238" t="str">
        <x:v>The May terms require 101% special redemption of specified series if the Centessa acquisition fails under the stated conditions. The terms cease to apply upon consummation; the June 10-Q Note 4 records acquisition on June 24, 2026. This resolved acquisition-failure condition is not presented as a future 101% cash bill. Optional redemptions and default acceleration remain possible; none is assumed.</x:v>
      </x:c>
      <x:c r="B92" s="241"/>
      <x:c r="C92" s="241"/>
      <x:c r="D92" s="241"/>
      <x:c r="E92" s="241"/>
      <x:c r="F92" s="241"/>
      <x:c r="G92" s="223"/>
    </x:row>
    <x:row r="93" ht="70" customHeight="1">
      <x:c r="A93" s="238" t="str">
        <x:v>SEC submissions contain 1,001 filings, October 15, 2026 back to December 16, 2021; older pages end before the review period. All 2026 form rows were screened, prioritizing periodic reports, amendments, 8-Ks, shelf/prospectus/pricing filings and debt delisting. After June 30, the only 8-K is the saved August 5 earnings report; no later periodic report or amendment, 424B2 or FWP is listed. Ownership filings are not corporate financing capacity.</x:v>
      </x:c>
      <x:c r="B93" s="241"/>
      <x:c r="C93" s="241"/>
      <x:c r="D93" s="241"/>
      <x:c r="E93" s="241"/>
      <x:c r="F93" s="241"/>
      <x:c r="G93" s="223"/>
    </x:row>
    <x:row r="94" ht="70" customHeight="1">
      <x:c r="A94" s="238" t="str">
        <x:v>The retrieved September 2025 10-Q describes the August 2025 renewal to $6B and extension of the $4B facility to December 2029. This is historical, not an August 2026 renewal. The annual and March/June reports and reviewed exhibit lists establish no current credit agreement or post-August 2026 renewal. No relevant bank agreement was identified in the reviewed SEC filing and exhibit references. Draw conditions, current usage, covenant headroom and actual drawable capacity remain Unavailable.</x:v>
      </x:c>
      <x:c r="B94" s="241"/>
      <x:c r="C94" s="241"/>
      <x:c r="D94" s="241"/>
      <x:c r="E94" s="241"/>
      <x:c r="F94" s="241"/>
      <x:c r="G94" s="223"/>
    </x:row>
    <x:row r="95" ht="70" customHeight="1">
      <x:c r="A95" s="238" t="str">
        <x:v>Dates are stated contractual maturities, not calendar-adjusted payment forecasts. Indenture §1.11 and note-specific business-day provisions apply. Future interest amounts, floating-rate resets, actual early redemptions and cash available at maturity are not modeled.</x:v>
      </x:c>
      <x:c r="B95" s="241"/>
      <x:c r="C95" s="241"/>
      <x:c r="D95" s="241"/>
      <x:c r="E95" s="241"/>
      <x:c r="F95" s="241"/>
      <x:c r="G95" s="223"/>
    </x:row>
    <x:row r="96" ht="70" customHeight="1">
      <x:c r="A96" s="238" t="str">
        <x:v>The June 2 Form 25 removes the 1.625% notes due 2026 from listing. It does not establish an instrument-level cash repayment amount and is not used to allocate H1 repayments.</x:v>
      </x:c>
      <x:c r="B96" s="241"/>
      <x:c r="C96" s="241"/>
      <x:c r="D96" s="241"/>
      <x:c r="E96" s="241"/>
      <x:c r="F96" s="241"/>
      <x:c r="G96" s="223"/>
    </x:row>
  </x:sheetData>
  <x:mergeCells>
    <x:mergeCell ref="A4:D4"/>
    <x:mergeCell ref="A75:D75"/>
    <x:mergeCell ref="A91:D91"/>
    <x:mergeCell ref="A92:D92"/>
    <x:mergeCell ref="A93:D93"/>
    <x:mergeCell ref="A94:D94"/>
    <x:mergeCell ref="A95:D95"/>
    <x:mergeCell ref="A96:D96"/>
  </x:mergeCells>
  <x:pageMargins left="0.7" right="0.7" top="0.75" bottom="0.75" header="0.3" footer="0.3"/>
  <x:drawing ns1:id="Rf804cb9b07954525"/>
</x:worksheet>
</file>

<file path=xl/worksheets/sheet7.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45" hidden="0" customWidth="1"/>
    <x:col min="2" max="2" width="22" hidden="0" customWidth="1"/>
    <x:col min="3" max="3" width="20" hidden="0" customWidth="1"/>
    <x:col min="4" max="4" width="20" hidden="0" customWidth="1"/>
    <x:col min="5" max="5" width="14" hidden="0" customWidth="1"/>
    <x:col min="6" max="6" width="20" hidden="0" customWidth="1"/>
    <x:col min="7" max="7" width="33" hidden="0" customWidth="1"/>
    <x:col min="8" max="8" width="68" hidden="0" customWidth="1"/>
    <x:col min="9" max="9" width="68" hidden="0" customWidth="1"/>
    <x:col min="10" max="10" width="12" hidden="0" customWidth="1"/>
    <x:col min="11" max="11" width="12" hidden="0" customWidth="1"/>
    <x:col min="12" max="12" width="75" hidden="0" customWidth="1"/>
    <x:col min="13" max="13" width="75" hidden="0" customWidth="1"/>
    <x:col min="14" max="14" width="60" hidden="0" customWidth="1"/>
    <x:col min="15" max="15" width="90" hidden="0" customWidth="1"/>
    <x:col min="16" max="16" width="85" hidden="0" customWidth="1"/>
    <x:col min="17" max="17" width="100" hidden="0" customWidth="1"/>
    <x:col min="18" max="18" width="72" hidden="0" customWidth="1"/>
    <x:col min="19" max="19" width="23" hidden="0" customWidth="1"/>
    <x:col min="20" max="20" width="23" hidden="0" customWidth="1"/>
  </x:cols>
  <x:sheetData>
    <x:row r="1" ht="32" customHeight="1">
      <x:c r="A1" s="226" t="str">
        <x:v>Input</x:v>
      </x:c>
      <x:c r="B1" s="242" t="str">
        <x:v>USD millions</x:v>
      </x:c>
      <x:c r="C1" s="242" t="str">
        <x:v>Period start</x:v>
      </x:c>
      <x:c r="D1" s="242" t="str">
        <x:v>Period end</x:v>
      </x:c>
      <x:c r="E1" s="242" t="str">
        <x:v>Form</x:v>
      </x:c>
      <x:c r="F1" s="242" t="str">
        <x:v>Filed</x:v>
      </x:c>
      <x:c r="G1" s="242" t="str">
        <x:v>Accession</x:v>
      </x:c>
      <x:c r="H1" s="242" t="str">
        <x:v>Tag</x:v>
      </x:c>
      <x:c r="I1" s="242" t="str">
        <x:v>Context</x:v>
      </x:c>
      <x:c r="J1" s="242" t="str">
        <x:v>Scale</x:v>
      </x:c>
      <x:c r="K1" s="242" t="str">
        <x:v>Decimals</x:v>
      </x:c>
      <x:c r="L1" s="242" t="str">
        <x:v>Source</x:v>
      </x:c>
      <x:c r="M1" s="242" t="str">
        <x:v>Selection rule</x:v>
      </x:c>
      <x:c r="N1" s="242" t="str">
        <x:v>Unavailable reason</x:v>
      </x:c>
      <x:c r="O1" s="277" t="str">
        <x:v>Notes</x:v>
      </x:c>
      <x:c r="P1" s="241"/>
      <x:c r="Q1" s="241"/>
      <x:c r="R1" s="241"/>
      <x:c r="S1" s="241"/>
      <x:c r="T1" s="223"/>
    </x:row>
    <x:row r="2" ht="65" customHeight="1">
      <x:c r="A2" s="234" t="str">
        <x:v>Cash and cash equivalents</x:v>
      </x:c>
      <x:c r="B2" s="321" t="n">
        <x:v>8950000000</x:v>
      </x:c>
      <x:c r="C2" s="322"/>
      <x:c r="D2" s="244" t="d">
        <x:v>2026-06-30T00:00:00.000Z</x:v>
      </x:c>
      <x:c r="E2" s="245" t="str">
        <x:v>10-Q</x:v>
      </x:c>
      <x:c r="F2" s="244" t="d">
        <x:v>2026-08-05T00:00:00.000Z</x:v>
      </x:c>
      <x:c r="G2" s="245" t="str">
        <x:v>0000059478-26-000081</x:v>
      </x:c>
      <x:c r="H2" s="245" t="str">
        <x:v>us-gaap:CashAndCashEquivalentsAtCarryingValue</x:v>
      </x:c>
      <x:c r="I2" s="312"/>
      <x:c r="J2" s="312"/>
      <x:c r="K2" s="312"/>
      <x:c r="L2" s="245" t="str">
        <x:v>https://www.sec.gov/Archives/edgar/data/59478/000005947826000081/lly-20260630.htm</x:v>
      </x:c>
      <x:c r="M2" s="245" t="str">
        <x:v>USD instant at the balance-sheet date, from the latest original 10-K or 10-Q itself</x:v>
      </x:c>
      <x:c r="N2" s="312" t="str"/>
      <x:c r="O2" s="313" t="str"/>
      <x:c r="P2" s="241"/>
      <x:c r="Q2" s="241"/>
      <x:c r="R2" s="241"/>
      <x:c r="S2" s="241"/>
      <x:c r="T2" s="223"/>
    </x:row>
    <x:row r="3" ht="65" customHeight="1">
      <x:c r="A3" s="234" t="str">
        <x:v>Short-term borrowings and current maturities of long-term debt</x:v>
      </x:c>
      <x:c r="B3" s="321" t="n">
        <x:v>7050000000</x:v>
      </x:c>
      <x:c r="C3" s="322"/>
      <x:c r="D3" s="244" t="d">
        <x:v>2026-06-30T00:00:00.000Z</x:v>
      </x:c>
      <x:c r="E3" s="245" t="str">
        <x:v>10-Q</x:v>
      </x:c>
      <x:c r="F3" s="244" t="d">
        <x:v>2026-08-05T00:00:00.000Z</x:v>
      </x:c>
      <x:c r="G3" s="245" t="str">
        <x:v>0000059478-26-000081</x:v>
      </x:c>
      <x:c r="H3" s="245" t="str">
        <x:v>us-gaap:DebtCurrent</x:v>
      </x:c>
      <x:c r="I3" s="312"/>
      <x:c r="J3" s="312"/>
      <x:c r="K3" s="312"/>
      <x:c r="L3" s="245" t="str">
        <x:v>https://www.sec.gov/Archives/edgar/data/59478/000005947826000081/lly-20260630.htm</x:v>
      </x:c>
      <x:c r="M3" s="245" t="str">
        <x:v>USD instant at the balance-sheet date, from the latest original 10-K or 10-Q itself</x:v>
      </x:c>
      <x:c r="N3" s="312" t="str"/>
      <x:c r="O3" s="313" t="str"/>
      <x:c r="P3" s="241"/>
      <x:c r="Q3" s="241"/>
      <x:c r="R3" s="241"/>
      <x:c r="S3" s="241"/>
      <x:c r="T3" s="223"/>
    </x:row>
    <x:row r="4" ht="65" customHeight="1">
      <x:c r="A4" s="234" t="str">
        <x:v>Long-term debt</x:v>
      </x:c>
      <x:c r="B4" s="321" t="n">
        <x:v>47858000000</x:v>
      </x:c>
      <x:c r="C4" s="322"/>
      <x:c r="D4" s="244" t="d">
        <x:v>2026-06-30T00:00:00.000Z</x:v>
      </x:c>
      <x:c r="E4" s="245" t="str">
        <x:v>10-Q</x:v>
      </x:c>
      <x:c r="F4" s="244" t="d">
        <x:v>2026-08-05T00:00:00.000Z</x:v>
      </x:c>
      <x:c r="G4" s="245" t="str">
        <x:v>0000059478-26-000081</x:v>
      </x:c>
      <x:c r="H4" s="245" t="str">
        <x:v>us-gaap:LongTermDebtNoncurrent</x:v>
      </x:c>
      <x:c r="I4" s="312"/>
      <x:c r="J4" s="312"/>
      <x:c r="K4" s="312"/>
      <x:c r="L4" s="245" t="str">
        <x:v>https://www.sec.gov/Archives/edgar/data/59478/000005947826000081/lly-20260630.htm</x:v>
      </x:c>
      <x:c r="M4" s="245" t="str">
        <x:v>USD instant at the balance-sheet date, from the latest original 10-K or 10-Q itself</x:v>
      </x:c>
      <x:c r="N4" s="312" t="str"/>
      <x:c r="O4" s="313" t="str"/>
      <x:c r="P4" s="241"/>
      <x:c r="Q4" s="241"/>
      <x:c r="R4" s="241"/>
      <x:c r="S4" s="241"/>
      <x:c r="T4" s="223"/>
    </x:row>
    <x:row r="5" ht="65" customHeight="1">
      <x:c r="A5" s="234" t="str">
        <x:v>Current liabilities</x:v>
      </x:c>
      <x:c r="B5" s="321" t="n">
        <x:v>47741000000</x:v>
      </x:c>
      <x:c r="C5" s="322"/>
      <x:c r="D5" s="244" t="d">
        <x:v>2026-06-30T00:00:00.000Z</x:v>
      </x:c>
      <x:c r="E5" s="245" t="str">
        <x:v>10-Q</x:v>
      </x:c>
      <x:c r="F5" s="244" t="d">
        <x:v>2026-08-05T00:00:00.000Z</x:v>
      </x:c>
      <x:c r="G5" s="245" t="str">
        <x:v>0000059478-26-000081</x:v>
      </x:c>
      <x:c r="H5" s="245" t="str">
        <x:v>us-gaap:LiabilitiesCurrent</x:v>
      </x:c>
      <x:c r="I5" s="312"/>
      <x:c r="J5" s="312"/>
      <x:c r="K5" s="312"/>
      <x:c r="L5" s="245" t="str">
        <x:v>https://www.sec.gov/Archives/edgar/data/59478/000005947826000081/lly-20260630.htm</x:v>
      </x:c>
      <x:c r="M5" s="245" t="str">
        <x:v>USD instant at the balance-sheet date, from the latest original 10-K or 10-Q itself</x:v>
      </x:c>
      <x:c r="N5" s="312" t="str"/>
      <x:c r="O5" s="313" t="str"/>
      <x:c r="P5" s="241"/>
      <x:c r="Q5" s="241"/>
      <x:c r="R5" s="241"/>
      <x:c r="S5" s="241"/>
      <x:c r="T5" s="223"/>
    </x:row>
    <x:row r="6" ht="65" customHeight="1">
      <x:c r="A6" s="234" t="str">
        <x:v>Current assets</x:v>
      </x:c>
      <x:c r="B6" s="321" t="n">
        <x:v>64672000000</x:v>
      </x:c>
      <x:c r="C6" s="322"/>
      <x:c r="D6" s="244" t="d">
        <x:v>2026-06-30T00:00:00.000Z</x:v>
      </x:c>
      <x:c r="E6" s="245" t="str">
        <x:v>10-Q</x:v>
      </x:c>
      <x:c r="F6" s="244" t="d">
        <x:v>2026-08-05T00:00:00.000Z</x:v>
      </x:c>
      <x:c r="G6" s="245" t="str">
        <x:v>0000059478-26-000081</x:v>
      </x:c>
      <x:c r="H6" s="245" t="str">
        <x:v>us-gaap:AssetsCurrent</x:v>
      </x:c>
      <x:c r="I6" s="312"/>
      <x:c r="J6" s="312"/>
      <x:c r="K6" s="312"/>
      <x:c r="L6" s="245" t="str">
        <x:v>https://www.sec.gov/Archives/edgar/data/59478/000005947826000081/lly-20260630.htm</x:v>
      </x:c>
      <x:c r="M6" s="245" t="str">
        <x:v>USD instant at the balance-sheet date, from the latest original 10-K or 10-Q itself</x:v>
      </x:c>
      <x:c r="N6" s="312" t="str"/>
      <x:c r="O6" s="313" t="str"/>
      <x:c r="P6" s="241"/>
      <x:c r="Q6" s="241"/>
      <x:c r="R6" s="241"/>
      <x:c r="S6" s="241"/>
      <x:c r="T6" s="223"/>
    </x:row>
    <x:row r="7" ht="65" customHeight="1">
      <x:c r="A7" s="234" t="str">
        <x:v>Operating cash flow · fiscal year</x:v>
      </x:c>
      <x:c r="B7" s="321" t="n">
        <x:v>16813000000</x:v>
      </x:c>
      <x:c r="C7" s="244" t="d">
        <x:v>2025-01-01T00:00:00.000Z</x:v>
      </x:c>
      <x:c r="D7" s="244" t="d">
        <x:v>2025-12-31T00:00:00.000Z</x:v>
      </x:c>
      <x:c r="E7" s="245" t="str">
        <x:v>10-K</x:v>
      </x:c>
      <x:c r="F7" s="244" t="d">
        <x:v>2026-02-12T00:00:00.000Z</x:v>
      </x:c>
      <x:c r="G7" s="245" t="str">
        <x:v>0000059478-26-000013</x:v>
      </x:c>
      <x:c r="H7" s="245" t="str">
        <x:v>us-gaap:NetCashProvidedByUsedInOperatingActivities</x:v>
      </x:c>
      <x:c r="I7" s="245" t="str">
        <x:v>c-1</x:v>
      </x:c>
      <x:c r="J7" s="323" t="n">
        <x:v>6</x:v>
      </x:c>
      <x:c r="K7" s="245" t="str">
        <x:v>-6</x:v>
      </x:c>
      <x:c r="L7" s="245" t="str">
        <x:v>https://www.sec.gov/Archives/edgar/data/59478/000005947826000013/lly-20251231.htm</x:v>
      </x:c>
      <x:c r="M7" s="245" t="str">
        <x:v>Exact tag, USD duration, exact start and end dates, no dimensions</x:v>
      </x:c>
      <x:c r="N7" s="312" t="str"/>
      <x:c r="O7" s="313" t="str"/>
      <x:c r="P7" s="241"/>
      <x:c r="Q7" s="241"/>
      <x:c r="R7" s="241"/>
      <x:c r="S7" s="241"/>
      <x:c r="T7" s="223"/>
    </x:row>
    <x:row r="8" ht="65" customHeight="1">
      <x:c r="A8" s="234" t="str">
        <x:v>Operating cash flow · current year to date</x:v>
      </x:c>
      <x:c r="B8" s="321" t="n">
        <x:v>16023000000</x:v>
      </x:c>
      <x:c r="C8" s="244" t="d">
        <x:v>2026-01-01T00:00:00.000Z</x:v>
      </x:c>
      <x:c r="D8" s="244" t="d">
        <x:v>2026-06-30T00:00:00.000Z</x:v>
      </x:c>
      <x:c r="E8" s="245" t="str">
        <x:v>10-Q</x:v>
      </x:c>
      <x:c r="F8" s="244" t="d">
        <x:v>2026-08-05T00:00:00.000Z</x:v>
      </x:c>
      <x:c r="G8" s="245" t="str">
        <x:v>0000059478-26-000081</x:v>
      </x:c>
      <x:c r="H8" s="245" t="str">
        <x:v>us-gaap:NetCashProvidedByUsedInOperatingActivities</x:v>
      </x:c>
      <x:c r="I8" s="245" t="str">
        <x:v>c-1</x:v>
      </x:c>
      <x:c r="J8" s="323" t="n">
        <x:v>6</x:v>
      </x:c>
      <x:c r="K8" s="245" t="str">
        <x:v>-6</x:v>
      </x:c>
      <x:c r="L8" s="245" t="str">
        <x:v>https://www.sec.gov/Archives/edgar/data/59478/000005947826000081/lly-20260630.htm</x:v>
      </x:c>
      <x:c r="M8" s="245" t="str">
        <x:v>Exact tag, USD duration, exact start and end dates, no dimensions</x:v>
      </x:c>
      <x:c r="N8" s="312" t="str"/>
      <x:c r="O8" s="313" t="str"/>
      <x:c r="P8" s="241"/>
      <x:c r="Q8" s="241"/>
      <x:c r="R8" s="241"/>
      <x:c r="S8" s="241"/>
      <x:c r="T8" s="223"/>
    </x:row>
    <x:row r="9" ht="65" customHeight="1">
      <x:c r="A9" s="234" t="str">
        <x:v>Operating cash flow · prior year to date</x:v>
      </x:c>
      <x:c r="B9" s="321" t="n">
        <x:v>4753000000</x:v>
      </x:c>
      <x:c r="C9" s="244" t="d">
        <x:v>2025-01-01T00:00:00.000Z</x:v>
      </x:c>
      <x:c r="D9" s="244" t="d">
        <x:v>2025-06-30T00:00:00.000Z</x:v>
      </x:c>
      <x:c r="E9" s="245" t="str">
        <x:v>10-Q</x:v>
      </x:c>
      <x:c r="F9" s="244" t="d">
        <x:v>2026-08-05T00:00:00.000Z</x:v>
      </x:c>
      <x:c r="G9" s="245" t="str">
        <x:v>0000059478-26-000081</x:v>
      </x:c>
      <x:c r="H9" s="245" t="str">
        <x:v>us-gaap:NetCashProvidedByUsedInOperatingActivities</x:v>
      </x:c>
      <x:c r="I9" s="245" t="str">
        <x:v>c-14</x:v>
      </x:c>
      <x:c r="J9" s="323" t="n">
        <x:v>6</x:v>
      </x:c>
      <x:c r="K9" s="245" t="str">
        <x:v>-6</x:v>
      </x:c>
      <x:c r="L9" s="245" t="str">
        <x:v>https://www.sec.gov/Archives/edgar/data/59478/000005947826000081/lly-20260630.htm</x:v>
      </x:c>
      <x:c r="M9" s="245" t="str">
        <x:v>Exact tag, USD duration, exact start and end dates, no dimensions</x:v>
      </x:c>
      <x:c r="N9" s="312" t="str"/>
      <x:c r="O9" s="313" t="str"/>
      <x:c r="P9" s="241"/>
      <x:c r="Q9" s="241"/>
      <x:c r="R9" s="241"/>
      <x:c r="S9" s="241"/>
      <x:c r="T9" s="223"/>
    </x:row>
    <x:row r="10" ht="65" customHeight="1">
      <x:c r="A10" s="234" t="str">
        <x:v>Purchases of property and equipment · fiscal year</x:v>
      </x:c>
      <x:c r="B10" s="321" t="n">
        <x:v>7841000000</x:v>
      </x:c>
      <x:c r="C10" s="244" t="d">
        <x:v>2025-01-01T00:00:00.000Z</x:v>
      </x:c>
      <x:c r="D10" s="244" t="d">
        <x:v>2025-12-31T00:00:00.000Z</x:v>
      </x:c>
      <x:c r="E10" s="245" t="str">
        <x:v>10-K</x:v>
      </x:c>
      <x:c r="F10" s="244" t="d">
        <x:v>2026-02-12T00:00:00.000Z</x:v>
      </x:c>
      <x:c r="G10" s="245" t="str">
        <x:v>0000059478-26-000013</x:v>
      </x:c>
      <x:c r="H10" s="245" t="str">
        <x:v>us-gaap:PaymentsToAcquireOtherPropertyPlantAndEquipment</x:v>
      </x:c>
      <x:c r="I10" s="245" t="str">
        <x:v>c-1</x:v>
      </x:c>
      <x:c r="J10" s="323" t="n">
        <x:v>6</x:v>
      </x:c>
      <x:c r="K10" s="245" t="str">
        <x:v>-6</x:v>
      </x:c>
      <x:c r="L10" s="245" t="str">
        <x:v>https://www.sec.gov/Archives/edgar/data/59478/000005947826000013/lly-20251231.htm</x:v>
      </x:c>
      <x:c r="M10" s="245" t="str">
        <x:v>Exact tag, USD duration, exact start and end dates, no dimensions</x:v>
      </x:c>
      <x:c r="N10" s="312" t="str"/>
      <x:c r="O10" s="313" t="str"/>
      <x:c r="P10" s="241"/>
      <x:c r="Q10" s="241"/>
      <x:c r="R10" s="241"/>
      <x:c r="S10" s="241"/>
      <x:c r="T10" s="223"/>
    </x:row>
    <x:row r="11" ht="65" customHeight="1">
      <x:c r="A11" s="234" t="str">
        <x:v>Purchases of property and equipment · current year to date</x:v>
      </x:c>
      <x:c r="B11" s="321" t="n">
        <x:v>5259000000</x:v>
      </x:c>
      <x:c r="C11" s="244" t="d">
        <x:v>2026-01-01T00:00:00.000Z</x:v>
      </x:c>
      <x:c r="D11" s="244" t="d">
        <x:v>2026-06-30T00:00:00.000Z</x:v>
      </x:c>
      <x:c r="E11" s="245" t="str">
        <x:v>10-Q</x:v>
      </x:c>
      <x:c r="F11" s="244" t="d">
        <x:v>2026-08-05T00:00:00.000Z</x:v>
      </x:c>
      <x:c r="G11" s="245" t="str">
        <x:v>0000059478-26-000081</x:v>
      </x:c>
      <x:c r="H11" s="245" t="str">
        <x:v>us-gaap:PaymentsToAcquireOtherPropertyPlantAndEquipment</x:v>
      </x:c>
      <x:c r="I11" s="245" t="str">
        <x:v>c-1</x:v>
      </x:c>
      <x:c r="J11" s="323" t="n">
        <x:v>6</x:v>
      </x:c>
      <x:c r="K11" s="245" t="str">
        <x:v>-6</x:v>
      </x:c>
      <x:c r="L11" s="245" t="str">
        <x:v>https://www.sec.gov/Archives/edgar/data/59478/000005947826000081/lly-20260630.htm</x:v>
      </x:c>
      <x:c r="M11" s="245" t="str">
        <x:v>Exact tag, USD duration, exact start and end dates, no dimensions</x:v>
      </x:c>
      <x:c r="N11" s="312" t="str"/>
      <x:c r="O11" s="313" t="str"/>
      <x:c r="P11" s="241"/>
      <x:c r="Q11" s="241"/>
      <x:c r="R11" s="241"/>
      <x:c r="S11" s="241"/>
      <x:c r="T11" s="223"/>
    </x:row>
    <x:row r="12" ht="65" customHeight="1">
      <x:c r="A12" s="235" t="str">
        <x:v>Purchases of property and equipment · prior year to date</x:v>
      </x:c>
      <x:c r="B12" s="324" t="n">
        <x:v>3207000000</x:v>
      </x:c>
      <x:c r="C12" s="262" t="d">
        <x:v>2025-01-01T00:00:00.000Z</x:v>
      </x:c>
      <x:c r="D12" s="262" t="d">
        <x:v>2025-06-30T00:00:00.000Z</x:v>
      </x:c>
      <x:c r="E12" s="263" t="str">
        <x:v>10-Q</x:v>
      </x:c>
      <x:c r="F12" s="262" t="d">
        <x:v>2026-08-05T00:00:00.000Z</x:v>
      </x:c>
      <x:c r="G12" s="263" t="str">
        <x:v>0000059478-26-000081</x:v>
      </x:c>
      <x:c r="H12" s="263" t="str">
        <x:v>us-gaap:PaymentsToAcquireOtherPropertyPlantAndEquipment</x:v>
      </x:c>
      <x:c r="I12" s="263" t="str">
        <x:v>c-14</x:v>
      </x:c>
      <x:c r="J12" s="325" t="n">
        <x:v>6</x:v>
      </x:c>
      <x:c r="K12" s="263" t="str">
        <x:v>-6</x:v>
      </x:c>
      <x:c r="L12" s="263" t="str">
        <x:v>https://www.sec.gov/Archives/edgar/data/59478/000005947826000081/lly-20260630.htm</x:v>
      </x:c>
      <x:c r="M12" s="263" t="str">
        <x:v>Exact tag, USD duration, exact start and end dates, no dimensions</x:v>
      </x:c>
      <x:c r="N12" s="318" t="str"/>
      <x:c r="O12" s="326" t="str"/>
      <x:c r="P12" s="241"/>
      <x:c r="Q12" s="241"/>
      <x:c r="R12" s="241"/>
      <x:c r="S12" s="241"/>
      <x:c r="T12" s="223"/>
    </x:row>
    <x:row r="13" ht="65" customHeight="1">
      <x:c r="A13" s="222"/>
      <x:c r="B13" s="241"/>
      <x:c r="C13" s="241"/>
      <x:c r="D13" s="241"/>
      <x:c r="E13" s="241"/>
      <x:c r="F13" s="241"/>
      <x:c r="G13" s="241"/>
      <x:c r="H13" s="241"/>
      <x:c r="I13" s="241"/>
      <x:c r="J13" s="241"/>
      <x:c r="K13" s="241"/>
      <x:c r="L13" s="241"/>
      <x:c r="M13" s="241"/>
      <x:c r="N13" s="241"/>
      <x:c r="O13" s="241"/>
      <x:c r="P13" s="241"/>
      <x:c r="Q13" s="241"/>
      <x:c r="R13" s="241"/>
      <x:c r="S13" s="241"/>
      <x:c r="T13" s="223"/>
    </x:row>
    <x:row r="14" ht="65" customHeight="1">
      <x:c r="A14" s="222"/>
      <x:c r="B14" s="241"/>
      <x:c r="C14" s="241"/>
      <x:c r="D14" s="241"/>
      <x:c r="E14" s="241"/>
      <x:c r="F14" s="241"/>
      <x:c r="G14" s="241"/>
      <x:c r="H14" s="241"/>
      <x:c r="I14" s="241"/>
      <x:c r="J14" s="241"/>
      <x:c r="K14" s="241"/>
      <x:c r="L14" s="241"/>
      <x:c r="M14" s="241"/>
      <x:c r="N14" s="241"/>
      <x:c r="O14" s="241"/>
      <x:c r="P14" s="241"/>
      <x:c r="Q14" s="241"/>
      <x:c r="R14" s="241"/>
      <x:c r="S14" s="241"/>
      <x:c r="T14" s="223"/>
    </x:row>
    <x:row r="15" ht="80" customHeight="1">
      <x:c r="A15" s="226" t="str">
        <x:v>Disclosure</x:v>
      </x:c>
      <x:c r="B15" s="242" t="str">
        <x:v>Amount as disclosed</x:v>
      </x:c>
      <x:c r="C15" s="242" t="str">
        <x:v>As of</x:v>
      </x:c>
      <x:c r="D15" s="242" t="str">
        <x:v>Form</x:v>
      </x:c>
      <x:c r="E15" s="242" t="str">
        <x:v>Filed</x:v>
      </x:c>
      <x:c r="F15" s="242" t="str">
        <x:v>Accession</x:v>
      </x:c>
      <x:c r="G15" s="242" t="str">
        <x:v>Source</x:v>
      </x:c>
      <x:c r="H15" s="242" t="str">
        <x:v>Filing location</x:v>
      </x:c>
      <x:c r="I15" s="277" t="str">
        <x:v>Conditions</x:v>
      </x:c>
      <x:c r="J15" s="241"/>
      <x:c r="K15" s="241"/>
      <x:c r="L15" s="241"/>
      <x:c r="M15" s="241"/>
      <x:c r="N15" s="241"/>
      <x:c r="O15" s="241"/>
      <x:c r="P15" s="241"/>
      <x:c r="Q15" s="241"/>
      <x:c r="R15" s="241"/>
      <x:c r="S15" s="241"/>
      <x:c r="T15" s="223"/>
    </x:row>
    <x:row r="16" ht="80" customHeight="1">
      <x:c r="A16" s="234" t="str">
        <x:v>Pending AtaiBeckley acquisition</x:v>
      </x:c>
      <x:c r="B16" s="245" t="str">
        <x:v>Approximately $2.8B</x:v>
      </x:c>
      <x:c r="C16" s="244" t="d">
        <x:v>2026-08-05T00:00:00.000Z</x:v>
      </x:c>
      <x:c r="D16" s="245" t="str">
        <x:v>10-Q</x:v>
      </x:c>
      <x:c r="E16" s="244" t="d">
        <x:v>2026-08-05T00:00:00.000Z</x:v>
      </x:c>
      <x:c r="F16" s="245" t="str">
        <x:v>0000059478-26-000081</x:v>
      </x:c>
      <x:c r="G16" s="245" t="str">
        <x:v>https://www.sec.gov/Archives/edgar/data/59478/000005947826000081/lly-20260630.htm</x:v>
      </x:c>
      <x:c r="H16" s="245" t="str">
        <x:v>10-Q MD&amp;A, p. 31</x:v>
      </x:c>
      <x:c r="I16" s="305" t="str">
        <x:v>Potential payment at closing, subject to closing conditions. Not recognized as borrowing.</x:v>
      </x:c>
      <x:c r="J16" s="241"/>
      <x:c r="K16" s="241"/>
      <x:c r="L16" s="241"/>
      <x:c r="M16" s="241"/>
      <x:c r="N16" s="241"/>
      <x:c r="O16" s="241"/>
      <x:c r="P16" s="241"/>
      <x:c r="Q16" s="241"/>
      <x:c r="R16" s="241"/>
      <x:c r="S16" s="241"/>
      <x:c r="T16" s="223"/>
    </x:row>
    <x:row r="17" ht="80" customHeight="1">
      <x:c r="A17" s="235" t="str">
        <x:v>Venture fund commitments</x:v>
      </x:c>
      <x:c r="B17" s="263" t="str">
        <x:v>Approximately $806M</x:v>
      </x:c>
      <x:c r="C17" s="262" t="d">
        <x:v>2026-06-30T00:00:00.000Z</x:v>
      </x:c>
      <x:c r="D17" s="263" t="str">
        <x:v>10-Q</x:v>
      </x:c>
      <x:c r="E17" s="262" t="d">
        <x:v>2026-08-05T00:00:00.000Z</x:v>
      </x:c>
      <x:c r="F17" s="263" t="str">
        <x:v>0000059478-26-000081</x:v>
      </x:c>
      <x:c r="G17" s="263" t="str">
        <x:v>https://www.sec.gov/Archives/edgar/data/59478/000005947826000081/lly-20260630.htm</x:v>
      </x:c>
      <x:c r="H17" s="263" t="str">
        <x:v>10-Q MD&amp;A, p. 31; Note 8</x:v>
      </x:c>
      <x:c r="I17" s="314" t="str">
        <x:v>Expected to be paid over up to ten years. Not recognized as borrowing.</x:v>
      </x:c>
      <x:c r="J17" s="241"/>
      <x:c r="K17" s="241"/>
      <x:c r="L17" s="241"/>
      <x:c r="M17" s="241"/>
      <x:c r="N17" s="241"/>
      <x:c r="O17" s="241"/>
      <x:c r="P17" s="241"/>
      <x:c r="Q17" s="241"/>
      <x:c r="R17" s="241"/>
      <x:c r="S17" s="241"/>
      <x:c r="T17" s="223"/>
    </x:row>
    <x:row r="18" ht="65" customHeight="1">
      <x:c r="A18" s="222"/>
      <x:c r="B18" s="241"/>
      <x:c r="C18" s="241"/>
      <x:c r="D18" s="241"/>
      <x:c r="E18" s="241"/>
      <x:c r="F18" s="241"/>
      <x:c r="G18" s="241"/>
      <x:c r="H18" s="241"/>
      <x:c r="I18" s="241"/>
      <x:c r="J18" s="241"/>
      <x:c r="K18" s="241"/>
      <x:c r="L18" s="241"/>
      <x:c r="M18" s="241"/>
      <x:c r="N18" s="241"/>
      <x:c r="O18" s="241"/>
      <x:c r="P18" s="241"/>
      <x:c r="Q18" s="241"/>
      <x:c r="R18" s="241"/>
      <x:c r="S18" s="241"/>
      <x:c r="T18" s="223"/>
    </x:row>
    <x:row r="19" ht="65" customHeight="1">
      <x:c r="A19" s="222"/>
      <x:c r="B19" s="241"/>
      <x:c r="C19" s="241"/>
      <x:c r="D19" s="241"/>
      <x:c r="E19" s="241"/>
      <x:c r="F19" s="241"/>
      <x:c r="G19" s="241"/>
      <x:c r="H19" s="241"/>
      <x:c r="I19" s="241"/>
      <x:c r="J19" s="241"/>
      <x:c r="K19" s="241"/>
      <x:c r="L19" s="241"/>
      <x:c r="M19" s="241"/>
      <x:c r="N19" s="241"/>
      <x:c r="O19" s="241"/>
      <x:c r="P19" s="241"/>
      <x:c r="Q19" s="241"/>
      <x:c r="R19" s="241"/>
      <x:c r="S19" s="241"/>
      <x:c r="T19" s="223"/>
    </x:row>
    <x:row r="20" ht="85" customHeight="1">
      <x:c r="A20" s="226" t="str">
        <x:v>Review input key</x:v>
      </x:c>
      <x:c r="B20" s="242" t="str">
        <x:v>USD millions</x:v>
      </x:c>
      <x:c r="C20" s="242" t="str">
        <x:v>Label</x:v>
      </x:c>
      <x:c r="D20" s="242" t="str">
        <x:v>Period start</x:v>
      </x:c>
      <x:c r="E20" s="242" t="str">
        <x:v>Date / disclosure basis</x:v>
      </x:c>
      <x:c r="F20" s="242" t="str">
        <x:v>Form</x:v>
      </x:c>
      <x:c r="G20" s="242" t="str">
        <x:v>Filed</x:v>
      </x:c>
      <x:c r="H20" s="242" t="str">
        <x:v>Accession</x:v>
      </x:c>
      <x:c r="I20" s="242" t="str">
        <x:v>Tag</x:v>
      </x:c>
      <x:c r="J20" s="242" t="str">
        <x:v>Context</x:v>
      </x:c>
      <x:c r="K20" s="242" t="str">
        <x:v>Scale</x:v>
      </x:c>
      <x:c r="L20" s="242" t="str">
        <x:v>Decimals</x:v>
      </x:c>
      <x:c r="M20" s="242" t="str">
        <x:v>Source</x:v>
      </x:c>
      <x:c r="N20" s="242" t="str">
        <x:v>Filing location</x:v>
      </x:c>
      <x:c r="O20" s="242" t="str">
        <x:v>Source kind</x:v>
      </x:c>
      <x:c r="P20" s="242" t="str">
        <x:v>Dimensions</x:v>
      </x:c>
      <x:c r="Q20" s="242" t="str">
        <x:v>Limitations</x:v>
      </x:c>
      <x:c r="R20" s="277" t="str">
        <x:v>Reviewed source SHA256</x:v>
      </x:c>
      <x:c r="S20" s="327" t="str">
        <x:v>Fixed coupon, fraction</x:v>
      </x:c>
      <x:c r="T20" s="227" t="str">
        <x:v>Compounded SOFR margin, fraction</x:v>
      </x:c>
    </x:row>
    <x:row r="21" ht="85" customHeight="1">
      <x:c r="A21" s="234" t="str">
        <x:v>ocf</x:v>
      </x:c>
      <x:c r="B21" s="321" t="n">
        <x:v>16023000000</x:v>
      </x:c>
      <x:c r="C21" s="245" t="str">
        <x:v>Operating cash flow</x:v>
      </x:c>
      <x:c r="D21" s="244" t="d">
        <x:v>2026-01-01T00:00:00.000Z</x:v>
      </x:c>
      <x:c r="E21" s="244" t="d">
        <x:v>2026-06-30T00:00:00.000Z</x:v>
      </x:c>
      <x:c r="F21" s="245" t="str">
        <x:v>10-Q</x:v>
      </x:c>
      <x:c r="G21" s="244" t="d">
        <x:v>2026-08-05T00:00:00.000Z</x:v>
      </x:c>
      <x:c r="H21" s="245" t="str">
        <x:v>0000059478-26-000081</x:v>
      </x:c>
      <x:c r="I21" s="245" t="str">
        <x:v>us-gaap:NetCashProvidedByUsedInOperatingActivities</x:v>
      </x:c>
      <x:c r="J21" s="245" t="str">
        <x:v>c-1</x:v>
      </x:c>
      <x:c r="K21" s="323" t="n">
        <x:v>6</x:v>
      </x:c>
      <x:c r="L21" s="245" t="str">
        <x:v>-6</x:v>
      </x:c>
      <x:c r="M21" s="245" t="str">
        <x:v>https://www.sec.gov/Archives/edgar/data/59478/000005947826000081/lly-20260630.htm</x:v>
      </x:c>
      <x:c r="N21" s="245" t="str">
        <x:v>Cash flows p. 8</x:v>
      </x:c>
      <x:c r="O21" s="245" t="str">
        <x:v>Inline XBRL</x:v>
      </x:c>
      <x:c r="P21" s="245" t="str">
        <x:v>None (consolidated total)</x:v>
      </x:c>
      <x:c r="Q21" s="312" t="str"/>
      <x:c r="R21" s="305" t="str">
        <x:v>8e8f10cf3af98bc12a41985a98cfde9c2b9da8a812af18515d34ce3d8e1c1b3d</x:v>
      </x:c>
      <x:c r="S21" s="328"/>
      <x:c r="T21" s="329"/>
    </x:row>
    <x:row r="22" ht="85" customHeight="1">
      <x:c r="A22" s="234" t="str">
        <x:v>capex</x:v>
      </x:c>
      <x:c r="B22" s="321" t="n">
        <x:v>5259000000</x:v>
      </x:c>
      <x:c r="C22" s="245" t="str">
        <x:v>Cash purchases of other PP&amp;E</x:v>
      </x:c>
      <x:c r="D22" s="244" t="d">
        <x:v>2026-01-01T00:00:00.000Z</x:v>
      </x:c>
      <x:c r="E22" s="244" t="d">
        <x:v>2026-06-30T00:00:00.000Z</x:v>
      </x:c>
      <x:c r="F22" s="245" t="str">
        <x:v>10-Q</x:v>
      </x:c>
      <x:c r="G22" s="244" t="d">
        <x:v>2026-08-05T00:00:00.000Z</x:v>
      </x:c>
      <x:c r="H22" s="245" t="str">
        <x:v>0000059478-26-000081</x:v>
      </x:c>
      <x:c r="I22" s="245" t="str">
        <x:v>us-gaap:PaymentsToAcquireOtherPropertyPlantAndEquipment</x:v>
      </x:c>
      <x:c r="J22" s="245" t="str">
        <x:v>c-1</x:v>
      </x:c>
      <x:c r="K22" s="323" t="n">
        <x:v>6</x:v>
      </x:c>
      <x:c r="L22" s="245" t="str">
        <x:v>-6</x:v>
      </x:c>
      <x:c r="M22" s="245" t="str">
        <x:v>https://www.sec.gov/Archives/edgar/data/59478/000005947826000081/lly-20260630.htm</x:v>
      </x:c>
      <x:c r="N22" s="245" t="str">
        <x:v>Cash flows p. 8</x:v>
      </x:c>
      <x:c r="O22" s="245" t="str">
        <x:v>Inline XBRL</x:v>
      </x:c>
      <x:c r="P22" s="245" t="str">
        <x:v>None (consolidated total)</x:v>
      </x:c>
      <x:c r="Q22" s="312" t="str"/>
      <x:c r="R22" s="305" t="str">
        <x:v>8e8f10cf3af98bc12a41985a98cfde9c2b9da8a812af18515d34ce3d8e1c1b3d</x:v>
      </x:c>
      <x:c r="S22" s="328"/>
      <x:c r="T22" s="329"/>
    </x:row>
    <x:row r="23" ht="85" customHeight="1">
      <x:c r="A23" s="234" t="str">
        <x:v>investments</x:v>
      </x:c>
      <x:c r="B23" s="321" t="n">
        <x:v>604000000</x:v>
      </x:c>
      <x:c r="C23" s="245" t="str">
        <x:v>Investment purchases</x:v>
      </x:c>
      <x:c r="D23" s="244" t="d">
        <x:v>2026-01-01T00:00:00.000Z</x:v>
      </x:c>
      <x:c r="E23" s="244" t="d">
        <x:v>2026-06-30T00:00:00.000Z</x:v>
      </x:c>
      <x:c r="F23" s="245" t="str">
        <x:v>10-Q</x:v>
      </x:c>
      <x:c r="G23" s="244" t="d">
        <x:v>2026-08-05T00:00:00.000Z</x:v>
      </x:c>
      <x:c r="H23" s="245" t="str">
        <x:v>0000059478-26-000081</x:v>
      </x:c>
      <x:c r="I23" s="245" t="str">
        <x:v>us-gaap:PaymentsToAcquireOtherInvestments</x:v>
      </x:c>
      <x:c r="J23" s="245" t="str">
        <x:v>c-1</x:v>
      </x:c>
      <x:c r="K23" s="323" t="n">
        <x:v>6</x:v>
      </x:c>
      <x:c r="L23" s="245" t="str">
        <x:v>-6</x:v>
      </x:c>
      <x:c r="M23" s="245" t="str">
        <x:v>https://www.sec.gov/Archives/edgar/data/59478/000005947826000081/lly-20260630.htm</x:v>
      </x:c>
      <x:c r="N23" s="245" t="str">
        <x:v>Cash flows p. 8</x:v>
      </x:c>
      <x:c r="O23" s="245" t="str">
        <x:v>Inline XBRL</x:v>
      </x:c>
      <x:c r="P23" s="245" t="str">
        <x:v>None (consolidated total)</x:v>
      </x:c>
      <x:c r="Q23" s="312" t="str"/>
      <x:c r="R23" s="305" t="str">
        <x:v>8e8f10cf3af98bc12a41985a98cfde9c2b9da8a812af18515d34ce3d8e1c1b3d</x:v>
      </x:c>
      <x:c r="S23" s="328"/>
      <x:c r="T23" s="329"/>
    </x:row>
    <x:row r="24" ht="85" customHeight="1">
      <x:c r="A24" s="234" t="str">
        <x:v>iprd</x:v>
      </x:c>
      <x:c r="B24" s="321" t="n">
        <x:v>3486000000</x:v>
      </x:c>
      <x:c r="C24" s="245" t="str">
        <x:v>Purchased in-process R&amp;D</x:v>
      </x:c>
      <x:c r="D24" s="244" t="d">
        <x:v>2026-01-01T00:00:00.000Z</x:v>
      </x:c>
      <x:c r="E24" s="244" t="d">
        <x:v>2026-06-30T00:00:00.000Z</x:v>
      </x:c>
      <x:c r="F24" s="245" t="str">
        <x:v>10-Q</x:v>
      </x:c>
      <x:c r="G24" s="244" t="d">
        <x:v>2026-08-05T00:00:00.000Z</x:v>
      </x:c>
      <x:c r="H24" s="245" t="str">
        <x:v>0000059478-26-000081</x:v>
      </x:c>
      <x:c r="I24" s="245" t="str">
        <x:v>us-gaap:PaymentsToAcquireInProcessResearchAndDevelopment</x:v>
      </x:c>
      <x:c r="J24" s="245" t="str">
        <x:v>c-1</x:v>
      </x:c>
      <x:c r="K24" s="323" t="n">
        <x:v>6</x:v>
      </x:c>
      <x:c r="L24" s="245" t="str">
        <x:v>-6</x:v>
      </x:c>
      <x:c r="M24" s="245" t="str">
        <x:v>https://www.sec.gov/Archives/edgar/data/59478/000005947826000081/lly-20260630.htm</x:v>
      </x:c>
      <x:c r="N24" s="245" t="str">
        <x:v>Cash flows p. 8</x:v>
      </x:c>
      <x:c r="O24" s="245" t="str">
        <x:v>Inline XBRL</x:v>
      </x:c>
      <x:c r="P24" s="245" t="str">
        <x:v>None (consolidated total)</x:v>
      </x:c>
      <x:c r="Q24" s="312" t="str"/>
      <x:c r="R24" s="305" t="str">
        <x:v>8e8f10cf3af98bc12a41985a98cfde9c2b9da8a812af18515d34ce3d8e1c1b3d</x:v>
      </x:c>
      <x:c r="S24" s="328"/>
      <x:c r="T24" s="329"/>
    </x:row>
    <x:row r="25" ht="85" customHeight="1">
      <x:c r="A25" s="234" t="str">
        <x:v>acquisitions</x:v>
      </x:c>
      <x:c r="B25" s="321" t="n">
        <x:v>9805000000</x:v>
      </x:c>
      <x:c r="C25" s="245" t="str">
        <x:v>Acquisitions, net of cash acquired</x:v>
      </x:c>
      <x:c r="D25" s="244" t="d">
        <x:v>2026-01-01T00:00:00.000Z</x:v>
      </x:c>
      <x:c r="E25" s="244" t="d">
        <x:v>2026-06-30T00:00:00.000Z</x:v>
      </x:c>
      <x:c r="F25" s="245" t="str">
        <x:v>10-Q</x:v>
      </x:c>
      <x:c r="G25" s="244" t="d">
        <x:v>2026-08-05T00:00:00.000Z</x:v>
      </x:c>
      <x:c r="H25" s="245" t="str">
        <x:v>0000059478-26-000081</x:v>
      </x:c>
      <x:c r="I25" s="245" t="str">
        <x:v>us-gaap:OtherPaymentsToAcquireBusinesses</x:v>
      </x:c>
      <x:c r="J25" s="245" t="str">
        <x:v>c-1</x:v>
      </x:c>
      <x:c r="K25" s="323" t="n">
        <x:v>6</x:v>
      </x:c>
      <x:c r="L25" s="245" t="str">
        <x:v>-6</x:v>
      </x:c>
      <x:c r="M25" s="245" t="str">
        <x:v>https://www.sec.gov/Archives/edgar/data/59478/000005947826000081/lly-20260630.htm</x:v>
      </x:c>
      <x:c r="N25" s="245" t="str">
        <x:v>Cash flows p. 8</x:v>
      </x:c>
      <x:c r="O25" s="245" t="str">
        <x:v>Inline XBRL</x:v>
      </x:c>
      <x:c r="P25" s="245" t="str">
        <x:v>None (consolidated total)</x:v>
      </x:c>
      <x:c r="Q25" s="312" t="str"/>
      <x:c r="R25" s="305" t="str">
        <x:v>8e8f10cf3af98bc12a41985a98cfde9c2b9da8a812af18515d34ce3d8e1c1b3d</x:v>
      </x:c>
      <x:c r="S25" s="328"/>
      <x:c r="T25" s="329"/>
    </x:row>
    <x:row r="26" ht="85" customHeight="1">
      <x:c r="A26" s="234" t="str">
        <x:v>other_investing</x:v>
      </x:c>
      <x:c r="B26" s="321" t="n">
        <x:v>158000000</x:v>
      </x:c>
      <x:c r="C26" s="245" t="str">
        <x:v>Other investing cash used</x:v>
      </x:c>
      <x:c r="D26" s="244" t="d">
        <x:v>2026-01-01T00:00:00.000Z</x:v>
      </x:c>
      <x:c r="E26" s="244" t="d">
        <x:v>2026-06-30T00:00:00.000Z</x:v>
      </x:c>
      <x:c r="F26" s="245" t="str">
        <x:v>10-Q</x:v>
      </x:c>
      <x:c r="G26" s="244" t="d">
        <x:v>2026-08-05T00:00:00.000Z</x:v>
      </x:c>
      <x:c r="H26" s="245" t="str">
        <x:v>0000059478-26-000081</x:v>
      </x:c>
      <x:c r="I26" s="245" t="str">
        <x:v>us-gaap:PaymentsForProceedsFromOtherInvestingActivities</x:v>
      </x:c>
      <x:c r="J26" s="245" t="str">
        <x:v>c-1</x:v>
      </x:c>
      <x:c r="K26" s="323" t="n">
        <x:v>6</x:v>
      </x:c>
      <x:c r="L26" s="245" t="str">
        <x:v>-6</x:v>
      </x:c>
      <x:c r="M26" s="245" t="str">
        <x:v>https://www.sec.gov/Archives/edgar/data/59478/000005947826000081/lly-20260630.htm</x:v>
      </x:c>
      <x:c r="N26" s="245" t="str">
        <x:v>Cash flows p. 8</x:v>
      </x:c>
      <x:c r="O26" s="245" t="str">
        <x:v>Inline XBRL</x:v>
      </x:c>
      <x:c r="P26" s="245" t="str">
        <x:v>None (consolidated total)</x:v>
      </x:c>
      <x:c r="Q26" s="312" t="str"/>
      <x:c r="R26" s="305" t="str">
        <x:v>8e8f10cf3af98bc12a41985a98cfde9c2b9da8a812af18515d34ce3d8e1c1b3d</x:v>
      </x:c>
      <x:c r="S26" s="328"/>
      <x:c r="T26" s="329"/>
    </x:row>
    <x:row r="27" ht="85" customHeight="1">
      <x:c r="A27" s="234" t="str">
        <x:v>investing_total</x:v>
      </x:c>
      <x:c r="B27" s="321" t="n">
        <x:v>-19312000000</x:v>
      </x:c>
      <x:c r="C27" s="245" t="str">
        <x:v>Reported net investing cash flow</x:v>
      </x:c>
      <x:c r="D27" s="244" t="d">
        <x:v>2026-01-01T00:00:00.000Z</x:v>
      </x:c>
      <x:c r="E27" s="244" t="d">
        <x:v>2026-06-30T00:00:00.000Z</x:v>
      </x:c>
      <x:c r="F27" s="245" t="str">
        <x:v>10-Q</x:v>
      </x:c>
      <x:c r="G27" s="244" t="d">
        <x:v>2026-08-05T00:00:00.000Z</x:v>
      </x:c>
      <x:c r="H27" s="245" t="str">
        <x:v>0000059478-26-000081</x:v>
      </x:c>
      <x:c r="I27" s="245" t="str">
        <x:v>us-gaap:NetCashProvidedByUsedInInvestingActivities</x:v>
      </x:c>
      <x:c r="J27" s="245" t="str">
        <x:v>c-1</x:v>
      </x:c>
      <x:c r="K27" s="323" t="n">
        <x:v>6</x:v>
      </x:c>
      <x:c r="L27" s="245" t="str">
        <x:v>-6</x:v>
      </x:c>
      <x:c r="M27" s="245" t="str">
        <x:v>https://www.sec.gov/Archives/edgar/data/59478/000005947826000081/lly-20260630.htm</x:v>
      </x:c>
      <x:c r="N27" s="245" t="str">
        <x:v>Cash flows p. 8</x:v>
      </x:c>
      <x:c r="O27" s="245" t="str">
        <x:v>Inline XBRL</x:v>
      </x:c>
      <x:c r="P27" s="245" t="str">
        <x:v>None (consolidated total)</x:v>
      </x:c>
      <x:c r="Q27" s="312" t="str"/>
      <x:c r="R27" s="305" t="str">
        <x:v>8e8f10cf3af98bc12a41985a98cfde9c2b9da8a812af18515d34ce3d8e1c1b3d</x:v>
      </x:c>
      <x:c r="S27" s="328"/>
      <x:c r="T27" s="329"/>
    </x:row>
    <x:row r="28" ht="85" customHeight="1">
      <x:c r="A28" s="234" t="str">
        <x:v>dividends</x:v>
      </x:c>
      <x:c r="B28" s="321" t="n">
        <x:v>3094000000</x:v>
      </x:c>
      <x:c r="C28" s="245" t="str">
        <x:v>Cash dividends</x:v>
      </x:c>
      <x:c r="D28" s="244" t="d">
        <x:v>2026-01-01T00:00:00.000Z</x:v>
      </x:c>
      <x:c r="E28" s="244" t="d">
        <x:v>2026-06-30T00:00:00.000Z</x:v>
      </x:c>
      <x:c r="F28" s="245" t="str">
        <x:v>10-Q</x:v>
      </x:c>
      <x:c r="G28" s="244" t="d">
        <x:v>2026-08-05T00:00:00.000Z</x:v>
      </x:c>
      <x:c r="H28" s="245" t="str">
        <x:v>0000059478-26-000081</x:v>
      </x:c>
      <x:c r="I28" s="245" t="str">
        <x:v>us-gaap:PaymentsOfDividends</x:v>
      </x:c>
      <x:c r="J28" s="245" t="str">
        <x:v>c-1</x:v>
      </x:c>
      <x:c r="K28" s="323" t="n">
        <x:v>6</x:v>
      </x:c>
      <x:c r="L28" s="245" t="str">
        <x:v>-6</x:v>
      </x:c>
      <x:c r="M28" s="245" t="str">
        <x:v>https://www.sec.gov/Archives/edgar/data/59478/000005947826000081/lly-20260630.htm</x:v>
      </x:c>
      <x:c r="N28" s="245" t="str">
        <x:v>Cash flows p. 8</x:v>
      </x:c>
      <x:c r="O28" s="245" t="str">
        <x:v>Inline XBRL</x:v>
      </x:c>
      <x:c r="P28" s="245" t="str">
        <x:v>None (consolidated total)</x:v>
      </x:c>
      <x:c r="Q28" s="312" t="str"/>
      <x:c r="R28" s="305" t="str">
        <x:v>8e8f10cf3af98bc12a41985a98cfde9c2b9da8a812af18515d34ce3d8e1c1b3d</x:v>
      </x:c>
      <x:c r="S28" s="328"/>
      <x:c r="T28" s="329"/>
    </x:row>
    <x:row r="29" ht="85" customHeight="1">
      <x:c r="A29" s="234" t="str">
        <x:v>short_debt</x:v>
      </x:c>
      <x:c r="B29" s="321" t="n">
        <x:v>5284000000</x:v>
      </x:c>
      <x:c r="C29" s="245" t="str">
        <x:v>Short-term borrowings, net</x:v>
      </x:c>
      <x:c r="D29" s="244" t="d">
        <x:v>2026-01-01T00:00:00.000Z</x:v>
      </x:c>
      <x:c r="E29" s="244" t="d">
        <x:v>2026-06-30T00:00:00.000Z</x:v>
      </x:c>
      <x:c r="F29" s="245" t="str">
        <x:v>10-Q</x:v>
      </x:c>
      <x:c r="G29" s="244" t="d">
        <x:v>2026-08-05T00:00:00.000Z</x:v>
      </x:c>
      <x:c r="H29" s="245" t="str">
        <x:v>0000059478-26-000081</x:v>
      </x:c>
      <x:c r="I29" s="245" t="str">
        <x:v>us-gaap:ProceedsFromRepaymentsOfShortTermDebt</x:v>
      </x:c>
      <x:c r="J29" s="245" t="str">
        <x:v>c-1</x:v>
      </x:c>
      <x:c r="K29" s="323" t="n">
        <x:v>6</x:v>
      </x:c>
      <x:c r="L29" s="245" t="str">
        <x:v>-6</x:v>
      </x:c>
      <x:c r="M29" s="245" t="str">
        <x:v>https://www.sec.gov/Archives/edgar/data/59478/000005947826000081/lly-20260630.htm</x:v>
      </x:c>
      <x:c r="N29" s="245" t="str">
        <x:v>Cash flows p. 8</x:v>
      </x:c>
      <x:c r="O29" s="245" t="str">
        <x:v>Inline XBRL</x:v>
      </x:c>
      <x:c r="P29" s="245" t="str">
        <x:v>None (consolidated total)</x:v>
      </x:c>
      <x:c r="Q29" s="312" t="str"/>
      <x:c r="R29" s="305" t="str">
        <x:v>8e8f10cf3af98bc12a41985a98cfde9c2b9da8a812af18515d34ce3d8e1c1b3d</x:v>
      </x:c>
      <x:c r="S29" s="328"/>
      <x:c r="T29" s="329"/>
    </x:row>
    <x:row r="30" ht="85" customHeight="1">
      <x:c r="A30" s="234" t="str">
        <x:v>long_proceeds</x:v>
      </x:c>
      <x:c r="B30" s="321" t="n">
        <x:v>8941000000</x:v>
      </x:c>
      <x:c r="C30" s="245" t="str">
        <x:v>Long-term borrowing proceeds, net</x:v>
      </x:c>
      <x:c r="D30" s="244" t="d">
        <x:v>2026-01-01T00:00:00.000Z</x:v>
      </x:c>
      <x:c r="E30" s="244" t="d">
        <x:v>2026-06-30T00:00:00.000Z</x:v>
      </x:c>
      <x:c r="F30" s="245" t="str">
        <x:v>10-Q</x:v>
      </x:c>
      <x:c r="G30" s="244" t="d">
        <x:v>2026-08-05T00:00:00.000Z</x:v>
      </x:c>
      <x:c r="H30" s="245" t="str">
        <x:v>0000059478-26-000081</x:v>
      </x:c>
      <x:c r="I30" s="245" t="str">
        <x:v>us-gaap:ProceedsFromIssuanceOfLongTermDebt</x:v>
      </x:c>
      <x:c r="J30" s="245" t="str">
        <x:v>c-1</x:v>
      </x:c>
      <x:c r="K30" s="323" t="n">
        <x:v>6</x:v>
      </x:c>
      <x:c r="L30" s="245" t="str">
        <x:v>-6</x:v>
      </x:c>
      <x:c r="M30" s="245" t="str">
        <x:v>https://www.sec.gov/Archives/edgar/data/59478/000005947826000081/lly-20260630.htm</x:v>
      </x:c>
      <x:c r="N30" s="245" t="str">
        <x:v>Cash flows p. 8</x:v>
      </x:c>
      <x:c r="O30" s="245" t="str">
        <x:v>Inline XBRL</x:v>
      </x:c>
      <x:c r="P30" s="245" t="str">
        <x:v>None (consolidated total)</x:v>
      </x:c>
      <x:c r="Q30" s="312" t="str"/>
      <x:c r="R30" s="305" t="str">
        <x:v>8e8f10cf3af98bc12a41985a98cfde9c2b9da8a812af18515d34ce3d8e1c1b3d</x:v>
      </x:c>
      <x:c r="S30" s="328"/>
      <x:c r="T30" s="329"/>
    </x:row>
    <x:row r="31" ht="85" customHeight="1">
      <x:c r="A31" s="234" t="str">
        <x:v>long_repayments</x:v>
      </x:c>
      <x:c r="B31" s="321" t="n">
        <x:v>1623000000</x:v>
      </x:c>
      <x:c r="C31" s="245" t="str">
        <x:v>Long-term debt repaid</x:v>
      </x:c>
      <x:c r="D31" s="244" t="d">
        <x:v>2026-01-01T00:00:00.000Z</x:v>
      </x:c>
      <x:c r="E31" s="244" t="d">
        <x:v>2026-06-30T00:00:00.000Z</x:v>
      </x:c>
      <x:c r="F31" s="245" t="str">
        <x:v>10-Q</x:v>
      </x:c>
      <x:c r="G31" s="244" t="d">
        <x:v>2026-08-05T00:00:00.000Z</x:v>
      </x:c>
      <x:c r="H31" s="245" t="str">
        <x:v>0000059478-26-000081</x:v>
      </x:c>
      <x:c r="I31" s="245" t="str">
        <x:v>us-gaap:RepaymentsOfLongTermDebt</x:v>
      </x:c>
      <x:c r="J31" s="245" t="str">
        <x:v>c-1</x:v>
      </x:c>
      <x:c r="K31" s="323" t="n">
        <x:v>6</x:v>
      </x:c>
      <x:c r="L31" s="245" t="str">
        <x:v>-6</x:v>
      </x:c>
      <x:c r="M31" s="245" t="str">
        <x:v>https://www.sec.gov/Archives/edgar/data/59478/000005947826000081/lly-20260630.htm</x:v>
      </x:c>
      <x:c r="N31" s="245" t="str">
        <x:v>Cash flows p. 8</x:v>
      </x:c>
      <x:c r="O31" s="245" t="str">
        <x:v>Inline XBRL</x:v>
      </x:c>
      <x:c r="P31" s="245" t="str">
        <x:v>None (consolidated total)</x:v>
      </x:c>
      <x:c r="Q31" s="312" t="str"/>
      <x:c r="R31" s="305" t="str">
        <x:v>8e8f10cf3af98bc12a41985a98cfde9c2b9da8a812af18515d34ce3d8e1c1b3d</x:v>
      </x:c>
      <x:c r="S31" s="328"/>
      <x:c r="T31" s="329"/>
    </x:row>
    <x:row r="32" ht="85" customHeight="1">
      <x:c r="A32" s="234" t="str">
        <x:v>buybacks</x:v>
      </x:c>
      <x:c r="B32" s="321" t="n">
        <x:v>3957000000</x:v>
      </x:c>
      <x:c r="C32" s="245" t="str">
        <x:v>Share repurchases</x:v>
      </x:c>
      <x:c r="D32" s="244" t="d">
        <x:v>2026-01-01T00:00:00.000Z</x:v>
      </x:c>
      <x:c r="E32" s="244" t="d">
        <x:v>2026-06-30T00:00:00.000Z</x:v>
      </x:c>
      <x:c r="F32" s="245" t="str">
        <x:v>10-Q</x:v>
      </x:c>
      <x:c r="G32" s="244" t="d">
        <x:v>2026-08-05T00:00:00.000Z</x:v>
      </x:c>
      <x:c r="H32" s="245" t="str">
        <x:v>0000059478-26-000081</x:v>
      </x:c>
      <x:c r="I32" s="245" t="str">
        <x:v>us-gaap:PaymentsForRepurchaseOfCommonStock</x:v>
      </x:c>
      <x:c r="J32" s="245" t="str">
        <x:v>c-1</x:v>
      </x:c>
      <x:c r="K32" s="323" t="n">
        <x:v>6</x:v>
      </x:c>
      <x:c r="L32" s="245" t="str">
        <x:v>-6</x:v>
      </x:c>
      <x:c r="M32" s="245" t="str">
        <x:v>https://www.sec.gov/Archives/edgar/data/59478/000005947826000081/lly-20260630.htm</x:v>
      </x:c>
      <x:c r="N32" s="245" t="str">
        <x:v>Cash flows p. 8</x:v>
      </x:c>
      <x:c r="O32" s="245" t="str">
        <x:v>Inline XBRL</x:v>
      </x:c>
      <x:c r="P32" s="245" t="str">
        <x:v>None (consolidated total)</x:v>
      </x:c>
      <x:c r="Q32" s="312" t="str"/>
      <x:c r="R32" s="305" t="str">
        <x:v>8e8f10cf3af98bc12a41985a98cfde9c2b9da8a812af18515d34ce3d8e1c1b3d</x:v>
      </x:c>
      <x:c r="S32" s="328"/>
      <x:c r="T32" s="329"/>
    </x:row>
    <x:row r="33" ht="85" customHeight="1">
      <x:c r="A33" s="234" t="str">
        <x:v>other_financing</x:v>
      </x:c>
      <x:c r="B33" s="321" t="n">
        <x:v>-595000000</x:v>
      </x:c>
      <x:c r="C33" s="245" t="str">
        <x:v>Other financing cash flow</x:v>
      </x:c>
      <x:c r="D33" s="244" t="d">
        <x:v>2026-01-01T00:00:00.000Z</x:v>
      </x:c>
      <x:c r="E33" s="244" t="d">
        <x:v>2026-06-30T00:00:00.000Z</x:v>
      </x:c>
      <x:c r="F33" s="245" t="str">
        <x:v>10-Q</x:v>
      </x:c>
      <x:c r="G33" s="244" t="d">
        <x:v>2026-08-05T00:00:00.000Z</x:v>
      </x:c>
      <x:c r="H33" s="245" t="str">
        <x:v>0000059478-26-000081</x:v>
      </x:c>
      <x:c r="I33" s="245" t="str">
        <x:v>us-gaap:ProceedsFromPaymentsForOtherFinancingActivities</x:v>
      </x:c>
      <x:c r="J33" s="245" t="str">
        <x:v>c-1</x:v>
      </x:c>
      <x:c r="K33" s="323" t="n">
        <x:v>6</x:v>
      </x:c>
      <x:c r="L33" s="245" t="str">
        <x:v>-6</x:v>
      </x:c>
      <x:c r="M33" s="245" t="str">
        <x:v>https://www.sec.gov/Archives/edgar/data/59478/000005947826000081/lly-20260630.htm</x:v>
      </x:c>
      <x:c r="N33" s="245" t="str">
        <x:v>Cash flows p. 8</x:v>
      </x:c>
      <x:c r="O33" s="245" t="str">
        <x:v>Inline XBRL</x:v>
      </x:c>
      <x:c r="P33" s="245" t="str">
        <x:v>None (consolidated total)</x:v>
      </x:c>
      <x:c r="Q33" s="312" t="str"/>
      <x:c r="R33" s="305" t="str">
        <x:v>8e8f10cf3af98bc12a41985a98cfde9c2b9da8a812af18515d34ce3d8e1c1b3d</x:v>
      </x:c>
      <x:c r="S33" s="328"/>
      <x:c r="T33" s="329"/>
    </x:row>
    <x:row r="34" ht="85" customHeight="1">
      <x:c r="A34" s="234" t="str">
        <x:v>financing_total</x:v>
      </x:c>
      <x:c r="B34" s="321" t="n">
        <x:v>4956000000</x:v>
      </x:c>
      <x:c r="C34" s="245" t="str">
        <x:v>Reported net financing cash flow</x:v>
      </x:c>
      <x:c r="D34" s="244" t="d">
        <x:v>2026-01-01T00:00:00.000Z</x:v>
      </x:c>
      <x:c r="E34" s="244" t="d">
        <x:v>2026-06-30T00:00:00.000Z</x:v>
      </x:c>
      <x:c r="F34" s="245" t="str">
        <x:v>10-Q</x:v>
      </x:c>
      <x:c r="G34" s="244" t="d">
        <x:v>2026-08-05T00:00:00.000Z</x:v>
      </x:c>
      <x:c r="H34" s="245" t="str">
        <x:v>0000059478-26-000081</x:v>
      </x:c>
      <x:c r="I34" s="245" t="str">
        <x:v>us-gaap:NetCashProvidedByUsedInFinancingActivities</x:v>
      </x:c>
      <x:c r="J34" s="245" t="str">
        <x:v>c-1</x:v>
      </x:c>
      <x:c r="K34" s="323" t="n">
        <x:v>6</x:v>
      </x:c>
      <x:c r="L34" s="245" t="str">
        <x:v>-6</x:v>
      </x:c>
      <x:c r="M34" s="245" t="str">
        <x:v>https://www.sec.gov/Archives/edgar/data/59478/000005947826000081/lly-20260630.htm</x:v>
      </x:c>
      <x:c r="N34" s="245" t="str">
        <x:v>Cash flows p. 8</x:v>
      </x:c>
      <x:c r="O34" s="245" t="str">
        <x:v>Inline XBRL</x:v>
      </x:c>
      <x:c r="P34" s="245" t="str">
        <x:v>None (consolidated total)</x:v>
      </x:c>
      <x:c r="Q34" s="312" t="str"/>
      <x:c r="R34" s="305" t="str">
        <x:v>8e8f10cf3af98bc12a41985a98cfde9c2b9da8a812af18515d34ce3d8e1c1b3d</x:v>
      </x:c>
      <x:c r="S34" s="328"/>
      <x:c r="T34" s="329"/>
    </x:row>
    <x:row r="35" ht="85" customHeight="1">
      <x:c r="A35" s="234" t="str">
        <x:v>fx</x:v>
      </x:c>
      <x:c r="B35" s="321" t="n">
        <x:v>15000000</x:v>
      </x:c>
      <x:c r="C35" s="245" t="str">
        <x:v>Exchange-rate effect on cash</x:v>
      </x:c>
      <x:c r="D35" s="244" t="d">
        <x:v>2026-01-01T00:00:00.000Z</x:v>
      </x:c>
      <x:c r="E35" s="244" t="d">
        <x:v>2026-06-30T00:00:00.000Z</x:v>
      </x:c>
      <x:c r="F35" s="245" t="str">
        <x:v>10-Q</x:v>
      </x:c>
      <x:c r="G35" s="244" t="d">
        <x:v>2026-08-05T00:00:00.000Z</x:v>
      </x:c>
      <x:c r="H35" s="245" t="str">
        <x:v>0000059478-26-000081</x:v>
      </x:c>
      <x:c r="I35" s="245" t="str">
        <x:v>us-gaap:EffectOfExchangeRateOnCashCashEquivalentsRestrictedCashAndRestrictedCashEquivalents</x:v>
      </x:c>
      <x:c r="J35" s="245" t="str">
        <x:v>c-1</x:v>
      </x:c>
      <x:c r="K35" s="323" t="n">
        <x:v>6</x:v>
      </x:c>
      <x:c r="L35" s="245" t="str">
        <x:v>-6</x:v>
      </x:c>
      <x:c r="M35" s="245" t="str">
        <x:v>https://www.sec.gov/Archives/edgar/data/59478/000005947826000081/lly-20260630.htm</x:v>
      </x:c>
      <x:c r="N35" s="245" t="str">
        <x:v>Cash flows p. 8</x:v>
      </x:c>
      <x:c r="O35" s="245" t="str">
        <x:v>Inline XBRL</x:v>
      </x:c>
      <x:c r="P35" s="245" t="str">
        <x:v>None (consolidated total)</x:v>
      </x:c>
      <x:c r="Q35" s="312" t="str"/>
      <x:c r="R35" s="305" t="str">
        <x:v>8e8f10cf3af98bc12a41985a98cfde9c2b9da8a812af18515d34ce3d8e1c1b3d</x:v>
      </x:c>
      <x:c r="S35" s="328"/>
      <x:c r="T35" s="329"/>
    </x:row>
    <x:row r="36" ht="85" customHeight="1">
      <x:c r="A36" s="234" t="str">
        <x:v>change</x:v>
      </x:c>
      <x:c r="B36" s="321" t="n">
        <x:v>1682000000</x:v>
      </x:c>
      <x:c r="C36" s="245" t="str">
        <x:v>Reported cash increase</x:v>
      </x:c>
      <x:c r="D36" s="244" t="d">
        <x:v>2026-01-01T00:00:00.000Z</x:v>
      </x:c>
      <x:c r="E36" s="244" t="d">
        <x:v>2026-06-30T00:00:00.000Z</x:v>
      </x:c>
      <x:c r="F36" s="245" t="str">
        <x:v>10-Q</x:v>
      </x:c>
      <x:c r="G36" s="244" t="d">
        <x:v>2026-08-05T00:00:00.000Z</x:v>
      </x:c>
      <x:c r="H36" s="245" t="str">
        <x:v>0000059478-26-000081</x:v>
      </x:c>
      <x:c r="I36" s="245" t="str">
        <x:v>us-gaap:CashCashEquivalentsRestrictedCashAndRestrictedCashEquivalentsPeriodIncreaseDecreaseIncludingExchangeRateEffect</x:v>
      </x:c>
      <x:c r="J36" s="245" t="str">
        <x:v>c-1</x:v>
      </x:c>
      <x:c r="K36" s="323" t="n">
        <x:v>6</x:v>
      </x:c>
      <x:c r="L36" s="245" t="str">
        <x:v>-6</x:v>
      </x:c>
      <x:c r="M36" s="245" t="str">
        <x:v>https://www.sec.gov/Archives/edgar/data/59478/000005947826000081/lly-20260630.htm</x:v>
      </x:c>
      <x:c r="N36" s="245" t="str">
        <x:v>Cash flows p. 8</x:v>
      </x:c>
      <x:c r="O36" s="245" t="str">
        <x:v>Inline XBRL</x:v>
      </x:c>
      <x:c r="P36" s="245" t="str">
        <x:v>None (consolidated total)</x:v>
      </x:c>
      <x:c r="Q36" s="312" t="str"/>
      <x:c r="R36" s="305" t="str">
        <x:v>8e8f10cf3af98bc12a41985a98cfde9c2b9da8a812af18515d34ce3d8e1c1b3d</x:v>
      </x:c>
      <x:c r="S36" s="328"/>
      <x:c r="T36" s="329"/>
    </x:row>
    <x:row r="37" ht="85" customHeight="1">
      <x:c r="A37" s="234" t="str">
        <x:v>opening</x:v>
      </x:c>
      <x:c r="B37" s="321" t="n">
        <x:v>7268000000</x:v>
      </x:c>
      <x:c r="C37" s="245" t="str">
        <x:v>Opening cash and equivalents</x:v>
      </x:c>
      <x:c r="D37" s="322"/>
      <x:c r="E37" s="244" t="d">
        <x:v>2025-12-31T00:00:00.000Z</x:v>
      </x:c>
      <x:c r="F37" s="245" t="str">
        <x:v>10-Q</x:v>
      </x:c>
      <x:c r="G37" s="244" t="d">
        <x:v>2026-08-05T00:00:00.000Z</x:v>
      </x:c>
      <x:c r="H37" s="245" t="str">
        <x:v>0000059478-26-000081</x:v>
      </x:c>
      <x:c r="I37" s="245" t="str">
        <x:v>us-gaap:CashAndCashEquivalentsAtCarryingValue</x:v>
      </x:c>
      <x:c r="J37" s="245" t="str">
        <x:v>c-16</x:v>
      </x:c>
      <x:c r="K37" s="323" t="n">
        <x:v>6</x:v>
      </x:c>
      <x:c r="L37" s="245" t="str">
        <x:v>-6</x:v>
      </x:c>
      <x:c r="M37" s="245" t="str">
        <x:v>https://www.sec.gov/Archives/edgar/data/59478/000005947826000081/lly-20260630.htm</x:v>
      </x:c>
      <x:c r="N37" s="245" t="str">
        <x:v>Balance sheet p. 7; cash flows p. 8</x:v>
      </x:c>
      <x:c r="O37" s="245" t="str">
        <x:v>Inline XBRL</x:v>
      </x:c>
      <x:c r="P37" s="245" t="str">
        <x:v>None (consolidated total)</x:v>
      </x:c>
      <x:c r="Q37" s="312" t="str"/>
      <x:c r="R37" s="305" t="str">
        <x:v>8e8f10cf3af98bc12a41985a98cfde9c2b9da8a812af18515d34ce3d8e1c1b3d</x:v>
      </x:c>
      <x:c r="S37" s="328"/>
      <x:c r="T37" s="329"/>
    </x:row>
    <x:row r="38" ht="85" customHeight="1">
      <x:c r="A38" s="234" t="str">
        <x:v>closing</x:v>
      </x:c>
      <x:c r="B38" s="321" t="n">
        <x:v>8950000000</x:v>
      </x:c>
      <x:c r="C38" s="245" t="str">
        <x:v>Closing cash and equivalents</x:v>
      </x:c>
      <x:c r="D38" s="322"/>
      <x:c r="E38" s="244" t="d">
        <x:v>2026-06-30T00:00:00.000Z</x:v>
      </x:c>
      <x:c r="F38" s="245" t="str">
        <x:v>10-Q</x:v>
      </x:c>
      <x:c r="G38" s="244" t="d">
        <x:v>2026-08-05T00:00:00.000Z</x:v>
      </x:c>
      <x:c r="H38" s="245" t="str">
        <x:v>0000059478-26-000081</x:v>
      </x:c>
      <x:c r="I38" s="245" t="str">
        <x:v>us-gaap:CashAndCashEquivalentsAtCarryingValue</x:v>
      </x:c>
      <x:c r="J38" s="245" t="str">
        <x:v>c-15</x:v>
      </x:c>
      <x:c r="K38" s="323" t="n">
        <x:v>6</x:v>
      </x:c>
      <x:c r="L38" s="245" t="str">
        <x:v>-6</x:v>
      </x:c>
      <x:c r="M38" s="245" t="str">
        <x:v>https://www.sec.gov/Archives/edgar/data/59478/000005947826000081/lly-20260630.htm</x:v>
      </x:c>
      <x:c r="N38" s="245" t="str">
        <x:v>Balance sheet p. 7; cash flows p. 8</x:v>
      </x:c>
      <x:c r="O38" s="245" t="str">
        <x:v>Inline XBRL</x:v>
      </x:c>
      <x:c r="P38" s="245" t="str">
        <x:v>None (consolidated total)</x:v>
      </x:c>
      <x:c r="Q38" s="312" t="str"/>
      <x:c r="R38" s="305" t="str">
        <x:v>8e8f10cf3af98bc12a41985a98cfde9c2b9da8a812af18515d34ce3d8e1c1b3d</x:v>
      </x:c>
      <x:c r="S38" s="328"/>
      <x:c r="T38" s="329"/>
    </x:row>
    <x:row r="39" ht="85" customHeight="1">
      <x:c r="A39" s="234" t="str">
        <x:v>current_debt</x:v>
      </x:c>
      <x:c r="B39" s="321" t="n">
        <x:v>7050000000</x:v>
      </x:c>
      <x:c r="C39" s="245" t="str">
        <x:v>Current borrowing</x:v>
      </x:c>
      <x:c r="D39" s="322"/>
      <x:c r="E39" s="244" t="d">
        <x:v>2026-06-30T00:00:00.000Z</x:v>
      </x:c>
      <x:c r="F39" s="245" t="str">
        <x:v>10-Q</x:v>
      </x:c>
      <x:c r="G39" s="244" t="d">
        <x:v>2026-08-05T00:00:00.000Z</x:v>
      </x:c>
      <x:c r="H39" s="245" t="str">
        <x:v>0000059478-26-000081</x:v>
      </x:c>
      <x:c r="I39" s="245" t="str">
        <x:v>us-gaap:DebtCurrent</x:v>
      </x:c>
      <x:c r="J39" s="245" t="str">
        <x:v>c-15</x:v>
      </x:c>
      <x:c r="K39" s="323" t="n">
        <x:v>6</x:v>
      </x:c>
      <x:c r="L39" s="245" t="str">
        <x:v>-6</x:v>
      </x:c>
      <x:c r="M39" s="245" t="str">
        <x:v>https://www.sec.gov/Archives/edgar/data/59478/000005947826000081/lly-20260630.htm</x:v>
      </x:c>
      <x:c r="N39" s="245" t="str">
        <x:v>Balance sheet p. 7</x:v>
      </x:c>
      <x:c r="O39" s="245" t="str">
        <x:v>Inline XBRL</x:v>
      </x:c>
      <x:c r="P39" s="245" t="str">
        <x:v>None (consolidated total)</x:v>
      </x:c>
      <x:c r="Q39" s="312" t="str"/>
      <x:c r="R39" s="305" t="str">
        <x:v>8e8f10cf3af98bc12a41985a98cfde9c2b9da8a812af18515d34ce3d8e1c1b3d</x:v>
      </x:c>
      <x:c r="S39" s="328"/>
      <x:c r="T39" s="329"/>
    </x:row>
    <x:row r="40" ht="85" customHeight="1">
      <x:c r="A40" s="234" t="str">
        <x:v>noncurrent_debt</x:v>
      </x:c>
      <x:c r="B40" s="321" t="n">
        <x:v>47858000000</x:v>
      </x:c>
      <x:c r="C40" s="245" t="str">
        <x:v>Noncurrent borrowing</x:v>
      </x:c>
      <x:c r="D40" s="322"/>
      <x:c r="E40" s="244" t="d">
        <x:v>2026-06-30T00:00:00.000Z</x:v>
      </x:c>
      <x:c r="F40" s="245" t="str">
        <x:v>10-Q</x:v>
      </x:c>
      <x:c r="G40" s="244" t="d">
        <x:v>2026-08-05T00:00:00.000Z</x:v>
      </x:c>
      <x:c r="H40" s="245" t="str">
        <x:v>0000059478-26-000081</x:v>
      </x:c>
      <x:c r="I40" s="245" t="str">
        <x:v>us-gaap:LongTermDebtNoncurrent</x:v>
      </x:c>
      <x:c r="J40" s="245" t="str">
        <x:v>c-15</x:v>
      </x:c>
      <x:c r="K40" s="323" t="n">
        <x:v>6</x:v>
      </x:c>
      <x:c r="L40" s="245" t="str">
        <x:v>-6</x:v>
      </x:c>
      <x:c r="M40" s="245" t="str">
        <x:v>https://www.sec.gov/Archives/edgar/data/59478/000005947826000081/lly-20260630.htm</x:v>
      </x:c>
      <x:c r="N40" s="245" t="str">
        <x:v>Balance sheet p. 7</x:v>
      </x:c>
      <x:c r="O40" s="245" t="str">
        <x:v>Inline XBRL</x:v>
      </x:c>
      <x:c r="P40" s="245" t="str">
        <x:v>None (consolidated total)</x:v>
      </x:c>
      <x:c r="Q40" s="312" t="str"/>
      <x:c r="R40" s="305" t="str">
        <x:v>8e8f10cf3af98bc12a41985a98cfde9c2b9da8a812af18515d34ce3d8e1c1b3d</x:v>
      </x:c>
      <x:c r="S40" s="328"/>
      <x:c r="T40" s="329"/>
    </x:row>
    <x:row r="41" ht="85" customHeight="1">
      <x:c r="A41" s="234" t="str">
        <x:v>contingent_current</x:v>
      </x:c>
      <x:c r="B41" s="321" t="n">
        <x:v>814000000</x:v>
      </x:c>
      <x:c r="C41" s="245" t="str">
        <x:v>Contingent consideration fair value: current</x:v>
      </x:c>
      <x:c r="D41" s="322"/>
      <x:c r="E41" s="244" t="d">
        <x:v>2026-06-30T00:00:00.000Z</x:v>
      </x:c>
      <x:c r="F41" s="245" t="str">
        <x:v>10-Q</x:v>
      </x:c>
      <x:c r="G41" s="244" t="d">
        <x:v>2026-08-05T00:00:00.000Z</x:v>
      </x:c>
      <x:c r="H41" s="245" t="str">
        <x:v>0000059478-26-000081</x:v>
      </x:c>
      <x:c r="I41" s="245" t="str">
        <x:v>us-gaap:BusinessCombinationContingentConsiderationLiabilityCurrent</x:v>
      </x:c>
      <x:c r="J41" s="245" t="str">
        <x:v>c-301</x:v>
      </x:c>
      <x:c r="K41" s="323" t="n">
        <x:v>6</x:v>
      </x:c>
      <x:c r="L41" s="245" t="str">
        <x:v>-6</x:v>
      </x:c>
      <x:c r="M41" s="245" t="str">
        <x:v>https://www.sec.gov/Archives/edgar/data/59478/000005947826000081/lly-20260630.htm</x:v>
      </x:c>
      <x:c r="N41" s="245" t="str">
        <x:v>Note 8 p. 17</x:v>
      </x:c>
      <x:c r="O41" s="245" t="str">
        <x:v>Inline XBRL</x:v>
      </x:c>
      <x:c r="P41" s="245" t="str">
        <x:v>us-gaap:FairValueByFairValueHierarchyLevelAxis = us-gaap:FairValueInputsLevel3Member</x:v>
      </x:c>
      <x:c r="Q41" s="312" t="str"/>
      <x:c r="R41" s="305" t="str">
        <x:v>8e8f10cf3af98bc12a41985a98cfde9c2b9da8a812af18515d34ce3d8e1c1b3d</x:v>
      </x:c>
      <x:c r="S41" s="328"/>
      <x:c r="T41" s="329"/>
    </x:row>
    <x:row r="42" ht="85" customHeight="1">
      <x:c r="A42" s="234" t="str">
        <x:v>contingent_noncurrent</x:v>
      </x:c>
      <x:c r="B42" s="321" t="n">
        <x:v>1704000000</x:v>
      </x:c>
      <x:c r="C42" s="245" t="str">
        <x:v>Contingent consideration fair value: noncurrent</x:v>
      </x:c>
      <x:c r="D42" s="322"/>
      <x:c r="E42" s="244" t="d">
        <x:v>2026-06-30T00:00:00.000Z</x:v>
      </x:c>
      <x:c r="F42" s="245" t="str">
        <x:v>10-Q</x:v>
      </x:c>
      <x:c r="G42" s="244" t="d">
        <x:v>2026-08-05T00:00:00.000Z</x:v>
      </x:c>
      <x:c r="H42" s="245" t="str">
        <x:v>0000059478-26-000081</x:v>
      </x:c>
      <x:c r="I42" s="245" t="str">
        <x:v>us-gaap:BusinessCombinationContingentConsiderationLiabilityNoncurrent</x:v>
      </x:c>
      <x:c r="J42" s="245" t="str">
        <x:v>c-301</x:v>
      </x:c>
      <x:c r="K42" s="323" t="n">
        <x:v>6</x:v>
      </x:c>
      <x:c r="L42" s="245" t="str">
        <x:v>-6</x:v>
      </x:c>
      <x:c r="M42" s="245" t="str">
        <x:v>https://www.sec.gov/Archives/edgar/data/59478/000005947826000081/lly-20260630.htm</x:v>
      </x:c>
      <x:c r="N42" s="245" t="str">
        <x:v>Note 8 p. 17</x:v>
      </x:c>
      <x:c r="O42" s="245" t="str">
        <x:v>Inline XBRL</x:v>
      </x:c>
      <x:c r="P42" s="245" t="str">
        <x:v>us-gaap:FairValueByFairValueHierarchyLevelAxis = us-gaap:FairValueInputsLevel3Member</x:v>
      </x:c>
      <x:c r="Q42" s="312" t="str"/>
      <x:c r="R42" s="305" t="str">
        <x:v>8e8f10cf3af98bc12a41985a98cfde9c2b9da8a812af18515d34ce3d8e1c1b3d</x:v>
      </x:c>
      <x:c r="S42" s="328"/>
      <x:c r="T42" s="329"/>
    </x:row>
    <x:row r="43" ht="85" customHeight="1">
      <x:c r="A43" s="234" t="str">
        <x:v>notes_2026</x:v>
      </x:c>
      <x:c r="B43" s="321" t="n">
        <x:v>1632000000</x:v>
      </x:c>
      <x:c r="C43" s="245" t="str">
        <x:v>Notes due 2026</x:v>
      </x:c>
      <x:c r="D43" s="322"/>
      <x:c r="E43" s="244" t="d">
        <x:v>2025-12-31T00:00:00.000Z</x:v>
      </x:c>
      <x:c r="F43" s="245" t="str">
        <x:v>10-K</x:v>
      </x:c>
      <x:c r="G43" s="244" t="d">
        <x:v>2026-02-12T00:00:00.000Z</x:v>
      </x:c>
      <x:c r="H43" s="245" t="str">
        <x:v>0000059478-26-000013</x:v>
      </x:c>
      <x:c r="I43" s="245" t="str">
        <x:v>us-gaap:DebtInstrumentCarryingAmount</x:v>
      </x:c>
      <x:c r="J43" s="245" t="str">
        <x:v>c-297</x:v>
      </x:c>
      <x:c r="K43" s="323" t="n">
        <x:v>6</x:v>
      </x:c>
      <x:c r="L43" s="245" t="str">
        <x:v>-6</x:v>
      </x:c>
      <x:c r="M43" s="245" t="str">
        <x:v>https://www.sec.gov/Archives/edgar/data/59478/000005947826000013/lly-20251231.htm</x:v>
      </x:c>
      <x:c r="N43" s="245" t="str">
        <x:v>Note 11 p. 76</x:v>
      </x:c>
      <x:c r="O43" s="245" t="str">
        <x:v>Inline XBRL</x:v>
      </x:c>
      <x:c r="P43" s="245" t="str">
        <x:v>us-gaap:DebtInstrumentAxis = lly:NotesDue2026Member</x:v>
      </x:c>
      <x:c r="Q43" s="312" t="str"/>
      <x:c r="R43" s="305" t="str">
        <x:v>d45f8d1e0945df0b7b30254e96ff8c5dbd1df7d15b17c8ef7399c8e0206b7d7f</x:v>
      </x:c>
      <x:c r="S43" s="328"/>
      <x:c r="T43" s="329"/>
    </x:row>
    <x:row r="44" ht="85" customHeight="1">
      <x:c r="A44" s="234" t="str">
        <x:v>notes_2027</x:v>
      </x:c>
      <x:c r="B44" s="321" t="n">
        <x:v>2516000000</x:v>
      </x:c>
      <x:c r="C44" s="245" t="str">
        <x:v>Notes due 2027</x:v>
      </x:c>
      <x:c r="D44" s="322"/>
      <x:c r="E44" s="244" t="d">
        <x:v>2025-12-31T00:00:00.000Z</x:v>
      </x:c>
      <x:c r="F44" s="245" t="str">
        <x:v>10-K</x:v>
      </x:c>
      <x:c r="G44" s="244" t="d">
        <x:v>2026-02-12T00:00:00.000Z</x:v>
      </x:c>
      <x:c r="H44" s="245" t="str">
        <x:v>0000059478-26-000013</x:v>
      </x:c>
      <x:c r="I44" s="245" t="str">
        <x:v>us-gaap:DebtInstrumentCarryingAmount</x:v>
      </x:c>
      <x:c r="J44" s="245" t="str">
        <x:v>c-301</x:v>
      </x:c>
      <x:c r="K44" s="323" t="n">
        <x:v>6</x:v>
      </x:c>
      <x:c r="L44" s="245" t="str">
        <x:v>-6</x:v>
      </x:c>
      <x:c r="M44" s="245" t="str">
        <x:v>https://www.sec.gov/Archives/edgar/data/59478/000005947826000013/lly-20251231.htm</x:v>
      </x:c>
      <x:c r="N44" s="245" t="str">
        <x:v>Note 11 p. 76</x:v>
      </x:c>
      <x:c r="O44" s="245" t="str">
        <x:v>Inline XBRL</x:v>
      </x:c>
      <x:c r="P44" s="245" t="str">
        <x:v>us-gaap:DebtInstrumentAxis = lly:NotesDue2027Member</x:v>
      </x:c>
      <x:c r="Q44" s="312" t="str"/>
      <x:c r="R44" s="305" t="str">
        <x:v>d45f8d1e0945df0b7b30254e96ff8c5dbd1df7d15b17c8ef7399c8e0206b7d7f</x:v>
      </x:c>
      <x:c r="S44" s="328"/>
      <x:c r="T44" s="329"/>
    </x:row>
    <x:row r="45" ht="85" customHeight="1">
      <x:c r="A45" s="234" t="str">
        <x:v>notes_2028</x:v>
      </x:c>
      <x:c r="B45" s="321" t="n">
        <x:v>3256000000</x:v>
      </x:c>
      <x:c r="C45" s="245" t="str">
        <x:v>Notes due 2028</x:v>
      </x:c>
      <x:c r="D45" s="322"/>
      <x:c r="E45" s="244" t="d">
        <x:v>2025-12-31T00:00:00.000Z</x:v>
      </x:c>
      <x:c r="F45" s="245" t="str">
        <x:v>10-K</x:v>
      </x:c>
      <x:c r="G45" s="244" t="d">
        <x:v>2026-02-12T00:00:00.000Z</x:v>
      </x:c>
      <x:c r="H45" s="245" t="str">
        <x:v>0000059478-26-000013</x:v>
      </x:c>
      <x:c r="I45" s="245" t="str">
        <x:v>us-gaap:DebtInstrumentCarryingAmount</x:v>
      </x:c>
      <x:c r="J45" s="245" t="str">
        <x:v>c-305</x:v>
      </x:c>
      <x:c r="K45" s="323" t="n">
        <x:v>6</x:v>
      </x:c>
      <x:c r="L45" s="245" t="str">
        <x:v>-6</x:v>
      </x:c>
      <x:c r="M45" s="245" t="str">
        <x:v>https://www.sec.gov/Archives/edgar/data/59478/000005947826000013/lly-20251231.htm</x:v>
      </x:c>
      <x:c r="N45" s="245" t="str">
        <x:v>Note 11 p. 76</x:v>
      </x:c>
      <x:c r="O45" s="245" t="str">
        <x:v>Inline XBRL</x:v>
      </x:c>
      <x:c r="P45" s="245" t="str">
        <x:v>us-gaap:DebtInstrumentAxis = lly:NotesDue2028Member</x:v>
      </x:c>
      <x:c r="Q45" s="312" t="str"/>
      <x:c r="R45" s="305" t="str">
        <x:v>d45f8d1e0945df0b7b30254e96ff8c5dbd1df7d15b17c8ef7399c8e0206b7d7f</x:v>
      </x:c>
      <x:c r="S45" s="328"/>
      <x:c r="T45" s="329"/>
    </x:row>
    <x:row r="46" ht="85" customHeight="1">
      <x:c r="A46" s="234" t="str">
        <x:v>notes_2029</x:v>
      </x:c>
      <x:c r="B46" s="321" t="n">
        <x:v>3077000000</x:v>
      </x:c>
      <x:c r="C46" s="245" t="str">
        <x:v>Notes due 2029</x:v>
      </x:c>
      <x:c r="D46" s="322"/>
      <x:c r="E46" s="244" t="d">
        <x:v>2025-12-31T00:00:00.000Z</x:v>
      </x:c>
      <x:c r="F46" s="245" t="str">
        <x:v>10-K</x:v>
      </x:c>
      <x:c r="G46" s="244" t="d">
        <x:v>2026-02-12T00:00:00.000Z</x:v>
      </x:c>
      <x:c r="H46" s="245" t="str">
        <x:v>0000059478-26-000013</x:v>
      </x:c>
      <x:c r="I46" s="245" t="str">
        <x:v>us-gaap:DebtInstrumentCarryingAmount</x:v>
      </x:c>
      <x:c r="J46" s="245" t="str">
        <x:v>c-309</x:v>
      </x:c>
      <x:c r="K46" s="323" t="n">
        <x:v>6</x:v>
      </x:c>
      <x:c r="L46" s="245" t="str">
        <x:v>-6</x:v>
      </x:c>
      <x:c r="M46" s="245" t="str">
        <x:v>https://www.sec.gov/Archives/edgar/data/59478/000005947826000013/lly-20251231.htm</x:v>
      </x:c>
      <x:c r="N46" s="245" t="str">
        <x:v>Note 11 p. 76</x:v>
      </x:c>
      <x:c r="O46" s="245" t="str">
        <x:v>Inline XBRL</x:v>
      </x:c>
      <x:c r="P46" s="245" t="str">
        <x:v>us-gaap:DebtInstrumentAxis = lly:NotesDue2029Member</x:v>
      </x:c>
      <x:c r="Q46" s="312" t="str"/>
      <x:c r="R46" s="305" t="str">
        <x:v>d45f8d1e0945df0b7b30254e96ff8c5dbd1df7d15b17c8ef7399c8e0206b7d7f</x:v>
      </x:c>
      <x:c r="S46" s="328"/>
      <x:c r="T46" s="329"/>
    </x:row>
    <x:row r="47" ht="85" customHeight="1">
      <x:c r="A47" s="234" t="str">
        <x:v>notes_2030</x:v>
      </x:c>
      <x:c r="B47" s="321" t="n">
        <x:v>2132000000</x:v>
      </x:c>
      <x:c r="C47" s="245" t="str">
        <x:v>Notes due 2030</x:v>
      </x:c>
      <x:c r="D47" s="322"/>
      <x:c r="E47" s="244" t="d">
        <x:v>2025-12-31T00:00:00.000Z</x:v>
      </x:c>
      <x:c r="F47" s="245" t="str">
        <x:v>10-K</x:v>
      </x:c>
      <x:c r="G47" s="244" t="d">
        <x:v>2026-02-12T00:00:00.000Z</x:v>
      </x:c>
      <x:c r="H47" s="245" t="str">
        <x:v>0000059478-26-000013</x:v>
      </x:c>
      <x:c r="I47" s="245" t="str">
        <x:v>us-gaap:DebtInstrumentCarryingAmount</x:v>
      </x:c>
      <x:c r="J47" s="245" t="str">
        <x:v>c-313</x:v>
      </x:c>
      <x:c r="K47" s="323" t="n">
        <x:v>6</x:v>
      </x:c>
      <x:c r="L47" s="245" t="str">
        <x:v>-6</x:v>
      </x:c>
      <x:c r="M47" s="245" t="str">
        <x:v>https://www.sec.gov/Archives/edgar/data/59478/000005947826000013/lly-20251231.htm</x:v>
      </x:c>
      <x:c r="N47" s="245" t="str">
        <x:v>Note 11 p. 76</x:v>
      </x:c>
      <x:c r="O47" s="245" t="str">
        <x:v>Inline XBRL</x:v>
      </x:c>
      <x:c r="P47" s="245" t="str">
        <x:v>us-gaap:DebtInstrumentAxis = lly:NotesDue2030Member</x:v>
      </x:c>
      <x:c r="Q47" s="312" t="str"/>
      <x:c r="R47" s="305" t="str">
        <x:v>d45f8d1e0945df0b7b30254e96ff8c5dbd1df7d15b17c8ef7399c8e0206b7d7f</x:v>
      </x:c>
      <x:c r="S47" s="328"/>
      <x:c r="T47" s="329"/>
    </x:row>
    <x:row r="48" ht="85" customHeight="1">
      <x:c r="A48" s="234" t="str">
        <x:v>notes_20312040</x:v>
      </x:c>
      <x:c r="B48" s="321" t="n">
        <x:v>11582000000</x:v>
      </x:c>
      <x:c r="C48" s="245" t="str">
        <x:v>Notes due 2031–2040</x:v>
      </x:c>
      <x:c r="D48" s="322"/>
      <x:c r="E48" s="244" t="d">
        <x:v>2025-12-31T00:00:00.000Z</x:v>
      </x:c>
      <x:c r="F48" s="245" t="str">
        <x:v>10-K</x:v>
      </x:c>
      <x:c r="G48" s="244" t="d">
        <x:v>2026-02-12T00:00:00.000Z</x:v>
      </x:c>
      <x:c r="H48" s="245" t="str">
        <x:v>0000059478-26-000013</x:v>
      </x:c>
      <x:c r="I48" s="245" t="str">
        <x:v>us-gaap:DebtInstrumentCarryingAmount</x:v>
      </x:c>
      <x:c r="J48" s="245" t="str">
        <x:v>c-317</x:v>
      </x:c>
      <x:c r="K48" s="323" t="n">
        <x:v>6</x:v>
      </x:c>
      <x:c r="L48" s="245" t="str">
        <x:v>-6</x:v>
      </x:c>
      <x:c r="M48" s="245" t="str">
        <x:v>https://www.sec.gov/Archives/edgar/data/59478/000005947826000013/lly-20251231.htm</x:v>
      </x:c>
      <x:c r="N48" s="245" t="str">
        <x:v>Note 11 p. 76</x:v>
      </x:c>
      <x:c r="O48" s="245" t="str">
        <x:v>Inline XBRL</x:v>
      </x:c>
      <x:c r="P48" s="245" t="str">
        <x:v>us-gaap:DebtInstrumentAxis = lly:NotesDue20312040Member</x:v>
      </x:c>
      <x:c r="Q48" s="312" t="str"/>
      <x:c r="R48" s="305" t="str">
        <x:v>d45f8d1e0945df0b7b30254e96ff8c5dbd1df7d15b17c8ef7399c8e0206b7d7f</x:v>
      </x:c>
      <x:c r="S48" s="328"/>
      <x:c r="T48" s="329"/>
    </x:row>
    <x:row r="49" ht="85" customHeight="1">
      <x:c r="A49" s="234" t="str">
        <x:v>notes_20412050</x:v>
      </x:c>
      <x:c r="B49" s="321" t="n">
        <x:v>4543000000</x:v>
      </x:c>
      <x:c r="C49" s="245" t="str">
        <x:v>Notes due 2041–2050</x:v>
      </x:c>
      <x:c r="D49" s="322"/>
      <x:c r="E49" s="244" t="d">
        <x:v>2025-12-31T00:00:00.000Z</x:v>
      </x:c>
      <x:c r="F49" s="245" t="str">
        <x:v>10-K</x:v>
      </x:c>
      <x:c r="G49" s="244" t="d">
        <x:v>2026-02-12T00:00:00.000Z</x:v>
      </x:c>
      <x:c r="H49" s="245" t="str">
        <x:v>0000059478-26-000013</x:v>
      </x:c>
      <x:c r="I49" s="245" t="str">
        <x:v>us-gaap:DebtInstrumentCarryingAmount</x:v>
      </x:c>
      <x:c r="J49" s="245" t="str">
        <x:v>c-321</x:v>
      </x:c>
      <x:c r="K49" s="323" t="n">
        <x:v>6</x:v>
      </x:c>
      <x:c r="L49" s="245" t="str">
        <x:v>-6</x:v>
      </x:c>
      <x:c r="M49" s="245" t="str">
        <x:v>https://www.sec.gov/Archives/edgar/data/59478/000005947826000013/lly-20251231.htm</x:v>
      </x:c>
      <x:c r="N49" s="245" t="str">
        <x:v>Note 11 p. 76</x:v>
      </x:c>
      <x:c r="O49" s="245" t="str">
        <x:v>Inline XBRL</x:v>
      </x:c>
      <x:c r="P49" s="245" t="str">
        <x:v>us-gaap:DebtInstrumentAxis = lly:NotesDue20412050Member</x:v>
      </x:c>
      <x:c r="Q49" s="312" t="str"/>
      <x:c r="R49" s="305" t="str">
        <x:v>d45f8d1e0945df0b7b30254e96ff8c5dbd1df7d15b17c8ef7399c8e0206b7d7f</x:v>
      </x:c>
      <x:c r="S49" s="328"/>
      <x:c r="T49" s="329"/>
    </x:row>
    <x:row r="50" ht="85" customHeight="1">
      <x:c r="A50" s="234" t="str">
        <x:v>notes_20512060</x:v>
      </x:c>
      <x:c r="B50" s="321" t="n">
        <x:v>8280000000</x:v>
      </x:c>
      <x:c r="C50" s="245" t="str">
        <x:v>Notes due 2051–2060</x:v>
      </x:c>
      <x:c r="D50" s="322"/>
      <x:c r="E50" s="244" t="d">
        <x:v>2025-12-31T00:00:00.000Z</x:v>
      </x:c>
      <x:c r="F50" s="245" t="str">
        <x:v>10-K</x:v>
      </x:c>
      <x:c r="G50" s="244" t="d">
        <x:v>2026-02-12T00:00:00.000Z</x:v>
      </x:c>
      <x:c r="H50" s="245" t="str">
        <x:v>0000059478-26-000013</x:v>
      </x:c>
      <x:c r="I50" s="245" t="str">
        <x:v>us-gaap:DebtInstrumentCarryingAmount</x:v>
      </x:c>
      <x:c r="J50" s="245" t="str">
        <x:v>c-325</x:v>
      </x:c>
      <x:c r="K50" s="323" t="n">
        <x:v>6</x:v>
      </x:c>
      <x:c r="L50" s="245" t="str">
        <x:v>-6</x:v>
      </x:c>
      <x:c r="M50" s="245" t="str">
        <x:v>https://www.sec.gov/Archives/edgar/data/59478/000005947826000013/lly-20251231.htm</x:v>
      </x:c>
      <x:c r="N50" s="245" t="str">
        <x:v>Note 11 p. 76</x:v>
      </x:c>
      <x:c r="O50" s="245" t="str">
        <x:v>Inline XBRL</x:v>
      </x:c>
      <x:c r="P50" s="245" t="str">
        <x:v>us-gaap:DebtInstrumentAxis = lly:NotesDue20512060Member</x:v>
      </x:c>
      <x:c r="Q50" s="312" t="str"/>
      <x:c r="R50" s="305" t="str">
        <x:v>d45f8d1e0945df0b7b30254e96ff8c5dbd1df7d15b17c8ef7399c8e0206b7d7f</x:v>
      </x:c>
      <x:c r="S50" s="328"/>
      <x:c r="T50" s="329"/>
    </x:row>
    <x:row r="51" ht="85" customHeight="1">
      <x:c r="A51" s="234" t="str">
        <x:v>notes_20612070</x:v>
      </x:c>
      <x:c r="B51" s="321" t="n">
        <x:v>5824000000</x:v>
      </x:c>
      <x:c r="C51" s="245" t="str">
        <x:v>Notes due 2061–2070</x:v>
      </x:c>
      <x:c r="D51" s="322"/>
      <x:c r="E51" s="244" t="d">
        <x:v>2025-12-31T00:00:00.000Z</x:v>
      </x:c>
      <x:c r="F51" s="245" t="str">
        <x:v>10-K</x:v>
      </x:c>
      <x:c r="G51" s="244" t="d">
        <x:v>2026-02-12T00:00:00.000Z</x:v>
      </x:c>
      <x:c r="H51" s="245" t="str">
        <x:v>0000059478-26-000013</x:v>
      </x:c>
      <x:c r="I51" s="245" t="str">
        <x:v>us-gaap:DebtInstrumentCarryingAmount</x:v>
      </x:c>
      <x:c r="J51" s="245" t="str">
        <x:v>c-329</x:v>
      </x:c>
      <x:c r="K51" s="323" t="n">
        <x:v>6</x:v>
      </x:c>
      <x:c r="L51" s="245" t="str">
        <x:v>-6</x:v>
      </x:c>
      <x:c r="M51" s="245" t="str">
        <x:v>https://www.sec.gov/Archives/edgar/data/59478/000005947826000013/lly-20251231.htm</x:v>
      </x:c>
      <x:c r="N51" s="245" t="str">
        <x:v>Note 11 p. 76</x:v>
      </x:c>
      <x:c r="O51" s="245" t="str">
        <x:v>Inline XBRL</x:v>
      </x:c>
      <x:c r="P51" s="245" t="str">
        <x:v>us-gaap:DebtInstrumentAxis = lly:NotesDue20612070Member</x:v>
      </x:c>
      <x:c r="Q51" s="312" t="str"/>
      <x:c r="R51" s="305" t="str">
        <x:v>d45f8d1e0945df0b7b30254e96ff8c5dbd1df7d15b17c8ef7399c8e0206b7d7f</x:v>
      </x:c>
      <x:c r="S51" s="328"/>
      <x:c r="T51" s="329"/>
    </x:row>
    <x:row r="52" ht="85" customHeight="1">
      <x:c r="A52" s="234" t="str">
        <x:v>adjustment</x:v>
      </x:c>
      <x:c r="B52" s="321" t="n">
        <x:v>339000000</x:v>
      </x:c>
      <x:c r="C52" s="245" t="str">
        <x:v>Other long-term debt and adjustments (source magnitude)</x:v>
      </x:c>
      <x:c r="D52" s="322"/>
      <x:c r="E52" s="244" t="d">
        <x:v>2025-12-31T00:00:00.000Z</x:v>
      </x:c>
      <x:c r="F52" s="245" t="str">
        <x:v>10-K</x:v>
      </x:c>
      <x:c r="G52" s="244" t="d">
        <x:v>2026-02-12T00:00:00.000Z</x:v>
      </x:c>
      <x:c r="H52" s="245" t="str">
        <x:v>0000059478-26-000013</x:v>
      </x:c>
      <x:c r="I52" s="245" t="str">
        <x:v>us-gaap:OtherLongTermDebt</x:v>
      </x:c>
      <x:c r="J52" s="245" t="str">
        <x:v>c-16</x:v>
      </x:c>
      <x:c r="K52" s="323" t="n">
        <x:v>6</x:v>
      </x:c>
      <x:c r="L52" s="245" t="str">
        <x:v>-6</x:v>
      </x:c>
      <x:c r="M52" s="245" t="str">
        <x:v>https://www.sec.gov/Archives/edgar/data/59478/000005947826000013/lly-20251231.htm</x:v>
      </x:c>
      <x:c r="N52" s="245" t="str">
        <x:v>Note 11 p. 76</x:v>
      </x:c>
      <x:c r="O52" s="245" t="str">
        <x:v>Inline XBRL</x:v>
      </x:c>
      <x:c r="P52" s="245" t="str">
        <x:v>None (consolidated total)</x:v>
      </x:c>
      <x:c r="Q52" s="312" t="str"/>
      <x:c r="R52" s="305" t="str">
        <x:v>d45f8d1e0945df0b7b30254e96ff8c5dbd1df7d15b17c8ef7399c8e0206b7d7f</x:v>
      </x:c>
      <x:c r="S52" s="328"/>
      <x:c r="T52" s="329"/>
    </x:row>
    <x:row r="53" ht="85" customHeight="1">
      <x:c r="A53" s="234" t="str">
        <x:v>annual_cp</x:v>
      </x:c>
      <x:c r="B53" s="321" t="n">
        <x:v>0</x:v>
      </x:c>
      <x:c r="C53" s="245" t="str">
        <x:v>Commercial paper</x:v>
      </x:c>
      <x:c r="D53" s="322"/>
      <x:c r="E53" s="244" t="d">
        <x:v>2025-12-31T00:00:00.000Z</x:v>
      </x:c>
      <x:c r="F53" s="245" t="str">
        <x:v>10-K</x:v>
      </x:c>
      <x:c r="G53" s="244" t="d">
        <x:v>2026-02-12T00:00:00.000Z</x:v>
      </x:c>
      <x:c r="H53" s="245" t="str">
        <x:v>0000059478-26-000013</x:v>
      </x:c>
      <x:c r="I53" s="245" t="str">
        <x:v>us-gaap:CommercialPaper</x:v>
      </x:c>
      <x:c r="J53" s="245" t="str">
        <x:v>c-16</x:v>
      </x:c>
      <x:c r="K53" s="323" t="n">
        <x:v>6</x:v>
      </x:c>
      <x:c r="L53" s="245" t="str">
        <x:v>-6</x:v>
      </x:c>
      <x:c r="M53" s="245" t="str">
        <x:v>https://www.sec.gov/Archives/edgar/data/59478/000005947826000013/lly-20251231.htm</x:v>
      </x:c>
      <x:c r="N53" s="245" t="str">
        <x:v>Note 11 p. 76</x:v>
      </x:c>
      <x:c r="O53" s="245" t="str">
        <x:v>Inline XBRL</x:v>
      </x:c>
      <x:c r="P53" s="245" t="str">
        <x:v>None (consolidated total)</x:v>
      </x:c>
      <x:c r="Q53" s="312" t="str"/>
      <x:c r="R53" s="305" t="str">
        <x:v>d45f8d1e0945df0b7b30254e96ff8c5dbd1df7d15b17c8ef7399c8e0206b7d7f</x:v>
      </x:c>
      <x:c r="S53" s="328"/>
      <x:c r="T53" s="329"/>
    </x:row>
    <x:row r="54" ht="85" customHeight="1">
      <x:c r="A54" s="234" t="str">
        <x:v>annual_total</x:v>
      </x:c>
      <x:c r="B54" s="321" t="n">
        <x:v>42503000000</x:v>
      </x:c>
      <x:c r="C54" s="245" t="str">
        <x:v>Reported total debt</x:v>
      </x:c>
      <x:c r="D54" s="322"/>
      <x:c r="E54" s="244" t="d">
        <x:v>2025-12-31T00:00:00.000Z</x:v>
      </x:c>
      <x:c r="F54" s="245" t="str">
        <x:v>10-K</x:v>
      </x:c>
      <x:c r="G54" s="244" t="d">
        <x:v>2026-02-12T00:00:00.000Z</x:v>
      </x:c>
      <x:c r="H54" s="245" t="str">
        <x:v>0000059478-26-000013</x:v>
      </x:c>
      <x:c r="I54" s="245" t="str">
        <x:v>us-gaap:DebtLongtermAndShorttermCombinedAmount</x:v>
      </x:c>
      <x:c r="J54" s="245" t="str">
        <x:v>c-16</x:v>
      </x:c>
      <x:c r="K54" s="323" t="n">
        <x:v>6</x:v>
      </x:c>
      <x:c r="L54" s="245" t="str">
        <x:v>-6</x:v>
      </x:c>
      <x:c r="M54" s="245" t="str">
        <x:v>https://www.sec.gov/Archives/edgar/data/59478/000005947826000013/lly-20251231.htm</x:v>
      </x:c>
      <x:c r="N54" s="245" t="str">
        <x:v>Note 11 p. 76</x:v>
      </x:c>
      <x:c r="O54" s="245" t="str">
        <x:v>Inline XBRL</x:v>
      </x:c>
      <x:c r="P54" s="245" t="str">
        <x:v>None (consolidated total)</x:v>
      </x:c>
      <x:c r="Q54" s="312" t="str"/>
      <x:c r="R54" s="305" t="str">
        <x:v>d45f8d1e0945df0b7b30254e96ff8c5dbd1df7d15b17c8ef7399c8e0206b7d7f</x:v>
      </x:c>
      <x:c r="S54" s="328"/>
      <x:c r="T54" s="329"/>
    </x:row>
    <x:row r="55" ht="85" customHeight="1">
      <x:c r="A55" s="234" t="str">
        <x:v>annual_unused</x:v>
      </x:c>
      <x:c r="B55" s="321" t="n">
        <x:v>10100000000</x:v>
      </x:c>
      <x:c r="C55" s="245" t="str">
        <x:v>Unused facilities at December 31</x:v>
      </x:c>
      <x:c r="D55" s="322"/>
      <x:c r="E55" s="244" t="d">
        <x:v>2025-12-31T00:00:00.000Z</x:v>
      </x:c>
      <x:c r="F55" s="245" t="str">
        <x:v>10-K</x:v>
      </x:c>
      <x:c r="G55" s="244" t="d">
        <x:v>2026-02-12T00:00:00.000Z</x:v>
      </x:c>
      <x:c r="H55" s="245" t="str">
        <x:v>0000059478-26-000013</x:v>
      </x:c>
      <x:c r="I55" s="245" t="str">
        <x:v>us-gaap:LineOfCreditFacilityRemainingBorrowingCapacity</x:v>
      </x:c>
      <x:c r="J55" s="245" t="str">
        <x:v>c-16</x:v>
      </x:c>
      <x:c r="K55" s="323" t="n">
        <x:v>9</x:v>
      </x:c>
      <x:c r="L55" s="245" t="str">
        <x:v>-8</x:v>
      </x:c>
      <x:c r="M55" s="245" t="str">
        <x:v>https://www.sec.gov/Archives/edgar/data/59478/000005947826000013/lly-20251231.htm</x:v>
      </x:c>
      <x:c r="N55" s="245" t="str">
        <x:v>Note 11 p. 76</x:v>
      </x:c>
      <x:c r="O55" s="245" t="str">
        <x:v>Inline XBRL</x:v>
      </x:c>
      <x:c r="P55" s="245" t="str">
        <x:v>None (consolidated total)</x:v>
      </x:c>
      <x:c r="Q55" s="312" t="str"/>
      <x:c r="R55" s="305" t="str">
        <x:v>d45f8d1e0945df0b7b30254e96ff8c5dbd1df7d15b17c8ef7399c8e0206b7d7f</x:v>
      </x:c>
      <x:c r="S55" s="328"/>
      <x:c r="T55" s="329"/>
    </x:row>
    <x:row r="56" ht="85" customHeight="1">
      <x:c r="A56" s="234" t="str">
        <x:v>facility_2026</x:v>
      </x:c>
      <x:c r="B56" s="321" t="n">
        <x:v>6000000000</x:v>
      </x:c>
      <x:c r="C56" s="245" t="str">
        <x:v>364-day facility expires August 2026</x:v>
      </x:c>
      <x:c r="D56" s="322"/>
      <x:c r="E56" s="244" t="d">
        <x:v>2025-12-31T00:00:00.000Z</x:v>
      </x:c>
      <x:c r="F56" s="245" t="str">
        <x:v>10-K</x:v>
      </x:c>
      <x:c r="G56" s="244" t="d">
        <x:v>2026-02-12T00:00:00.000Z</x:v>
      </x:c>
      <x:c r="H56" s="245" t="str">
        <x:v>0000059478-26-000013</x:v>
      </x:c>
      <x:c r="I56" s="245" t="str">
        <x:v>us-gaap:LineOfCreditFacilityMaximumBorrowingCapacity</x:v>
      </x:c>
      <x:c r="J56" s="245" t="str">
        <x:v>c-334</x:v>
      </x:c>
      <x:c r="K56" s="323" t="n">
        <x:v>9</x:v>
      </x:c>
      <x:c r="L56" s="245" t="str">
        <x:v>INF</x:v>
      </x:c>
      <x:c r="M56" s="245" t="str">
        <x:v>https://www.sec.gov/Archives/edgar/data/59478/000005947826000013/lly-20251231.htm</x:v>
      </x:c>
      <x:c r="N56" s="245" t="str">
        <x:v>Note 11 p. 76; MD&amp;A p. 51</x:v>
      </x:c>
      <x:c r="O56" s="245" t="str">
        <x:v>Inline XBRL</x:v>
      </x:c>
      <x:c r="P56" s="245" t="str">
        <x:v>us-gaap:DebtInstrumentRedemptionPeriodAxis = lly:MaturityDate2026Member</x:v>
      </x:c>
      <x:c r="Q56" s="312" t="str"/>
      <x:c r="R56" s="305" t="str">
        <x:v>d45f8d1e0945df0b7b30254e96ff8c5dbd1df7d15b17c8ef7399c8e0206b7d7f</x:v>
      </x:c>
      <x:c r="S56" s="328"/>
      <x:c r="T56" s="329"/>
    </x:row>
    <x:row r="57" ht="85" customHeight="1">
      <x:c r="A57" s="234" t="str">
        <x:v>facility_2029</x:v>
      </x:c>
      <x:c r="B57" s="321" t="n">
        <x:v>4000000000</x:v>
      </x:c>
      <x:c r="C57" s="245" t="str">
        <x:v>Facility expires December 2029</x:v>
      </x:c>
      <x:c r="D57" s="322"/>
      <x:c r="E57" s="244" t="d">
        <x:v>2025-12-31T00:00:00.000Z</x:v>
      </x:c>
      <x:c r="F57" s="245" t="str">
        <x:v>10-K</x:v>
      </x:c>
      <x:c r="G57" s="244" t="d">
        <x:v>2026-02-12T00:00:00.000Z</x:v>
      </x:c>
      <x:c r="H57" s="245" t="str">
        <x:v>0000059478-26-000013</x:v>
      </x:c>
      <x:c r="I57" s="245" t="str">
        <x:v>us-gaap:LineOfCreditFacilityMaximumBorrowingCapacity</x:v>
      </x:c>
      <x:c r="J57" s="245" t="str">
        <x:v>c-333</x:v>
      </x:c>
      <x:c r="K57" s="323" t="n">
        <x:v>9</x:v>
      </x:c>
      <x:c r="L57" s="245" t="str">
        <x:v>INF</x:v>
      </x:c>
      <x:c r="M57" s="245" t="str">
        <x:v>https://www.sec.gov/Archives/edgar/data/59478/000005947826000013/lly-20251231.htm</x:v>
      </x:c>
      <x:c r="N57" s="245" t="str">
        <x:v>Note 11 p. 76; MD&amp;A p. 51</x:v>
      </x:c>
      <x:c r="O57" s="245" t="str">
        <x:v>Inline XBRL</x:v>
      </x:c>
      <x:c r="P57" s="245" t="str">
        <x:v>us-gaap:DebtInstrumentRedemptionPeriodAxis = lly:MaturityDateDecember2029Member</x:v>
      </x:c>
      <x:c r="Q57" s="312" t="str"/>
      <x:c r="R57" s="305" t="str">
        <x:v>d45f8d1e0945df0b7b30254e96ff8c5dbd1df7d15b17c8ef7399c8e0206b7d7f</x:v>
      </x:c>
      <x:c r="S57" s="328"/>
      <x:c r="T57" s="329"/>
    </x:row>
    <x:row r="58" ht="85" customHeight="1">
      <x:c r="A58" s="234" t="str">
        <x:v>unused_june</x:v>
      </x:c>
      <x:c r="B58" s="321" t="n">
        <x:v>10100000000</x:v>
      </x:c>
      <x:c r="C58" s="245" t="str">
        <x:v>Unused committed facilities</x:v>
      </x:c>
      <x:c r="D58" s="322"/>
      <x:c r="E58" s="244" t="d">
        <x:v>2026-06-30T00:00:00.000Z</x:v>
      </x:c>
      <x:c r="F58" s="245" t="str">
        <x:v>10-Q</x:v>
      </x:c>
      <x:c r="G58" s="244" t="d">
        <x:v>2026-08-05T00:00:00.000Z</x:v>
      </x:c>
      <x:c r="H58" s="245" t="str">
        <x:v>0000059478-26-000081</x:v>
      </x:c>
      <x:c r="I58" s="312"/>
      <x:c r="J58" s="312"/>
      <x:c r="K58" s="312"/>
      <x:c r="L58" s="312"/>
      <x:c r="M58" s="245" t="str">
        <x:v>https://www.sec.gov/Archives/edgar/data/59478/000005947826000081/lly-20260630.htm</x:v>
      </x:c>
      <x:c r="N58" s="245" t="str">
        <x:v>MD&amp;A p. 31</x:v>
      </x:c>
      <x:c r="O58" s="245" t="str">
        <x:v>Reviewed filing text</x:v>
      </x:c>
      <x:c r="P58" s="245" t="str">
        <x:v>None (consolidated total)</x:v>
      </x:c>
      <x:c r="Q58" s="245" t="str">
        <x:v>Of this, $10B supports commercial paper. Not cash or verified drawable credit; do not add CP capacity again. Agreement conditions and facility-by-facility June composition are Unavailable.</x:v>
      </x:c>
      <x:c r="R58" s="305" t="str">
        <x:v>8e8f10cf3af98bc12a41985a98cfde9c2b9da8a812af18515d34ce3d8e1c1b3d</x:v>
      </x:c>
      <x:c r="S58" s="328"/>
      <x:c r="T58" s="329"/>
    </x:row>
    <x:row r="59" ht="85" customHeight="1">
      <x:c r="A59" s="234" t="str">
        <x:v>cp_support</x:v>
      </x:c>
      <x:c r="B59" s="321" t="n">
        <x:v>10000000000</x:v>
      </x:c>
      <x:c r="C59" s="245" t="str">
        <x:v>Facilities supporting commercial paper</x:v>
      </x:c>
      <x:c r="D59" s="322"/>
      <x:c r="E59" s="244" t="d">
        <x:v>2026-06-30T00:00:00.000Z</x:v>
      </x:c>
      <x:c r="F59" s="245" t="str">
        <x:v>10-Q</x:v>
      </x:c>
      <x:c r="G59" s="244" t="d">
        <x:v>2026-08-05T00:00:00.000Z</x:v>
      </x:c>
      <x:c r="H59" s="245" t="str">
        <x:v>0000059478-26-000081</x:v>
      </x:c>
      <x:c r="I59" s="312"/>
      <x:c r="J59" s="312"/>
      <x:c r="K59" s="312"/>
      <x:c r="L59" s="312"/>
      <x:c r="M59" s="245" t="str">
        <x:v>https://www.sec.gov/Archives/edgar/data/59478/000005947826000081/lly-20260630.htm</x:v>
      </x:c>
      <x:c r="N59" s="245" t="str">
        <x:v>MD&amp;A p. 31</x:v>
      </x:c>
      <x:c r="O59" s="245" t="str">
        <x:v>Reviewed filing text</x:v>
      </x:c>
      <x:c r="P59" s="245" t="str">
        <x:v>None (consolidated total)</x:v>
      </x:c>
      <x:c r="Q59" s="245" t="str">
        <x:v>Included in the $10.1B; not another source of funds.</x:v>
      </x:c>
      <x:c r="R59" s="305" t="str">
        <x:v>8e8f10cf3af98bc12a41985a98cfde9c2b9da8a812af18515d34ce3d8e1c1b3d</x:v>
      </x:c>
      <x:c r="S59" s="328"/>
      <x:c r="T59" s="329"/>
    </x:row>
    <x:row r="60" ht="85" customHeight="1">
      <x:c r="A60" s="234" t="str">
        <x:v>atai</x:v>
      </x:c>
      <x:c r="B60" s="321" t="n">
        <x:v>2800000000</x:v>
      </x:c>
      <x:c r="C60" s="245" t="str">
        <x:v>Pending AtaiBeckley acquisition</x:v>
      </x:c>
      <x:c r="D60" s="322"/>
      <x:c r="E60" s="244" t="str">
        <x:v>Disclosed August 5, 2026</x:v>
      </x:c>
      <x:c r="F60" s="245" t="str">
        <x:v>10-Q</x:v>
      </x:c>
      <x:c r="G60" s="244" t="d">
        <x:v>2026-08-05T00:00:00.000Z</x:v>
      </x:c>
      <x:c r="H60" s="245" t="str">
        <x:v>0000059478-26-000081</x:v>
      </x:c>
      <x:c r="I60" s="312"/>
      <x:c r="J60" s="312"/>
      <x:c r="K60" s="312"/>
      <x:c r="L60" s="312"/>
      <x:c r="M60" s="245" t="str">
        <x:v>https://www.sec.gov/Archives/edgar/data/59478/000005947826000081/lly-20260630.htm</x:v>
      </x:c>
      <x:c r="N60" s="245" t="str">
        <x:v>MD&amp;A p. 31</x:v>
      </x:c>
      <x:c r="O60" s="245" t="str">
        <x:v>Reviewed filing text</x:v>
      </x:c>
      <x:c r="P60" s="245" t="str">
        <x:v>None (consolidated total)</x:v>
      </x:c>
      <x:c r="Q60" s="245" t="str">
        <x:v>Payable at closing, subject to conditions. Disclosed after quarter end; closing date, completion and funding allocation are not established here.</x:v>
      </x:c>
      <x:c r="R60" s="305" t="str">
        <x:v>8e8f10cf3af98bc12a41985a98cfde9c2b9da8a812af18515d34ce3d8e1c1b3d</x:v>
      </x:c>
      <x:c r="S60" s="328"/>
      <x:c r="T60" s="329"/>
    </x:row>
    <x:row r="61" ht="85" customHeight="1">
      <x:c r="A61" s="234" t="str">
        <x:v>unpaid_kelonia</x:v>
      </x:c>
      <x:c r="B61" s="321" t="n">
        <x:v>208000000</x:v>
      </x:c>
      <x:c r="C61" s="245" t="str">
        <x:v>Unpaid Kelonia cash consideration</x:v>
      </x:c>
      <x:c r="D61" s="322"/>
      <x:c r="E61" s="244" t="d">
        <x:v>2026-06-30T00:00:00.000Z</x:v>
      </x:c>
      <x:c r="F61" s="245" t="str">
        <x:v>10-Q</x:v>
      </x:c>
      <x:c r="G61" s="244" t="d">
        <x:v>2026-08-05T00:00:00.000Z</x:v>
      </x:c>
      <x:c r="H61" s="245" t="str">
        <x:v>0000059478-26-000081</x:v>
      </x:c>
      <x:c r="I61" s="312"/>
      <x:c r="J61" s="312"/>
      <x:c r="K61" s="312"/>
      <x:c r="L61" s="312"/>
      <x:c r="M61" s="245" t="str">
        <x:v>https://www.sec.gov/Archives/edgar/data/59478/000005947826000081/lly-20260630.htm</x:v>
      </x:c>
      <x:c r="N61" s="245" t="str">
        <x:v>Note 4 p. 13</x:v>
      </x:c>
      <x:c r="O61" s="245" t="str">
        <x:v>Reviewed filing text</x:v>
      </x:c>
      <x:c r="P61" s="245" t="str">
        <x:v>None (consolidated total)</x:v>
      </x:c>
      <x:c r="Q61" s="245" t="str">
        <x:v>Payment date Unavailable. Separate from cash already paid and from contingent-consideration fair value.</x:v>
      </x:c>
      <x:c r="R61" s="305" t="str">
        <x:v>8e8f10cf3af98bc12a41985a98cfde9c2b9da8a812af18515d34ce3d8e1c1b3d</x:v>
      </x:c>
      <x:c r="S61" s="328"/>
      <x:c r="T61" s="329"/>
    </x:row>
    <x:row r="62" ht="85" customHeight="1">
      <x:c r="A62" s="234" t="str">
        <x:v>unpaid_centessa</x:v>
      </x:c>
      <x:c r="B62" s="321" t="n">
        <x:v>88000000</x:v>
      </x:c>
      <x:c r="C62" s="245" t="str">
        <x:v>Unpaid Centessa cash consideration</x:v>
      </x:c>
      <x:c r="D62" s="322"/>
      <x:c r="E62" s="244" t="d">
        <x:v>2026-06-30T00:00:00.000Z</x:v>
      </x:c>
      <x:c r="F62" s="245" t="str">
        <x:v>10-Q</x:v>
      </x:c>
      <x:c r="G62" s="244" t="d">
        <x:v>2026-08-05T00:00:00.000Z</x:v>
      </x:c>
      <x:c r="H62" s="245" t="str">
        <x:v>0000059478-26-000081</x:v>
      </x:c>
      <x:c r="I62" s="312"/>
      <x:c r="J62" s="312"/>
      <x:c r="K62" s="312"/>
      <x:c r="L62" s="312"/>
      <x:c r="M62" s="245" t="str">
        <x:v>https://www.sec.gov/Archives/edgar/data/59478/000005947826000081/lly-20260630.htm</x:v>
      </x:c>
      <x:c r="N62" s="245" t="str">
        <x:v>Note 4 p. 13</x:v>
      </x:c>
      <x:c r="O62" s="245" t="str">
        <x:v>Reviewed filing text</x:v>
      </x:c>
      <x:c r="P62" s="245" t="str">
        <x:v>None (consolidated total)</x:v>
      </x:c>
      <x:c r="Q62" s="245" t="str">
        <x:v>Payment date Unavailable. Do not add to paid acquisition cash or contingent-consideration fair value.</x:v>
      </x:c>
      <x:c r="R62" s="305" t="str">
        <x:v>8e8f10cf3af98bc12a41985a98cfde9c2b9da8a812af18515d34ce3d8e1c1b3d</x:v>
      </x:c>
      <x:c r="S62" s="328"/>
      <x:c r="T62" s="329"/>
    </x:row>
    <x:row r="63" ht="85" customHeight="1">
      <x:c r="A63" s="234" t="str">
        <x:v>july_paid</x:v>
      </x:c>
      <x:c r="B63" s="321" t="n">
        <x:v>2000000000</x:v>
      </x:c>
      <x:c r="C63" s="245" t="str">
        <x:v>July infectious-disease acquisitions: cash paid</x:v>
      </x:c>
      <x:c r="D63" s="322"/>
      <x:c r="E63" s="244" t="str">
        <x:v>July 2026</x:v>
      </x:c>
      <x:c r="F63" s="245" t="str">
        <x:v>10-Q</x:v>
      </x:c>
      <x:c r="G63" s="244" t="d">
        <x:v>2026-08-05T00:00:00.000Z</x:v>
      </x:c>
      <x:c r="H63" s="245" t="str">
        <x:v>0000059478-26-000081</x:v>
      </x:c>
      <x:c r="I63" s="312"/>
      <x:c r="J63" s="312"/>
      <x:c r="K63" s="312"/>
      <x:c r="L63" s="312"/>
      <x:c r="M63" s="245" t="str">
        <x:v>https://www.sec.gov/Archives/edgar/data/59478/000005947826000081/lly-20260630.htm</x:v>
      </x:c>
      <x:c r="N63" s="245" t="str">
        <x:v>MD&amp;A p. 31; Note 4 pp. 13–14</x:v>
      </x:c>
      <x:c r="O63" s="245" t="str">
        <x:v>Reviewed filing text</x:v>
      </x:c>
      <x:c r="P63" s="245" t="str">
        <x:v>None (consolidated total)</x:v>
      </x:c>
      <x:c r="Q63" s="245" t="str">
        <x:v>Already paid after June. Other July cash flows are unknown; June cash less this payment is not a current cash balance.</x:v>
      </x:c>
      <x:c r="R63" s="305" t="str">
        <x:v>8e8f10cf3af98bc12a41985a98cfde9c2b9da8a812af18515d34ce3d8e1c1b3d</x:v>
      </x:c>
      <x:c r="S63" s="328"/>
      <x:c r="T63" s="329"/>
    </x:row>
    <x:row r="64" ht="85" customHeight="1">
      <x:c r="A64" s="234" t="str">
        <x:v>july_ceiling</x:v>
      </x:c>
      <x:c r="B64" s="321" t="n">
        <x:v>3900000000</x:v>
      </x:c>
      <x:c r="C64" s="245" t="str">
        <x:v>July acquisitions: aggregate consideration up to</x:v>
      </x:c>
      <x:c r="D64" s="322"/>
      <x:c r="E64" s="244" t="str">
        <x:v>July 2026</x:v>
      </x:c>
      <x:c r="F64" s="245" t="str">
        <x:v>10-Q</x:v>
      </x:c>
      <x:c r="G64" s="244" t="d">
        <x:v>2026-08-05T00:00:00.000Z</x:v>
      </x:c>
      <x:c r="H64" s="245" t="str">
        <x:v>0000059478-26-000081</x:v>
      </x:c>
      <x:c r="I64" s="312"/>
      <x:c r="J64" s="312"/>
      <x:c r="K64" s="312"/>
      <x:c r="L64" s="312"/>
      <x:c r="M64" s="245" t="str">
        <x:v>https://www.sec.gov/Archives/edgar/data/59478/000005947826000081/lly-20260630.htm</x:v>
      </x:c>
      <x:c r="N64" s="245" t="str">
        <x:v>Note 4 pp. 13–14</x:v>
      </x:c>
      <x:c r="O64" s="245" t="str">
        <x:v>Reviewed filing text</x:v>
      </x:c>
      <x:c r="P64" s="245" t="str">
        <x:v>None (consolidated total)</x:v>
      </x:c>
      <x:c r="Q64" s="245" t="str">
        <x:v>Includes upfront cash and potential clinical, regulatory and commercial milestones. Includes the approximately $2B paid; do not add the two amounts or infer a precise remaining cash bill.</x:v>
      </x:c>
      <x:c r="R64" s="305" t="str">
        <x:v>8e8f10cf3af98bc12a41985a98cfde9c2b9da8a812af18515d34ce3d8e1c1b3d</x:v>
      </x:c>
      <x:c r="S64" s="328"/>
      <x:c r="T64" s="329"/>
    </x:row>
    <x:row r="65" ht="85" customHeight="1">
      <x:c r="A65" s="234" t="str">
        <x:v>vc</x:v>
      </x:c>
      <x:c r="B65" s="321" t="n">
        <x:v>806000000</x:v>
      </x:c>
      <x:c r="C65" s="245" t="str">
        <x:v>Unfunded venture fund commitments</x:v>
      </x:c>
      <x:c r="D65" s="322"/>
      <x:c r="E65" s="244" t="d">
        <x:v>2026-06-30T00:00:00.000Z</x:v>
      </x:c>
      <x:c r="F65" s="245" t="str">
        <x:v>10-Q</x:v>
      </x:c>
      <x:c r="G65" s="244" t="d">
        <x:v>2026-08-05T00:00:00.000Z</x:v>
      </x:c>
      <x:c r="H65" s="245" t="str">
        <x:v>0000059478-26-000081</x:v>
      </x:c>
      <x:c r="I65" s="312"/>
      <x:c r="J65" s="312"/>
      <x:c r="K65" s="312"/>
      <x:c r="L65" s="312"/>
      <x:c r="M65" s="245" t="str">
        <x:v>https://www.sec.gov/Archives/edgar/data/59478/000005947826000081/lly-20260630.htm</x:v>
      </x:c>
      <x:c r="N65" s="245" t="str">
        <x:v>MD&amp;A p. 31</x:v>
      </x:c>
      <x:c r="O65" s="245" t="str">
        <x:v>Reviewed filing text</x:v>
      </x:c>
      <x:c r="P65" s="245" t="str">
        <x:v>None (consolidated total)</x:v>
      </x:c>
      <x:c r="Q65" s="245" t="str">
        <x:v>Expected to be paid over up to ten years. Individual capital-call dates are Unavailable.</x:v>
      </x:c>
      <x:c r="R65" s="305" t="str">
        <x:v>8e8f10cf3af98bc12a41985a98cfde9c2b9da8a812af18515d34ce3d8e1c1b3d</x:v>
      </x:c>
      <x:c r="S65" s="328"/>
      <x:c r="T65" s="329"/>
    </x:row>
    <x:row r="66" ht="85" customHeight="1">
      <x:c r="A66" s="234" t="str">
        <x:v>manufacturing</x:v>
      </x:c>
      <x:c r="B66" s="321" t="n">
        <x:v>10000000000</x:v>
      </x:c>
      <x:c r="C66" s="245" t="str">
        <x:v>Development-medicine supply arrangements: up to</x:v>
      </x:c>
      <x:c r="D66" s="322"/>
      <x:c r="E66" s="244" t="d">
        <x:v>2025-12-31T00:00:00.000Z</x:v>
      </x:c>
      <x:c r="F66" s="245" t="str">
        <x:v>10-K</x:v>
      </x:c>
      <x:c r="G66" s="244" t="d">
        <x:v>2026-02-12T00:00:00.000Z</x:v>
      </x:c>
      <x:c r="H66" s="245" t="str">
        <x:v>0000059478-26-000013</x:v>
      </x:c>
      <x:c r="I66" s="312"/>
      <x:c r="J66" s="312"/>
      <x:c r="K66" s="312"/>
      <x:c r="L66" s="312"/>
      <x:c r="M66" s="245" t="str">
        <x:v>https://www.sec.gov/Archives/edgar/data/59478/000005947826000013/lly-20251231.htm</x:v>
      </x:c>
      <x:c r="N66" s="245" t="str">
        <x:v>MD&amp;A p. 51</x:v>
      </x:c>
      <x:c r="O66" s="245" t="str">
        <x:v>Reviewed filing text</x:v>
      </x:c>
      <x:c r="P66" s="245" t="str">
        <x:v>None (consolidated total)</x:v>
      </x:c>
      <x:c r="Q66" s="245" t="str">
        <x:v>Payments if specified purchases are not met under executed manufacturing and supply agreements; durations generally up to eight years. Not an unconditional $10B bill. Updated June ceiling, annual payments and overlap with other spending are Unavailable.</x:v>
      </x:c>
      <x:c r="R66" s="305" t="str">
        <x:v>d45f8d1e0945df0b7b30254e96ff8c5dbd1df7d15b17c8ef7399c8e0206b7d7f</x:v>
      </x:c>
      <x:c r="S66" s="328"/>
      <x:c r="T66" s="329"/>
    </x:row>
    <x:row r="67" ht="85" customHeight="1">
      <x:c r="A67" s="234" t="str">
        <x:v>indiana</x:v>
      </x:c>
      <x:c r="B67" s="321" t="n">
        <x:v>4500000000</x:v>
      </x:c>
      <x:c r="C67" s="245" t="str">
        <x:v>Additional Indiana manufacturing investment</x:v>
      </x:c>
      <x:c r="D67" s="322"/>
      <x:c r="E67" s="244" t="str">
        <x:v>Announced August 5, 2026</x:v>
      </x:c>
      <x:c r="F67" s="245" t="str">
        <x:v>8-K Ex. 99.1</x:v>
      </x:c>
      <x:c r="G67" s="244" t="d">
        <x:v>2026-08-05T00:00:00.000Z</x:v>
      </x:c>
      <x:c r="H67" s="245" t="str">
        <x:v>0000059478-26-000077</x:v>
      </x:c>
      <x:c r="I67" s="312"/>
      <x:c r="J67" s="312"/>
      <x:c r="K67" s="312"/>
      <x:c r="L67" s="312"/>
      <x:c r="M67" s="245" t="str">
        <x:v>https://www.sec.gov/Archives/edgar/data/59478/000005947826000077/q226lillysalesandearningsp.htm</x:v>
      </x:c>
      <x:c r="N67" s="245" t="str">
        <x:v>Highlights; Other announcements</x:v>
      </x:c>
      <x:c r="O67" s="245" t="str">
        <x:v>Reviewed filing text</x:v>
      </x:c>
      <x:c r="P67" s="245" t="str">
        <x:v>None (consolidated total)</x:v>
      </x:c>
      <x:c r="Q67" s="245" t="str">
        <x:v>Release says committed an additional $4.5B. Contractual payment schedule, spending to date and overlap with capex or supply commitments are not established by this release. Not added to debt or the $10B ceiling.</x:v>
      </x:c>
      <x:c r="R67" s="305" t="str">
        <x:v>5397056cb6aebc1496e22de6f9c8b062b11ff0c7f5ee30428e3f68fc8aea748a</x:v>
      </x:c>
      <x:c r="S67" s="328"/>
      <x:c r="T67" s="329"/>
    </x:row>
    <x:row r="68" ht="85" customHeight="1">
      <x:c r="A68" s="234" t="str">
        <x:v>coverage_fy_revenue</x:v>
      </x:c>
      <x:c r="B68" s="321" t="n">
        <x:v>65179000000</x:v>
      </x:c>
      <x:c r="C68" s="245" t="str">
        <x:v>fy revenue</x:v>
      </x:c>
      <x:c r="D68" s="244" t="d">
        <x:v>2025-01-01T00:00:00.000Z</x:v>
      </x:c>
      <x:c r="E68" s="244" t="d">
        <x:v>2025-12-31T00:00:00.000Z</x:v>
      </x:c>
      <x:c r="F68" s="245" t="str">
        <x:v>10-K</x:v>
      </x:c>
      <x:c r="G68" s="244" t="d">
        <x:v>2026-02-12T00:00:00.000Z</x:v>
      </x:c>
      <x:c r="H68" s="245" t="str">
        <x:v>0000059478-26-000013</x:v>
      </x:c>
      <x:c r="I68" s="245" t="str">
        <x:v>us-gaap:Revenues</x:v>
      </x:c>
      <x:c r="J68" s="245" t="str">
        <x:v>c-1</x:v>
      </x:c>
      <x:c r="K68" s="323" t="n">
        <x:v>6</x:v>
      </x:c>
      <x:c r="L68" s="245" t="str">
        <x:v>-6</x:v>
      </x:c>
      <x:c r="M68" s="245" t="str">
        <x:v>https://www.sec.gov/Archives/edgar/data/59478/000005947826000013/lly-20251231.htm</x:v>
      </x:c>
      <x:c r="N68" s="245" t="str">
        <x:v>Consolidated operations p. 57</x:v>
      </x:c>
      <x:c r="O68" s="245" t="str">
        <x:v>Inline XBRL</x:v>
      </x:c>
      <x:c r="P68" s="245" t="str">
        <x:v>None (consolidated total)</x:v>
      </x:c>
      <x:c r="Q68" s="245" t="str">
        <x:v>Exact tag, duration, USD and Lilly CIK; no dimensions; consolidated operations table only</x:v>
      </x:c>
      <x:c r="R68" s="305" t="str">
        <x:v>d45f8d1e0945df0b7b30254e96ff8c5dbd1df7d15b17c8ef7399c8e0206b7d7f</x:v>
      </x:c>
      <x:c r="S68" s="328"/>
      <x:c r="T68" s="329"/>
    </x:row>
    <x:row r="69" ht="85" customHeight="1">
      <x:c r="A69" s="234" t="str">
        <x:v>coverage_fy_cost_sales</x:v>
      </x:c>
      <x:c r="B69" s="321" t="n">
        <x:v>11052000000</x:v>
      </x:c>
      <x:c r="C69" s="245" t="str">
        <x:v>fy cost_sales</x:v>
      </x:c>
      <x:c r="D69" s="244" t="d">
        <x:v>2025-01-01T00:00:00.000Z</x:v>
      </x:c>
      <x:c r="E69" s="244" t="d">
        <x:v>2025-12-31T00:00:00.000Z</x:v>
      </x:c>
      <x:c r="F69" s="245" t="str">
        <x:v>10-K</x:v>
      </x:c>
      <x:c r="G69" s="244" t="d">
        <x:v>2026-02-12T00:00:00.000Z</x:v>
      </x:c>
      <x:c r="H69" s="245" t="str">
        <x:v>0000059478-26-000013</x:v>
      </x:c>
      <x:c r="I69" s="245" t="str">
        <x:v>us-gaap:CostOfGoodsAndServicesSold</x:v>
      </x:c>
      <x:c r="J69" s="245" t="str">
        <x:v>c-1</x:v>
      </x:c>
      <x:c r="K69" s="323" t="n">
        <x:v>6</x:v>
      </x:c>
      <x:c r="L69" s="245" t="str">
        <x:v>-6</x:v>
      </x:c>
      <x:c r="M69" s="245" t="str">
        <x:v>https://www.sec.gov/Archives/edgar/data/59478/000005947826000013/lly-20251231.htm</x:v>
      </x:c>
      <x:c r="N69" s="245" t="str">
        <x:v>Consolidated operations p. 57</x:v>
      </x:c>
      <x:c r="O69" s="245" t="str">
        <x:v>Inline XBRL</x:v>
      </x:c>
      <x:c r="P69" s="245" t="str">
        <x:v>None (consolidated total)</x:v>
      </x:c>
      <x:c r="Q69" s="245" t="str">
        <x:v>Exact tag, duration, USD and Lilly CIK; no dimensions; consolidated operations table only</x:v>
      </x:c>
      <x:c r="R69" s="305" t="str">
        <x:v>d45f8d1e0945df0b7b30254e96ff8c5dbd1df7d15b17c8ef7399c8e0206b7d7f</x:v>
      </x:c>
      <x:c r="S69" s="328"/>
      <x:c r="T69" s="329"/>
    </x:row>
    <x:row r="70" ht="85" customHeight="1">
      <x:c r="A70" s="234" t="str">
        <x:v>coverage_fy_rd</x:v>
      </x:c>
      <x:c r="B70" s="321" t="n">
        <x:v>13337000000</x:v>
      </x:c>
      <x:c r="C70" s="245" t="str">
        <x:v>fy rd</x:v>
      </x:c>
      <x:c r="D70" s="244" t="d">
        <x:v>2025-01-01T00:00:00.000Z</x:v>
      </x:c>
      <x:c r="E70" s="244" t="d">
        <x:v>2025-12-31T00:00:00.000Z</x:v>
      </x:c>
      <x:c r="F70" s="245" t="str">
        <x:v>10-K</x:v>
      </x:c>
      <x:c r="G70" s="244" t="d">
        <x:v>2026-02-12T00:00:00.000Z</x:v>
      </x:c>
      <x:c r="H70" s="245" t="str">
        <x:v>0000059478-26-000013</x:v>
      </x:c>
      <x:c r="I70" s="245" t="str">
        <x:v>us-gaap:ResearchAndDevelopmentExpenseExcludingAcquiredInProcessCost</x:v>
      </x:c>
      <x:c r="J70" s="245" t="str">
        <x:v>c-1</x:v>
      </x:c>
      <x:c r="K70" s="323" t="n">
        <x:v>6</x:v>
      </x:c>
      <x:c r="L70" s="245" t="str">
        <x:v>-6</x:v>
      </x:c>
      <x:c r="M70" s="245" t="str">
        <x:v>https://www.sec.gov/Archives/edgar/data/59478/000005947826000013/lly-20251231.htm</x:v>
      </x:c>
      <x:c r="N70" s="245" t="str">
        <x:v>Consolidated operations p. 57</x:v>
      </x:c>
      <x:c r="O70" s="245" t="str">
        <x:v>Inline XBRL</x:v>
      </x:c>
      <x:c r="P70" s="245" t="str">
        <x:v>None (consolidated total)</x:v>
      </x:c>
      <x:c r="Q70" s="245" t="str">
        <x:v>Exact tag, duration, USD and Lilly CIK; no dimensions; consolidated operations table only</x:v>
      </x:c>
      <x:c r="R70" s="305" t="str">
        <x:v>d45f8d1e0945df0b7b30254e96ff8c5dbd1df7d15b17c8ef7399c8e0206b7d7f</x:v>
      </x:c>
      <x:c r="S70" s="328"/>
      <x:c r="T70" s="329"/>
    </x:row>
    <x:row r="71" ht="85" customHeight="1">
      <x:c r="A71" s="234" t="str">
        <x:v>coverage_fy_sga</x:v>
      </x:c>
      <x:c r="B71" s="321" t="n">
        <x:v>11094000000</x:v>
      </x:c>
      <x:c r="C71" s="245" t="str">
        <x:v>fy sga</x:v>
      </x:c>
      <x:c r="D71" s="244" t="d">
        <x:v>2025-01-01T00:00:00.000Z</x:v>
      </x:c>
      <x:c r="E71" s="244" t="d">
        <x:v>2025-12-31T00:00:00.000Z</x:v>
      </x:c>
      <x:c r="F71" s="245" t="str">
        <x:v>10-K</x:v>
      </x:c>
      <x:c r="G71" s="244" t="d">
        <x:v>2026-02-12T00:00:00.000Z</x:v>
      </x:c>
      <x:c r="H71" s="245" t="str">
        <x:v>0000059478-26-000013</x:v>
      </x:c>
      <x:c r="I71" s="245" t="str">
        <x:v>us-gaap:SellingGeneralAndAdministrativeExpense</x:v>
      </x:c>
      <x:c r="J71" s="245" t="str">
        <x:v>c-1</x:v>
      </x:c>
      <x:c r="K71" s="323" t="n">
        <x:v>6</x:v>
      </x:c>
      <x:c r="L71" s="245" t="str">
        <x:v>-6</x:v>
      </x:c>
      <x:c r="M71" s="245" t="str">
        <x:v>https://www.sec.gov/Archives/edgar/data/59478/000005947826000013/lly-20251231.htm</x:v>
      </x:c>
      <x:c r="N71" s="245" t="str">
        <x:v>Consolidated operations p. 57</x:v>
      </x:c>
      <x:c r="O71" s="245" t="str">
        <x:v>Inline XBRL</x:v>
      </x:c>
      <x:c r="P71" s="245" t="str">
        <x:v>None (consolidated total)</x:v>
      </x:c>
      <x:c r="Q71" s="245" t="str">
        <x:v>Exact tag, duration, USD and Lilly CIK; no dimensions; consolidated operations table only</x:v>
      </x:c>
      <x:c r="R71" s="305" t="str">
        <x:v>d45f8d1e0945df0b7b30254e96ff8c5dbd1df7d15b17c8ef7399c8e0206b7d7f</x:v>
      </x:c>
      <x:c r="S71" s="328"/>
      <x:c r="T71" s="329"/>
    </x:row>
    <x:row r="72" ht="85" customHeight="1">
      <x:c r="A72" s="234" t="str">
        <x:v>coverage_fy_iprd</x:v>
      </x:c>
      <x:c r="B72" s="321" t="n">
        <x:v>2910000000</x:v>
      </x:c>
      <x:c r="C72" s="245" t="str">
        <x:v>fy iprd</x:v>
      </x:c>
      <x:c r="D72" s="244" t="d">
        <x:v>2025-01-01T00:00:00.000Z</x:v>
      </x:c>
      <x:c r="E72" s="244" t="d">
        <x:v>2025-12-31T00:00:00.000Z</x:v>
      </x:c>
      <x:c r="F72" s="245" t="str">
        <x:v>10-K</x:v>
      </x:c>
      <x:c r="G72" s="244" t="d">
        <x:v>2026-02-12T00:00:00.000Z</x:v>
      </x:c>
      <x:c r="H72" s="245" t="str">
        <x:v>0000059478-26-000013</x:v>
      </x:c>
      <x:c r="I72" s="245" t="str">
        <x:v>us-gaap:ResearchAndDevelopmentAssetAcquiredOtherThanThroughBusinessCombinationWrittenOff</x:v>
      </x:c>
      <x:c r="J72" s="245" t="str">
        <x:v>c-1</x:v>
      </x:c>
      <x:c r="K72" s="323" t="n">
        <x:v>6</x:v>
      </x:c>
      <x:c r="L72" s="245" t="str">
        <x:v>-6</x:v>
      </x:c>
      <x:c r="M72" s="245" t="str">
        <x:v>https://www.sec.gov/Archives/edgar/data/59478/000005947826000013/lly-20251231.htm</x:v>
      </x:c>
      <x:c r="N72" s="245" t="str">
        <x:v>Consolidated operations p. 57</x:v>
      </x:c>
      <x:c r="O72" s="245" t="str">
        <x:v>Inline XBRL</x:v>
      </x:c>
      <x:c r="P72" s="245" t="str">
        <x:v>None (consolidated total)</x:v>
      </x:c>
      <x:c r="Q72" s="245" t="str">
        <x:v>Exact tag, duration, USD and Lilly CIK; no dimensions; consolidated operations table only</x:v>
      </x:c>
      <x:c r="R72" s="305" t="str">
        <x:v>d45f8d1e0945df0b7b30254e96ff8c5dbd1df7d15b17c8ef7399c8e0206b7d7f</x:v>
      </x:c>
      <x:c r="S72" s="328"/>
      <x:c r="T72" s="329"/>
    </x:row>
    <x:row r="73" ht="85" customHeight="1">
      <x:c r="A73" s="234" t="str">
        <x:v>coverage_fy_special</x:v>
      </x:c>
      <x:c r="B73" s="321" t="n">
        <x:v>484000000</x:v>
      </x:c>
      <x:c r="C73" s="245" t="str">
        <x:v>fy special</x:v>
      </x:c>
      <x:c r="D73" s="244" t="d">
        <x:v>2025-01-01T00:00:00.000Z</x:v>
      </x:c>
      <x:c r="E73" s="244" t="d">
        <x:v>2025-12-31T00:00:00.000Z</x:v>
      </x:c>
      <x:c r="F73" s="245" t="str">
        <x:v>10-K</x:v>
      </x:c>
      <x:c r="G73" s="244" t="d">
        <x:v>2026-02-12T00:00:00.000Z</x:v>
      </x:c>
      <x:c r="H73" s="245" t="str">
        <x:v>0000059478-26-000013</x:v>
      </x:c>
      <x:c r="I73" s="245" t="str">
        <x:v>us-gaap:RestructuringSettlementAndImpairmentProvisions</x:v>
      </x:c>
      <x:c r="J73" s="245" t="str">
        <x:v>c-1</x:v>
      </x:c>
      <x:c r="K73" s="323" t="n">
        <x:v>6</x:v>
      </x:c>
      <x:c r="L73" s="245" t="str">
        <x:v>-6</x:v>
      </x:c>
      <x:c r="M73" s="245" t="str">
        <x:v>https://www.sec.gov/Archives/edgar/data/59478/000005947826000013/lly-20251231.htm</x:v>
      </x:c>
      <x:c r="N73" s="245" t="str">
        <x:v>Consolidated operations p. 57</x:v>
      </x:c>
      <x:c r="O73" s="245" t="str">
        <x:v>Inline XBRL</x:v>
      </x:c>
      <x:c r="P73" s="245" t="str">
        <x:v>None (consolidated total)</x:v>
      </x:c>
      <x:c r="Q73" s="245" t="str">
        <x:v>Exact tag, duration, USD and Lilly CIK; no dimensions; consolidated operations table only</x:v>
      </x:c>
      <x:c r="R73" s="305" t="str">
        <x:v>d45f8d1e0945df0b7b30254e96ff8c5dbd1df7d15b17c8ef7399c8e0206b7d7f</x:v>
      </x:c>
      <x:c r="S73" s="328"/>
      <x:c r="T73" s="329"/>
    </x:row>
    <x:row r="74" ht="85" customHeight="1">
      <x:c r="A74" s="234" t="str">
        <x:v>coverage_fy_other_income</x:v>
      </x:c>
      <x:c r="B74" s="321" t="n">
        <x:v>-571000000</x:v>
      </x:c>
      <x:c r="C74" s="245" t="str">
        <x:v>fy other_income</x:v>
      </x:c>
      <x:c r="D74" s="244" t="d">
        <x:v>2025-01-01T00:00:00.000Z</x:v>
      </x:c>
      <x:c r="E74" s="244" t="d">
        <x:v>2025-12-31T00:00:00.000Z</x:v>
      </x:c>
      <x:c r="F74" s="245" t="str">
        <x:v>10-K</x:v>
      </x:c>
      <x:c r="G74" s="244" t="d">
        <x:v>2026-02-12T00:00:00.000Z</x:v>
      </x:c>
      <x:c r="H74" s="245" t="str">
        <x:v>0000059478-26-000013</x:v>
      </x:c>
      <x:c r="I74" s="245" t="str">
        <x:v>us-gaap:NonoperatingIncomeExpense</x:v>
      </x:c>
      <x:c r="J74" s="245" t="str">
        <x:v>c-1</x:v>
      </x:c>
      <x:c r="K74" s="323" t="n">
        <x:v>6</x:v>
      </x:c>
      <x:c r="L74" s="245" t="str">
        <x:v>-6</x:v>
      </x:c>
      <x:c r="M74" s="245" t="str">
        <x:v>https://www.sec.gov/Archives/edgar/data/59478/000005947826000013/lly-20251231.htm</x:v>
      </x:c>
      <x:c r="N74" s="245" t="str">
        <x:v>Consolidated operations p. 57</x:v>
      </x:c>
      <x:c r="O74" s="245" t="str">
        <x:v>Inline XBRL</x:v>
      </x:c>
      <x:c r="P74" s="245" t="str">
        <x:v>None (consolidated total)</x:v>
      </x:c>
      <x:c r="Q74" s="245" t="str">
        <x:v>Exact tag, duration, USD and Lilly CIK; no dimensions; consolidated operations table only</x:v>
      </x:c>
      <x:c r="R74" s="305" t="str">
        <x:v>d45f8d1e0945df0b7b30254e96ff8c5dbd1df7d15b17c8ef7399c8e0206b7d7f</x:v>
      </x:c>
      <x:c r="S74" s="328"/>
      <x:c r="T74" s="329"/>
    </x:row>
    <x:row r="75" ht="85" customHeight="1">
      <x:c r="A75" s="234" t="str">
        <x:v>coverage_fy_pretax</x:v>
      </x:c>
      <x:c r="B75" s="321" t="n">
        <x:v>25731000000</x:v>
      </x:c>
      <x:c r="C75" s="245" t="str">
        <x:v>fy pretax</x:v>
      </x:c>
      <x:c r="D75" s="244" t="d">
        <x:v>2025-01-01T00:00:00.000Z</x:v>
      </x:c>
      <x:c r="E75" s="244" t="d">
        <x:v>2025-12-31T00:00:00.000Z</x:v>
      </x:c>
      <x:c r="F75" s="245" t="str">
        <x:v>10-K</x:v>
      </x:c>
      <x:c r="G75" s="244" t="d">
        <x:v>2026-02-12T00:00:00.000Z</x:v>
      </x:c>
      <x:c r="H75" s="245" t="str">
        <x:v>0000059478-26-000013</x:v>
      </x:c>
      <x:c r="I75" s="245" t="str">
        <x:v>us-gaap:IncomeLossFromContinuingOperationsBeforeIncomeTaxesExtraordinaryItemsNoncontrollingInterest</x:v>
      </x:c>
      <x:c r="J75" s="245" t="str">
        <x:v>c-1</x:v>
      </x:c>
      <x:c r="K75" s="323" t="n">
        <x:v>6</x:v>
      </x:c>
      <x:c r="L75" s="245" t="str">
        <x:v>-6</x:v>
      </x:c>
      <x:c r="M75" s="245" t="str">
        <x:v>https://www.sec.gov/Archives/edgar/data/59478/000005947826000013/lly-20251231.htm</x:v>
      </x:c>
      <x:c r="N75" s="245" t="str">
        <x:v>Consolidated operations p. 57</x:v>
      </x:c>
      <x:c r="O75" s="245" t="str">
        <x:v>Inline XBRL</x:v>
      </x:c>
      <x:c r="P75" s="245" t="str">
        <x:v>None (consolidated total)</x:v>
      </x:c>
      <x:c r="Q75" s="245" t="str">
        <x:v>Exact tag, duration, USD and Lilly CIK; no dimensions; consolidated operations table only</x:v>
      </x:c>
      <x:c r="R75" s="305" t="str">
        <x:v>d45f8d1e0945df0b7b30254e96ff8c5dbd1df7d15b17c8ef7399c8e0206b7d7f</x:v>
      </x:c>
      <x:c r="S75" s="328"/>
      <x:c r="T75" s="329"/>
    </x:row>
    <x:row r="76" ht="85" customHeight="1">
      <x:c r="A76" s="234" t="str">
        <x:v>coverage_fy_interest</x:v>
      </x:c>
      <x:c r="B76" s="321" t="n">
        <x:v>895000000</x:v>
      </x:c>
      <x:c r="C76" s="245" t="str">
        <x:v>fy interest</x:v>
      </x:c>
      <x:c r="D76" s="244" t="d">
        <x:v>2025-01-01T00:00:00.000Z</x:v>
      </x:c>
      <x:c r="E76" s="244" t="d">
        <x:v>2025-12-31T00:00:00.000Z</x:v>
      </x:c>
      <x:c r="F76" s="245" t="str">
        <x:v>10-K</x:v>
      </x:c>
      <x:c r="G76" s="244" t="d">
        <x:v>2026-02-12T00:00:00.000Z</x:v>
      </x:c>
      <x:c r="H76" s="245" t="str">
        <x:v>0000059478-26-000013</x:v>
      </x:c>
      <x:c r="I76" s="245" t="str">
        <x:v>us-gaap:InterestExpenseNonoperating</x:v>
      </x:c>
      <x:c r="J76" s="245" t="str">
        <x:v>c-1</x:v>
      </x:c>
      <x:c r="K76" s="323" t="n">
        <x:v>6</x:v>
      </x:c>
      <x:c r="L76" s="245" t="str">
        <x:v>-6</x:v>
      </x:c>
      <x:c r="M76" s="245" t="str">
        <x:v>https://www.sec.gov/Archives/edgar/data/59478/000005947826000013/lly-20251231.htm</x:v>
      </x:c>
      <x:c r="N76" s="245" t="str">
        <x:v>Note 11 p. 77</x:v>
      </x:c>
      <x:c r="O76" s="245" t="str">
        <x:v>Inline XBRL</x:v>
      </x:c>
      <x:c r="P76" s="245" t="str">
        <x:v>None (consolidated total)</x:v>
      </x:c>
      <x:c r="Q76" s="245" t="str">
        <x:v>Exact tag, duration, USD and Lilly CIK; no dimensions</x:v>
      </x:c>
      <x:c r="R76" s="305" t="str">
        <x:v>d45f8d1e0945df0b7b30254e96ff8c5dbd1df7d15b17c8ef7399c8e0206b7d7f</x:v>
      </x:c>
      <x:c r="S76" s="328"/>
      <x:c r="T76" s="329"/>
    </x:row>
    <x:row r="77" ht="85" customHeight="1">
      <x:c r="A77" s="234" t="str">
        <x:v>coverage_current_revenue</x:v>
      </x:c>
      <x:c r="B77" s="321" t="n">
        <x:v>42773000000</x:v>
      </x:c>
      <x:c r="C77" s="245" t="str">
        <x:v>current revenue</x:v>
      </x:c>
      <x:c r="D77" s="244" t="d">
        <x:v>2026-01-01T00:00:00.000Z</x:v>
      </x:c>
      <x:c r="E77" s="244" t="d">
        <x:v>2026-06-30T00:00:00.000Z</x:v>
      </x:c>
      <x:c r="F77" s="245" t="str">
        <x:v>10-Q</x:v>
      </x:c>
      <x:c r="G77" s="244" t="d">
        <x:v>2026-08-05T00:00:00.000Z</x:v>
      </x:c>
      <x:c r="H77" s="245" t="str">
        <x:v>0000059478-26-000081</x:v>
      </x:c>
      <x:c r="I77" s="245" t="str">
        <x:v>us-gaap:Revenues</x:v>
      </x:c>
      <x:c r="J77" s="245" t="str">
        <x:v>c-1</x:v>
      </x:c>
      <x:c r="K77" s="323" t="n">
        <x:v>6</x:v>
      </x:c>
      <x:c r="L77" s="245" t="str">
        <x:v>-6</x:v>
      </x:c>
      <x:c r="M77" s="245" t="str">
        <x:v>https://www.sec.gov/Archives/edgar/data/59478/000005947826000081/lly-20260630.htm</x:v>
      </x:c>
      <x:c r="N77" s="245" t="str">
        <x:v>Consolidated operations p. 5</x:v>
      </x:c>
      <x:c r="O77" s="245" t="str">
        <x:v>Inline XBRL</x:v>
      </x:c>
      <x:c r="P77" s="245" t="str">
        <x:v>None (consolidated total)</x:v>
      </x:c>
      <x:c r="Q77" s="245" t="str">
        <x:v>Exact tag, duration, USD and Lilly CIK; no dimensions; consolidated operations table only</x:v>
      </x:c>
      <x:c r="R77" s="305" t="str">
        <x:v>8e8f10cf3af98bc12a41985a98cfde9c2b9da8a812af18515d34ce3d8e1c1b3d</x:v>
      </x:c>
      <x:c r="S77" s="328"/>
      <x:c r="T77" s="329"/>
    </x:row>
    <x:row r="78" ht="85" customHeight="1">
      <x:c r="A78" s="234" t="str">
        <x:v>coverage_current_cost_sales</x:v>
      </x:c>
      <x:c r="B78" s="321" t="n">
        <x:v>6845000000</x:v>
      </x:c>
      <x:c r="C78" s="245" t="str">
        <x:v>current cost_sales</x:v>
      </x:c>
      <x:c r="D78" s="244" t="d">
        <x:v>2026-01-01T00:00:00.000Z</x:v>
      </x:c>
      <x:c r="E78" s="244" t="d">
        <x:v>2026-06-30T00:00:00.000Z</x:v>
      </x:c>
      <x:c r="F78" s="245" t="str">
        <x:v>10-Q</x:v>
      </x:c>
      <x:c r="G78" s="244" t="d">
        <x:v>2026-08-05T00:00:00.000Z</x:v>
      </x:c>
      <x:c r="H78" s="245" t="str">
        <x:v>0000059478-26-000081</x:v>
      </x:c>
      <x:c r="I78" s="245" t="str">
        <x:v>us-gaap:CostOfGoodsAndServicesSold</x:v>
      </x:c>
      <x:c r="J78" s="245" t="str">
        <x:v>c-1</x:v>
      </x:c>
      <x:c r="K78" s="323" t="n">
        <x:v>6</x:v>
      </x:c>
      <x:c r="L78" s="245" t="str">
        <x:v>-6</x:v>
      </x:c>
      <x:c r="M78" s="245" t="str">
        <x:v>https://www.sec.gov/Archives/edgar/data/59478/000005947826000081/lly-20260630.htm</x:v>
      </x:c>
      <x:c r="N78" s="245" t="str">
        <x:v>Consolidated operations p. 5</x:v>
      </x:c>
      <x:c r="O78" s="245" t="str">
        <x:v>Inline XBRL</x:v>
      </x:c>
      <x:c r="P78" s="245" t="str">
        <x:v>None (consolidated total)</x:v>
      </x:c>
      <x:c r="Q78" s="245" t="str">
        <x:v>Exact tag, duration, USD and Lilly CIK; no dimensions; consolidated operations table only</x:v>
      </x:c>
      <x:c r="R78" s="305" t="str">
        <x:v>8e8f10cf3af98bc12a41985a98cfde9c2b9da8a812af18515d34ce3d8e1c1b3d</x:v>
      </x:c>
      <x:c r="S78" s="328"/>
      <x:c r="T78" s="329"/>
    </x:row>
    <x:row r="79" ht="85" customHeight="1">
      <x:c r="A79" s="234" t="str">
        <x:v>coverage_current_rd</x:v>
      </x:c>
      <x:c r="B79" s="321" t="n">
        <x:v>7329000000</x:v>
      </x:c>
      <x:c r="C79" s="245" t="str">
        <x:v>current rd</x:v>
      </x:c>
      <x:c r="D79" s="244" t="d">
        <x:v>2026-01-01T00:00:00.000Z</x:v>
      </x:c>
      <x:c r="E79" s="244" t="d">
        <x:v>2026-06-30T00:00:00.000Z</x:v>
      </x:c>
      <x:c r="F79" s="245" t="str">
        <x:v>10-Q</x:v>
      </x:c>
      <x:c r="G79" s="244" t="d">
        <x:v>2026-08-05T00:00:00.000Z</x:v>
      </x:c>
      <x:c r="H79" s="245" t="str">
        <x:v>0000059478-26-000081</x:v>
      </x:c>
      <x:c r="I79" s="245" t="str">
        <x:v>us-gaap:ResearchAndDevelopmentExpenseExcludingAcquiredInProcessCost</x:v>
      </x:c>
      <x:c r="J79" s="245" t="str">
        <x:v>c-1</x:v>
      </x:c>
      <x:c r="K79" s="323" t="n">
        <x:v>6</x:v>
      </x:c>
      <x:c r="L79" s="245" t="str">
        <x:v>-6</x:v>
      </x:c>
      <x:c r="M79" s="245" t="str">
        <x:v>https://www.sec.gov/Archives/edgar/data/59478/000005947826000081/lly-20260630.htm</x:v>
      </x:c>
      <x:c r="N79" s="245" t="str">
        <x:v>Consolidated operations p. 5</x:v>
      </x:c>
      <x:c r="O79" s="245" t="str">
        <x:v>Inline XBRL</x:v>
      </x:c>
      <x:c r="P79" s="245" t="str">
        <x:v>None (consolidated total)</x:v>
      </x:c>
      <x:c r="Q79" s="245" t="str">
        <x:v>Exact tag, duration, USD and Lilly CIK; no dimensions; consolidated operations table only</x:v>
      </x:c>
      <x:c r="R79" s="305" t="str">
        <x:v>8e8f10cf3af98bc12a41985a98cfde9c2b9da8a812af18515d34ce3d8e1c1b3d</x:v>
      </x:c>
      <x:c r="S79" s="328"/>
      <x:c r="T79" s="329"/>
    </x:row>
    <x:row r="80" ht="85" customHeight="1">
      <x:c r="A80" s="234" t="str">
        <x:v>coverage_current_sga</x:v>
      </x:c>
      <x:c r="B80" s="321" t="n">
        <x:v>6364000000</x:v>
      </x:c>
      <x:c r="C80" s="245" t="str">
        <x:v>current sga</x:v>
      </x:c>
      <x:c r="D80" s="244" t="d">
        <x:v>2026-01-01T00:00:00.000Z</x:v>
      </x:c>
      <x:c r="E80" s="244" t="d">
        <x:v>2026-06-30T00:00:00.000Z</x:v>
      </x:c>
      <x:c r="F80" s="245" t="str">
        <x:v>10-Q</x:v>
      </x:c>
      <x:c r="G80" s="244" t="d">
        <x:v>2026-08-05T00:00:00.000Z</x:v>
      </x:c>
      <x:c r="H80" s="245" t="str">
        <x:v>0000059478-26-000081</x:v>
      </x:c>
      <x:c r="I80" s="245" t="str">
        <x:v>us-gaap:SellingGeneralAndAdministrativeExpense</x:v>
      </x:c>
      <x:c r="J80" s="245" t="str">
        <x:v>c-1</x:v>
      </x:c>
      <x:c r="K80" s="323" t="n">
        <x:v>6</x:v>
      </x:c>
      <x:c r="L80" s="245" t="str">
        <x:v>-6</x:v>
      </x:c>
      <x:c r="M80" s="245" t="str">
        <x:v>https://www.sec.gov/Archives/edgar/data/59478/000005947826000081/lly-20260630.htm</x:v>
      </x:c>
      <x:c r="N80" s="245" t="str">
        <x:v>Consolidated operations p. 5</x:v>
      </x:c>
      <x:c r="O80" s="245" t="str">
        <x:v>Inline XBRL</x:v>
      </x:c>
      <x:c r="P80" s="245" t="str">
        <x:v>None (consolidated total)</x:v>
      </x:c>
      <x:c r="Q80" s="245" t="str">
        <x:v>Exact tag, duration, USD and Lilly CIK; no dimensions; consolidated operations table only</x:v>
      </x:c>
      <x:c r="R80" s="305" t="str">
        <x:v>8e8f10cf3af98bc12a41985a98cfde9c2b9da8a812af18515d34ce3d8e1c1b3d</x:v>
      </x:c>
      <x:c r="S80" s="328"/>
      <x:c r="T80" s="329"/>
    </x:row>
    <x:row r="81" ht="85" customHeight="1">
      <x:c r="A81" s="234" t="str">
        <x:v>coverage_current_iprd</x:v>
      </x:c>
      <x:c r="B81" s="321" t="n">
        <x:v>3360000000</x:v>
      </x:c>
      <x:c r="C81" s="245" t="str">
        <x:v>current iprd</x:v>
      </x:c>
      <x:c r="D81" s="244" t="d">
        <x:v>2026-01-01T00:00:00.000Z</x:v>
      </x:c>
      <x:c r="E81" s="244" t="d">
        <x:v>2026-06-30T00:00:00.000Z</x:v>
      </x:c>
      <x:c r="F81" s="245" t="str">
        <x:v>10-Q</x:v>
      </x:c>
      <x:c r="G81" s="244" t="d">
        <x:v>2026-08-05T00:00:00.000Z</x:v>
      </x:c>
      <x:c r="H81" s="245" t="str">
        <x:v>0000059478-26-000081</x:v>
      </x:c>
      <x:c r="I81" s="245" t="str">
        <x:v>us-gaap:ResearchAndDevelopmentAssetAcquiredOtherThanThroughBusinessCombinationWrittenOff</x:v>
      </x:c>
      <x:c r="J81" s="245" t="str">
        <x:v>c-1</x:v>
      </x:c>
      <x:c r="K81" s="323" t="n">
        <x:v>6</x:v>
      </x:c>
      <x:c r="L81" s="245" t="str">
        <x:v>-6</x:v>
      </x:c>
      <x:c r="M81" s="245" t="str">
        <x:v>https://www.sec.gov/Archives/edgar/data/59478/000005947826000081/lly-20260630.htm</x:v>
      </x:c>
      <x:c r="N81" s="245" t="str">
        <x:v>Consolidated operations p. 5</x:v>
      </x:c>
      <x:c r="O81" s="245" t="str">
        <x:v>Inline XBRL</x:v>
      </x:c>
      <x:c r="P81" s="245" t="str">
        <x:v>None (consolidated total)</x:v>
      </x:c>
      <x:c r="Q81" s="245" t="str">
        <x:v>Exact tag, duration, USD and Lilly CIK; no dimensions; consolidated operations table only</x:v>
      </x:c>
      <x:c r="R81" s="305" t="str">
        <x:v>8e8f10cf3af98bc12a41985a98cfde9c2b9da8a812af18515d34ce3d8e1c1b3d</x:v>
      </x:c>
      <x:c r="S81" s="328"/>
      <x:c r="T81" s="329"/>
    </x:row>
    <x:row r="82" ht="85" customHeight="1">
      <x:c r="A82" s="234" t="str">
        <x:v>coverage_current_special</x:v>
      </x:c>
      <x:c r="B82" s="321" t="n">
        <x:v>982000000</x:v>
      </x:c>
      <x:c r="C82" s="245" t="str">
        <x:v>current special</x:v>
      </x:c>
      <x:c r="D82" s="244" t="d">
        <x:v>2026-01-01T00:00:00.000Z</x:v>
      </x:c>
      <x:c r="E82" s="244" t="d">
        <x:v>2026-06-30T00:00:00.000Z</x:v>
      </x:c>
      <x:c r="F82" s="245" t="str">
        <x:v>10-Q</x:v>
      </x:c>
      <x:c r="G82" s="244" t="d">
        <x:v>2026-08-05T00:00:00.000Z</x:v>
      </x:c>
      <x:c r="H82" s="245" t="str">
        <x:v>0000059478-26-000081</x:v>
      </x:c>
      <x:c r="I82" s="245" t="str">
        <x:v>us-gaap:RestructuringSettlementAndImpairmentProvisions</x:v>
      </x:c>
      <x:c r="J82" s="245" t="str">
        <x:v>c-1</x:v>
      </x:c>
      <x:c r="K82" s="323" t="n">
        <x:v>6</x:v>
      </x:c>
      <x:c r="L82" s="245" t="str">
        <x:v>-6</x:v>
      </x:c>
      <x:c r="M82" s="245" t="str">
        <x:v>https://www.sec.gov/Archives/edgar/data/59478/000005947826000081/lly-20260630.htm</x:v>
      </x:c>
      <x:c r="N82" s="245" t="str">
        <x:v>Consolidated operations p. 5</x:v>
      </x:c>
      <x:c r="O82" s="245" t="str">
        <x:v>Inline XBRL</x:v>
      </x:c>
      <x:c r="P82" s="245" t="str">
        <x:v>None (consolidated total)</x:v>
      </x:c>
      <x:c r="Q82" s="245" t="str">
        <x:v>Exact tag, duration, USD and Lilly CIK; no dimensions; consolidated operations table only</x:v>
      </x:c>
      <x:c r="R82" s="305" t="str">
        <x:v>8e8f10cf3af98bc12a41985a98cfde9c2b9da8a812af18515d34ce3d8e1c1b3d</x:v>
      </x:c>
      <x:c r="S82" s="328"/>
      <x:c r="T82" s="329"/>
    </x:row>
    <x:row r="83" ht="85" customHeight="1">
      <x:c r="A83" s="234" t="str">
        <x:v>coverage_current_other_income</x:v>
      </x:c>
      <x:c r="B83" s="321" t="n">
        <x:v>204000000</x:v>
      </x:c>
      <x:c r="C83" s="245" t="str">
        <x:v>current other_income</x:v>
      </x:c>
      <x:c r="D83" s="244" t="d">
        <x:v>2026-01-01T00:00:00.000Z</x:v>
      </x:c>
      <x:c r="E83" s="244" t="d">
        <x:v>2026-06-30T00:00:00.000Z</x:v>
      </x:c>
      <x:c r="F83" s="245" t="str">
        <x:v>10-Q</x:v>
      </x:c>
      <x:c r="G83" s="244" t="d">
        <x:v>2026-08-05T00:00:00.000Z</x:v>
      </x:c>
      <x:c r="H83" s="245" t="str">
        <x:v>0000059478-26-000081</x:v>
      </x:c>
      <x:c r="I83" s="245" t="str">
        <x:v>us-gaap:NonoperatingIncomeExpense</x:v>
      </x:c>
      <x:c r="J83" s="245" t="str">
        <x:v>c-1</x:v>
      </x:c>
      <x:c r="K83" s="323" t="n">
        <x:v>6</x:v>
      </x:c>
      <x:c r="L83" s="245" t="str">
        <x:v>-6</x:v>
      </x:c>
      <x:c r="M83" s="245" t="str">
        <x:v>https://www.sec.gov/Archives/edgar/data/59478/000005947826000081/lly-20260630.htm</x:v>
      </x:c>
      <x:c r="N83" s="245" t="str">
        <x:v>Consolidated operations p. 5</x:v>
      </x:c>
      <x:c r="O83" s="245" t="str">
        <x:v>Inline XBRL</x:v>
      </x:c>
      <x:c r="P83" s="245" t="str">
        <x:v>None (consolidated total)</x:v>
      </x:c>
      <x:c r="Q83" s="245" t="str">
        <x:v>Exact tag, duration, USD and Lilly CIK; no dimensions; consolidated operations table only</x:v>
      </x:c>
      <x:c r="R83" s="305" t="str">
        <x:v>8e8f10cf3af98bc12a41985a98cfde9c2b9da8a812af18515d34ce3d8e1c1b3d</x:v>
      </x:c>
      <x:c r="S83" s="328"/>
      <x:c r="T83" s="329"/>
    </x:row>
    <x:row r="84" ht="85" customHeight="1">
      <x:c r="A84" s="234" t="str">
        <x:v>coverage_current_pretax</x:v>
      </x:c>
      <x:c r="B84" s="321" t="n">
        <x:v>18097000000</x:v>
      </x:c>
      <x:c r="C84" s="245" t="str">
        <x:v>current pretax</x:v>
      </x:c>
      <x:c r="D84" s="244" t="d">
        <x:v>2026-01-01T00:00:00.000Z</x:v>
      </x:c>
      <x:c r="E84" s="244" t="d">
        <x:v>2026-06-30T00:00:00.000Z</x:v>
      </x:c>
      <x:c r="F84" s="245" t="str">
        <x:v>10-Q</x:v>
      </x:c>
      <x:c r="G84" s="244" t="d">
        <x:v>2026-08-05T00:00:00.000Z</x:v>
      </x:c>
      <x:c r="H84" s="245" t="str">
        <x:v>0000059478-26-000081</x:v>
      </x:c>
      <x:c r="I84" s="245" t="str">
        <x:v>us-gaap:IncomeLossFromContinuingOperationsBeforeIncomeTaxesExtraordinaryItemsNoncontrollingInterest</x:v>
      </x:c>
      <x:c r="J84" s="245" t="str">
        <x:v>c-1</x:v>
      </x:c>
      <x:c r="K84" s="323" t="n">
        <x:v>6</x:v>
      </x:c>
      <x:c r="L84" s="245" t="str">
        <x:v>-6</x:v>
      </x:c>
      <x:c r="M84" s="245" t="str">
        <x:v>https://www.sec.gov/Archives/edgar/data/59478/000005947826000081/lly-20260630.htm</x:v>
      </x:c>
      <x:c r="N84" s="245" t="str">
        <x:v>Consolidated operations p. 5</x:v>
      </x:c>
      <x:c r="O84" s="245" t="str">
        <x:v>Inline XBRL</x:v>
      </x:c>
      <x:c r="P84" s="245" t="str">
        <x:v>None (consolidated total)</x:v>
      </x:c>
      <x:c r="Q84" s="245" t="str">
        <x:v>Exact tag, duration, USD and Lilly CIK; no dimensions; consolidated operations table only</x:v>
      </x:c>
      <x:c r="R84" s="305" t="str">
        <x:v>8e8f10cf3af98bc12a41985a98cfde9c2b9da8a812af18515d34ce3d8e1c1b3d</x:v>
      </x:c>
      <x:c r="S84" s="328"/>
      <x:c r="T84" s="329"/>
    </x:row>
    <x:row r="85" ht="85" customHeight="1">
      <x:c r="A85" s="234" t="str">
        <x:v>coverage_current_interest</x:v>
      </x:c>
      <x:c r="B85" s="321" t="n">
        <x:v>677000000</x:v>
      </x:c>
      <x:c r="C85" s="245" t="str">
        <x:v>current interest</x:v>
      </x:c>
      <x:c r="D85" s="244" t="d">
        <x:v>2026-01-01T00:00:00.000Z</x:v>
      </x:c>
      <x:c r="E85" s="244" t="d">
        <x:v>2026-06-30T00:00:00.000Z</x:v>
      </x:c>
      <x:c r="F85" s="245" t="str">
        <x:v>10-Q</x:v>
      </x:c>
      <x:c r="G85" s="244" t="d">
        <x:v>2026-08-05T00:00:00.000Z</x:v>
      </x:c>
      <x:c r="H85" s="245" t="str">
        <x:v>0000059478-26-000081</x:v>
      </x:c>
      <x:c r="I85" s="245" t="str">
        <x:v>us-gaap:InterestExpenseNonoperating</x:v>
      </x:c>
      <x:c r="J85" s="245" t="str">
        <x:v>c-397</x:v>
      </x:c>
      <x:c r="K85" s="323" t="n">
        <x:v>6</x:v>
      </x:c>
      <x:c r="L85" s="245" t="str">
        <x:v>-6</x:v>
      </x:c>
      <x:c r="M85" s="245" t="str">
        <x:v>https://www.sec.gov/Archives/edgar/data/59478/000005947826000081/lly-20260630.htm</x:v>
      </x:c>
      <x:c r="N85" s="245" t="str">
        <x:v>Note 11 p. 23</x:v>
      </x:c>
      <x:c r="O85" s="245" t="str">
        <x:v>Inline XBRL</x:v>
      </x:c>
      <x:c r="P85" s="245" t="str">
        <x:v>us-gaap:StatementBusinessSegmentsAxis = lly:ReportableSegmentMember</x:v>
      </x:c>
      <x:c r="Q85" s="245" t="str">
        <x:v>Exact tag, duration, USD and Lilly CIK; exact single-segment dimension</x:v>
      </x:c>
      <x:c r="R85" s="305" t="str">
        <x:v>8e8f10cf3af98bc12a41985a98cfde9c2b9da8a812af18515d34ce3d8e1c1b3d</x:v>
      </x:c>
      <x:c r="S85" s="328"/>
      <x:c r="T85" s="329"/>
    </x:row>
    <x:row r="86" ht="85" customHeight="1">
      <x:c r="A86" s="234" t="str">
        <x:v>coverage_prior_revenue</x:v>
      </x:c>
      <x:c r="B86" s="321" t="n">
        <x:v>28286000000</x:v>
      </x:c>
      <x:c r="C86" s="245" t="str">
        <x:v>prior revenue</x:v>
      </x:c>
      <x:c r="D86" s="244" t="d">
        <x:v>2025-01-01T00:00:00.000Z</x:v>
      </x:c>
      <x:c r="E86" s="244" t="d">
        <x:v>2025-06-30T00:00:00.000Z</x:v>
      </x:c>
      <x:c r="F86" s="245" t="str">
        <x:v>10-Q</x:v>
      </x:c>
      <x:c r="G86" s="244" t="d">
        <x:v>2026-08-05T00:00:00.000Z</x:v>
      </x:c>
      <x:c r="H86" s="245" t="str">
        <x:v>0000059478-26-000081</x:v>
      </x:c>
      <x:c r="I86" s="245" t="str">
        <x:v>us-gaap:Revenues</x:v>
      </x:c>
      <x:c r="J86" s="245" t="str">
        <x:v>c-14</x:v>
      </x:c>
      <x:c r="K86" s="323" t="n">
        <x:v>6</x:v>
      </x:c>
      <x:c r="L86" s="245" t="str">
        <x:v>-6</x:v>
      </x:c>
      <x:c r="M86" s="245" t="str">
        <x:v>https://www.sec.gov/Archives/edgar/data/59478/000005947826000081/lly-20260630.htm</x:v>
      </x:c>
      <x:c r="N86" s="245" t="str">
        <x:v>Consolidated operations p. 5</x:v>
      </x:c>
      <x:c r="O86" s="245" t="str">
        <x:v>Inline XBRL</x:v>
      </x:c>
      <x:c r="P86" s="245" t="str">
        <x:v>None (consolidated total)</x:v>
      </x:c>
      <x:c r="Q86" s="245" t="str">
        <x:v>Exact tag, duration, USD and Lilly CIK; no dimensions; consolidated operations table only</x:v>
      </x:c>
      <x:c r="R86" s="305" t="str">
        <x:v>8e8f10cf3af98bc12a41985a98cfde9c2b9da8a812af18515d34ce3d8e1c1b3d</x:v>
      </x:c>
      <x:c r="S86" s="328"/>
      <x:c r="T86" s="329"/>
    </x:row>
    <x:row r="87" ht="85" customHeight="1">
      <x:c r="A87" s="234" t="str">
        <x:v>coverage_prior_cost_sales</x:v>
      </x:c>
      <x:c r="B87" s="321" t="n">
        <x:v>4672000000</x:v>
      </x:c>
      <x:c r="C87" s="245" t="str">
        <x:v>prior cost_sales</x:v>
      </x:c>
      <x:c r="D87" s="244" t="d">
        <x:v>2025-01-01T00:00:00.000Z</x:v>
      </x:c>
      <x:c r="E87" s="244" t="d">
        <x:v>2025-06-30T00:00:00.000Z</x:v>
      </x:c>
      <x:c r="F87" s="245" t="str">
        <x:v>10-Q</x:v>
      </x:c>
      <x:c r="G87" s="244" t="d">
        <x:v>2026-08-05T00:00:00.000Z</x:v>
      </x:c>
      <x:c r="H87" s="245" t="str">
        <x:v>0000059478-26-000081</x:v>
      </x:c>
      <x:c r="I87" s="245" t="str">
        <x:v>us-gaap:CostOfGoodsAndServicesSold</x:v>
      </x:c>
      <x:c r="J87" s="245" t="str">
        <x:v>c-14</x:v>
      </x:c>
      <x:c r="K87" s="323" t="n">
        <x:v>6</x:v>
      </x:c>
      <x:c r="L87" s="245" t="str">
        <x:v>-6</x:v>
      </x:c>
      <x:c r="M87" s="245" t="str">
        <x:v>https://www.sec.gov/Archives/edgar/data/59478/000005947826000081/lly-20260630.htm</x:v>
      </x:c>
      <x:c r="N87" s="245" t="str">
        <x:v>Consolidated operations p. 5</x:v>
      </x:c>
      <x:c r="O87" s="245" t="str">
        <x:v>Inline XBRL</x:v>
      </x:c>
      <x:c r="P87" s="245" t="str">
        <x:v>None (consolidated total)</x:v>
      </x:c>
      <x:c r="Q87" s="245" t="str">
        <x:v>Exact tag, duration, USD and Lilly CIK; no dimensions; consolidated operations table only</x:v>
      </x:c>
      <x:c r="R87" s="305" t="str">
        <x:v>8e8f10cf3af98bc12a41985a98cfde9c2b9da8a812af18515d34ce3d8e1c1b3d</x:v>
      </x:c>
      <x:c r="S87" s="328"/>
      <x:c r="T87" s="329"/>
    </x:row>
    <x:row r="88" ht="85" customHeight="1">
      <x:c r="A88" s="234" t="str">
        <x:v>coverage_prior_rd</x:v>
      </x:c>
      <x:c r="B88" s="321" t="n">
        <x:v>6070000000</x:v>
      </x:c>
      <x:c r="C88" s="245" t="str">
        <x:v>prior rd</x:v>
      </x:c>
      <x:c r="D88" s="244" t="d">
        <x:v>2025-01-01T00:00:00.000Z</x:v>
      </x:c>
      <x:c r="E88" s="244" t="d">
        <x:v>2025-06-30T00:00:00.000Z</x:v>
      </x:c>
      <x:c r="F88" s="245" t="str">
        <x:v>10-Q</x:v>
      </x:c>
      <x:c r="G88" s="244" t="d">
        <x:v>2026-08-05T00:00:00.000Z</x:v>
      </x:c>
      <x:c r="H88" s="245" t="str">
        <x:v>0000059478-26-000081</x:v>
      </x:c>
      <x:c r="I88" s="245" t="str">
        <x:v>us-gaap:ResearchAndDevelopmentExpenseExcludingAcquiredInProcessCost</x:v>
      </x:c>
      <x:c r="J88" s="245" t="str">
        <x:v>c-14</x:v>
      </x:c>
      <x:c r="K88" s="323" t="n">
        <x:v>6</x:v>
      </x:c>
      <x:c r="L88" s="245" t="str">
        <x:v>-6</x:v>
      </x:c>
      <x:c r="M88" s="245" t="str">
        <x:v>https://www.sec.gov/Archives/edgar/data/59478/000005947826000081/lly-20260630.htm</x:v>
      </x:c>
      <x:c r="N88" s="245" t="str">
        <x:v>Consolidated operations p. 5</x:v>
      </x:c>
      <x:c r="O88" s="245" t="str">
        <x:v>Inline XBRL</x:v>
      </x:c>
      <x:c r="P88" s="245" t="str">
        <x:v>None (consolidated total)</x:v>
      </x:c>
      <x:c r="Q88" s="245" t="str">
        <x:v>Exact tag, duration, USD and Lilly CIK; no dimensions; consolidated operations table only</x:v>
      </x:c>
      <x:c r="R88" s="305" t="str">
        <x:v>8e8f10cf3af98bc12a41985a98cfde9c2b9da8a812af18515d34ce3d8e1c1b3d</x:v>
      </x:c>
      <x:c r="S88" s="328"/>
      <x:c r="T88" s="329"/>
    </x:row>
    <x:row r="89" ht="85" customHeight="1">
      <x:c r="A89" s="234" t="str">
        <x:v>coverage_prior_sga</x:v>
      </x:c>
      <x:c r="B89" s="321" t="n">
        <x:v>5221000000</x:v>
      </x:c>
      <x:c r="C89" s="245" t="str">
        <x:v>prior sga</x:v>
      </x:c>
      <x:c r="D89" s="244" t="d">
        <x:v>2025-01-01T00:00:00.000Z</x:v>
      </x:c>
      <x:c r="E89" s="244" t="d">
        <x:v>2025-06-30T00:00:00.000Z</x:v>
      </x:c>
      <x:c r="F89" s="245" t="str">
        <x:v>10-Q</x:v>
      </x:c>
      <x:c r="G89" s="244" t="d">
        <x:v>2026-08-05T00:00:00.000Z</x:v>
      </x:c>
      <x:c r="H89" s="245" t="str">
        <x:v>0000059478-26-000081</x:v>
      </x:c>
      <x:c r="I89" s="245" t="str">
        <x:v>us-gaap:SellingGeneralAndAdministrativeExpense</x:v>
      </x:c>
      <x:c r="J89" s="245" t="str">
        <x:v>c-14</x:v>
      </x:c>
      <x:c r="K89" s="323" t="n">
        <x:v>6</x:v>
      </x:c>
      <x:c r="L89" s="245" t="str">
        <x:v>-6</x:v>
      </x:c>
      <x:c r="M89" s="245" t="str">
        <x:v>https://www.sec.gov/Archives/edgar/data/59478/000005947826000081/lly-20260630.htm</x:v>
      </x:c>
      <x:c r="N89" s="245" t="str">
        <x:v>Consolidated operations p. 5</x:v>
      </x:c>
      <x:c r="O89" s="245" t="str">
        <x:v>Inline XBRL</x:v>
      </x:c>
      <x:c r="P89" s="245" t="str">
        <x:v>None (consolidated total)</x:v>
      </x:c>
      <x:c r="Q89" s="245" t="str">
        <x:v>Exact tag, duration, USD and Lilly CIK; no dimensions; consolidated operations table only</x:v>
      </x:c>
      <x:c r="R89" s="305" t="str">
        <x:v>8e8f10cf3af98bc12a41985a98cfde9c2b9da8a812af18515d34ce3d8e1c1b3d</x:v>
      </x:c>
      <x:c r="S89" s="328"/>
      <x:c r="T89" s="329"/>
    </x:row>
    <x:row r="90" ht="85" customHeight="1">
      <x:c r="A90" s="234" t="str">
        <x:v>coverage_prior_iprd</x:v>
      </x:c>
      <x:c r="B90" s="321" t="n">
        <x:v>1726000000</x:v>
      </x:c>
      <x:c r="C90" s="245" t="str">
        <x:v>prior iprd</x:v>
      </x:c>
      <x:c r="D90" s="244" t="d">
        <x:v>2025-01-01T00:00:00.000Z</x:v>
      </x:c>
      <x:c r="E90" s="244" t="d">
        <x:v>2025-06-30T00:00:00.000Z</x:v>
      </x:c>
      <x:c r="F90" s="245" t="str">
        <x:v>10-Q</x:v>
      </x:c>
      <x:c r="G90" s="244" t="d">
        <x:v>2026-08-05T00:00:00.000Z</x:v>
      </x:c>
      <x:c r="H90" s="245" t="str">
        <x:v>0000059478-26-000081</x:v>
      </x:c>
      <x:c r="I90" s="245" t="str">
        <x:v>us-gaap:ResearchAndDevelopmentAssetAcquiredOtherThanThroughBusinessCombinationWrittenOff</x:v>
      </x:c>
      <x:c r="J90" s="245" t="str">
        <x:v>c-14</x:v>
      </x:c>
      <x:c r="K90" s="323" t="n">
        <x:v>6</x:v>
      </x:c>
      <x:c r="L90" s="245" t="str">
        <x:v>-6</x:v>
      </x:c>
      <x:c r="M90" s="245" t="str">
        <x:v>https://www.sec.gov/Archives/edgar/data/59478/000005947826000081/lly-20260630.htm</x:v>
      </x:c>
      <x:c r="N90" s="245" t="str">
        <x:v>Consolidated operations p. 5</x:v>
      </x:c>
      <x:c r="O90" s="245" t="str">
        <x:v>Inline XBRL</x:v>
      </x:c>
      <x:c r="P90" s="245" t="str">
        <x:v>None (consolidated total)</x:v>
      </x:c>
      <x:c r="Q90" s="245" t="str">
        <x:v>Exact tag, duration, USD and Lilly CIK; no dimensions; consolidated operations table only</x:v>
      </x:c>
      <x:c r="R90" s="305" t="str">
        <x:v>8e8f10cf3af98bc12a41985a98cfde9c2b9da8a812af18515d34ce3d8e1c1b3d</x:v>
      </x:c>
      <x:c r="S90" s="328"/>
      <x:c r="T90" s="329"/>
    </x:row>
    <x:row r="91" ht="85" customHeight="1">
      <x:c r="A91" s="234" t="str">
        <x:v>coverage_prior_special</x:v>
      </x:c>
      <x:c r="B91" s="321" t="n">
        <x:v>35000000</x:v>
      </x:c>
      <x:c r="C91" s="245" t="str">
        <x:v>prior special</x:v>
      </x:c>
      <x:c r="D91" s="244" t="d">
        <x:v>2025-01-01T00:00:00.000Z</x:v>
      </x:c>
      <x:c r="E91" s="244" t="d">
        <x:v>2025-06-30T00:00:00.000Z</x:v>
      </x:c>
      <x:c r="F91" s="245" t="str">
        <x:v>10-Q</x:v>
      </x:c>
      <x:c r="G91" s="244" t="d">
        <x:v>2026-08-05T00:00:00.000Z</x:v>
      </x:c>
      <x:c r="H91" s="245" t="str">
        <x:v>0000059478-26-000081</x:v>
      </x:c>
      <x:c r="I91" s="245" t="str">
        <x:v>us-gaap:RestructuringSettlementAndImpairmentProvisions</x:v>
      </x:c>
      <x:c r="J91" s="245" t="str">
        <x:v>c-14</x:v>
      </x:c>
      <x:c r="K91" s="323" t="n">
        <x:v>6</x:v>
      </x:c>
      <x:c r="L91" s="245" t="str">
        <x:v>-6</x:v>
      </x:c>
      <x:c r="M91" s="245" t="str">
        <x:v>https://www.sec.gov/Archives/edgar/data/59478/000005947826000081/lly-20260630.htm</x:v>
      </x:c>
      <x:c r="N91" s="245" t="str">
        <x:v>Consolidated operations p. 5</x:v>
      </x:c>
      <x:c r="O91" s="245" t="str">
        <x:v>Inline XBRL</x:v>
      </x:c>
      <x:c r="P91" s="245" t="str">
        <x:v>None (consolidated total)</x:v>
      </x:c>
      <x:c r="Q91" s="245" t="str">
        <x:v>Exact tag, duration, USD and Lilly CIK; no dimensions; consolidated operations table only</x:v>
      </x:c>
      <x:c r="R91" s="305" t="str">
        <x:v>8e8f10cf3af98bc12a41985a98cfde9c2b9da8a812af18515d34ce3d8e1c1b3d</x:v>
      </x:c>
      <x:c r="S91" s="328"/>
      <x:c r="T91" s="329"/>
    </x:row>
    <x:row r="92" ht="85" customHeight="1">
      <x:c r="A92" s="234" t="str">
        <x:v>coverage_prior_other_income</x:v>
      </x:c>
      <x:c r="B92" s="321" t="n">
        <x:v>-329000000</x:v>
      </x:c>
      <x:c r="C92" s="245" t="str">
        <x:v>prior other_income</x:v>
      </x:c>
      <x:c r="D92" s="244" t="d">
        <x:v>2025-01-01T00:00:00.000Z</x:v>
      </x:c>
      <x:c r="E92" s="244" t="d">
        <x:v>2025-06-30T00:00:00.000Z</x:v>
      </x:c>
      <x:c r="F92" s="245" t="str">
        <x:v>10-Q</x:v>
      </x:c>
      <x:c r="G92" s="244" t="d">
        <x:v>2026-08-05T00:00:00.000Z</x:v>
      </x:c>
      <x:c r="H92" s="245" t="str">
        <x:v>0000059478-26-000081</x:v>
      </x:c>
      <x:c r="I92" s="245" t="str">
        <x:v>us-gaap:NonoperatingIncomeExpense</x:v>
      </x:c>
      <x:c r="J92" s="245" t="str">
        <x:v>c-14</x:v>
      </x:c>
      <x:c r="K92" s="323" t="n">
        <x:v>6</x:v>
      </x:c>
      <x:c r="L92" s="245" t="str">
        <x:v>-6</x:v>
      </x:c>
      <x:c r="M92" s="245" t="str">
        <x:v>https://www.sec.gov/Archives/edgar/data/59478/000005947826000081/lly-20260630.htm</x:v>
      </x:c>
      <x:c r="N92" s="245" t="str">
        <x:v>Consolidated operations p. 5</x:v>
      </x:c>
      <x:c r="O92" s="245" t="str">
        <x:v>Inline XBRL</x:v>
      </x:c>
      <x:c r="P92" s="245" t="str">
        <x:v>None (consolidated total)</x:v>
      </x:c>
      <x:c r="Q92" s="245" t="str">
        <x:v>Exact tag, duration, USD and Lilly CIK; no dimensions; consolidated operations table only</x:v>
      </x:c>
      <x:c r="R92" s="305" t="str">
        <x:v>8e8f10cf3af98bc12a41985a98cfde9c2b9da8a812af18515d34ce3d8e1c1b3d</x:v>
      </x:c>
      <x:c r="S92" s="328"/>
      <x:c r="T92" s="329"/>
    </x:row>
    <x:row r="93" ht="85" customHeight="1">
      <x:c r="A93" s="234" t="str">
        <x:v>coverage_prior_pretax</x:v>
      </x:c>
      <x:c r="B93" s="321" t="n">
        <x:v>10233000000</x:v>
      </x:c>
      <x:c r="C93" s="245" t="str">
        <x:v>prior pretax</x:v>
      </x:c>
      <x:c r="D93" s="244" t="d">
        <x:v>2025-01-01T00:00:00.000Z</x:v>
      </x:c>
      <x:c r="E93" s="244" t="d">
        <x:v>2025-06-30T00:00:00.000Z</x:v>
      </x:c>
      <x:c r="F93" s="245" t="str">
        <x:v>10-Q</x:v>
      </x:c>
      <x:c r="G93" s="244" t="d">
        <x:v>2026-08-05T00:00:00.000Z</x:v>
      </x:c>
      <x:c r="H93" s="245" t="str">
        <x:v>0000059478-26-000081</x:v>
      </x:c>
      <x:c r="I93" s="245" t="str">
        <x:v>us-gaap:IncomeLossFromContinuingOperationsBeforeIncomeTaxesExtraordinaryItemsNoncontrollingInterest</x:v>
      </x:c>
      <x:c r="J93" s="245" t="str">
        <x:v>c-14</x:v>
      </x:c>
      <x:c r="K93" s="323" t="n">
        <x:v>6</x:v>
      </x:c>
      <x:c r="L93" s="245" t="str">
        <x:v>-6</x:v>
      </x:c>
      <x:c r="M93" s="245" t="str">
        <x:v>https://www.sec.gov/Archives/edgar/data/59478/000005947826000081/lly-20260630.htm</x:v>
      </x:c>
      <x:c r="N93" s="245" t="str">
        <x:v>Consolidated operations p. 5</x:v>
      </x:c>
      <x:c r="O93" s="245" t="str">
        <x:v>Inline XBRL</x:v>
      </x:c>
      <x:c r="P93" s="245" t="str">
        <x:v>None (consolidated total)</x:v>
      </x:c>
      <x:c r="Q93" s="245" t="str">
        <x:v>Exact tag, duration, USD and Lilly CIK; no dimensions; consolidated operations table only</x:v>
      </x:c>
      <x:c r="R93" s="305" t="str">
        <x:v>8e8f10cf3af98bc12a41985a98cfde9c2b9da8a812af18515d34ce3d8e1c1b3d</x:v>
      </x:c>
      <x:c r="S93" s="328"/>
      <x:c r="T93" s="329"/>
    </x:row>
    <x:row r="94" ht="85" customHeight="1">
      <x:c r="A94" s="234" t="str">
        <x:v>coverage_prior_interest</x:v>
      </x:c>
      <x:c r="B94" s="321" t="n">
        <x:v>493000000</x:v>
      </x:c>
      <x:c r="C94" s="245" t="str">
        <x:v>prior interest</x:v>
      </x:c>
      <x:c r="D94" s="244" t="d">
        <x:v>2025-01-01T00:00:00.000Z</x:v>
      </x:c>
      <x:c r="E94" s="244" t="d">
        <x:v>2025-06-30T00:00:00.000Z</x:v>
      </x:c>
      <x:c r="F94" s="245" t="str">
        <x:v>10-Q</x:v>
      </x:c>
      <x:c r="G94" s="244" t="d">
        <x:v>2026-08-05T00:00:00.000Z</x:v>
      </x:c>
      <x:c r="H94" s="245" t="str">
        <x:v>0000059478-26-000081</x:v>
      </x:c>
      <x:c r="I94" s="245" t="str">
        <x:v>us-gaap:InterestExpenseNonoperating</x:v>
      </x:c>
      <x:c r="J94" s="245" t="str">
        <x:v>c-398</x:v>
      </x:c>
      <x:c r="K94" s="323" t="n">
        <x:v>6</x:v>
      </x:c>
      <x:c r="L94" s="245" t="str">
        <x:v>-6</x:v>
      </x:c>
      <x:c r="M94" s="245" t="str">
        <x:v>https://www.sec.gov/Archives/edgar/data/59478/000005947826000081/lly-20260630.htm</x:v>
      </x:c>
      <x:c r="N94" s="245" t="str">
        <x:v>Note 11 p. 23</x:v>
      </x:c>
      <x:c r="O94" s="245" t="str">
        <x:v>Inline XBRL</x:v>
      </x:c>
      <x:c r="P94" s="245" t="str">
        <x:v>us-gaap:StatementBusinessSegmentsAxis = lly:ReportableSegmentMember</x:v>
      </x:c>
      <x:c r="Q94" s="245" t="str">
        <x:v>Exact tag, duration, USD and Lilly CIK; exact single-segment dimension</x:v>
      </x:c>
      <x:c r="R94" s="305" t="str">
        <x:v>8e8f10cf3af98bc12a41985a98cfde9c2b9da8a812af18515d34ce3d8e1c1b3d</x:v>
      </x:c>
      <x:c r="S94" s="328"/>
      <x:c r="T94" s="329"/>
    </x:row>
    <x:row r="95" ht="85" customHeight="1">
      <x:c r="A95" s="234" t="str">
        <x:v>may_notes_0</x:v>
      </x:c>
      <x:c r="B95" s="321" t="n">
        <x:v>750000000</x:v>
      </x:c>
      <x:c r="C95" s="245" t="str">
        <x:v>Floating 2028 — May 20 initial issue</x:v>
      </x:c>
      <x:c r="D95" s="322"/>
      <x:c r="E95" s="244" t="d">
        <x:v>2028-05-20T00:00:00.000Z</x:v>
      </x:c>
      <x:c r="F95" s="245" t="str">
        <x:v>8-K Ex. 4.4</x:v>
      </x:c>
      <x:c r="G95" s="244" t="d">
        <x:v>2026-05-20T00:00:00.000Z</x:v>
      </x:c>
      <x:c r="H95" s="245" t="str">
        <x:v>0001193125-26-232707</x:v>
      </x:c>
      <x:c r="I95" s="312"/>
      <x:c r="J95" s="312"/>
      <x:c r="K95" s="312"/>
      <x:c r="L95" s="312"/>
      <x:c r="M95" s="245" t="str">
        <x:v>https://www.sec.gov/Archives/edgar/data/59478/000119312526232707/d148580dex44.htm</x:v>
      </x:c>
      <x:c r="N95" s="245" t="str">
        <x:v>Certificate clauses (iii)–(v); note forms</x:v>
      </x:c>
      <x:c r="O95" s="245" t="str">
        <x:v>Reviewed contract text</x:v>
      </x:c>
      <x:c r="P95" s="245" t="str">
        <x:v>None (consolidated total)</x:v>
      </x:c>
      <x:c r="Q95" s="245" t="str">
        <x:v>Initial issue principal, not June outstanding balance. Issued 2026-05-20. Stated maturity subject to applicable business-day, redemption and default provisions. Not added to June debt or the December carrying-amount table.</x:v>
      </x:c>
      <x:c r="R95" s="305" t="str">
        <x:v>abe96195bc60dfbb1bbdb90af64d2e548b2b743cfe34901cdf512542c9c576b9</x:v>
      </x:c>
      <x:c r="S95" s="328"/>
      <x:c r="T95" s="330" t="n">
        <x:v>0.0035</x:v>
      </x:c>
    </x:row>
    <x:row r="96" ht="85" customHeight="1">
      <x:c r="A96" s="234" t="str">
        <x:v>may_notes_1</x:v>
      </x:c>
      <x:c r="B96" s="321" t="n">
        <x:v>500000000</x:v>
      </x:c>
      <x:c r="C96" s="245" t="str">
        <x:v>Floating 2029 — May 20 initial issue</x:v>
      </x:c>
      <x:c r="D96" s="322"/>
      <x:c r="E96" s="244" t="d">
        <x:v>2029-05-20T00:00:00.000Z</x:v>
      </x:c>
      <x:c r="F96" s="245" t="str">
        <x:v>8-K Ex. 4.4</x:v>
      </x:c>
      <x:c r="G96" s="244" t="d">
        <x:v>2026-05-20T00:00:00.000Z</x:v>
      </x:c>
      <x:c r="H96" s="245" t="str">
        <x:v>0001193125-26-232707</x:v>
      </x:c>
      <x:c r="I96" s="312"/>
      <x:c r="J96" s="312"/>
      <x:c r="K96" s="312"/>
      <x:c r="L96" s="312"/>
      <x:c r="M96" s="245" t="str">
        <x:v>https://www.sec.gov/Archives/edgar/data/59478/000119312526232707/d148580dex44.htm</x:v>
      </x:c>
      <x:c r="N96" s="245" t="str">
        <x:v>Certificate clauses (iii)–(v); note forms</x:v>
      </x:c>
      <x:c r="O96" s="245" t="str">
        <x:v>Reviewed contract text</x:v>
      </x:c>
      <x:c r="P96" s="245" t="str">
        <x:v>None (consolidated total)</x:v>
      </x:c>
      <x:c r="Q96" s="245" t="str">
        <x:v>Initial issue principal, not June outstanding balance. Issued 2026-05-20. Stated maturity subject to applicable business-day, redemption and default provisions. Not added to June debt or the December carrying-amount table.</x:v>
      </x:c>
      <x:c r="R96" s="305" t="str">
        <x:v>abe96195bc60dfbb1bbdb90af64d2e548b2b743cfe34901cdf512542c9c576b9</x:v>
      </x:c>
      <x:c r="S96" s="328"/>
      <x:c r="T96" s="330" t="n">
        <x:v>0.0046</x:v>
      </x:c>
    </x:row>
    <x:row r="97" ht="85" customHeight="1">
      <x:c r="A97" s="234" t="str">
        <x:v>may_notes_2</x:v>
      </x:c>
      <x:c r="B97" s="321" t="n">
        <x:v>750000000</x:v>
      </x:c>
      <x:c r="C97" s="245" t="str">
        <x:v>Fixed 2029 — May 20 initial issue</x:v>
      </x:c>
      <x:c r="D97" s="322"/>
      <x:c r="E97" s="244" t="d">
        <x:v>2029-05-20T00:00:00.000Z</x:v>
      </x:c>
      <x:c r="F97" s="245" t="str">
        <x:v>8-K Ex. 4.3</x:v>
      </x:c>
      <x:c r="G97" s="244" t="d">
        <x:v>2026-05-20T00:00:00.000Z</x:v>
      </x:c>
      <x:c r="H97" s="245" t="str">
        <x:v>0001193125-26-232707</x:v>
      </x:c>
      <x:c r="I97" s="312"/>
      <x:c r="J97" s="312"/>
      <x:c r="K97" s="312"/>
      <x:c r="L97" s="312"/>
      <x:c r="M97" s="245" t="str">
        <x:v>https://www.sec.gov/Archives/edgar/data/59478/000119312526232707/d148580dex43.htm</x:v>
      </x:c>
      <x:c r="N97" s="245" t="str">
        <x:v>Certificate clauses (iii)–(v); note forms</x:v>
      </x:c>
      <x:c r="O97" s="245" t="str">
        <x:v>Reviewed contract text</x:v>
      </x:c>
      <x:c r="P97" s="245" t="str">
        <x:v>None (consolidated total)</x:v>
      </x:c>
      <x:c r="Q97" s="245" t="str">
        <x:v>Initial issue principal, not June outstanding balance. Issued 2026-05-20. Stated maturity subject to applicable business-day, redemption and default provisions. Not added to June debt or the December carrying-amount table.</x:v>
      </x:c>
      <x:c r="R97" s="305" t="str">
        <x:v>23483435eff9194a1858f9a71159cb4d3d661db65eff0ff4d950bb7f4e783b97</x:v>
      </x:c>
      <x:c r="S97" s="331" t="n">
        <x:v>0.0415</x:v>
      </x:c>
      <x:c r="T97" s="329"/>
    </x:row>
    <x:row r="98" ht="85" customHeight="1">
      <x:c r="A98" s="234" t="str">
        <x:v>may_notes_3</x:v>
      </x:c>
      <x:c r="B98" s="321" t="n">
        <x:v>1500000000</x:v>
      </x:c>
      <x:c r="C98" s="245" t="str">
        <x:v>Fixed 2031 — May 20 initial issue</x:v>
      </x:c>
      <x:c r="D98" s="322"/>
      <x:c r="E98" s="244" t="d">
        <x:v>2031-05-20T00:00:00.000Z</x:v>
      </x:c>
      <x:c r="F98" s="245" t="str">
        <x:v>8-K Ex. 4.3</x:v>
      </x:c>
      <x:c r="G98" s="244" t="d">
        <x:v>2026-05-20T00:00:00.000Z</x:v>
      </x:c>
      <x:c r="H98" s="245" t="str">
        <x:v>0001193125-26-232707</x:v>
      </x:c>
      <x:c r="I98" s="312"/>
      <x:c r="J98" s="312"/>
      <x:c r="K98" s="312"/>
      <x:c r="L98" s="312"/>
      <x:c r="M98" s="245" t="str">
        <x:v>https://www.sec.gov/Archives/edgar/data/59478/000119312526232707/d148580dex43.htm</x:v>
      </x:c>
      <x:c r="N98" s="245" t="str">
        <x:v>Certificate clauses (iii)–(v); note forms</x:v>
      </x:c>
      <x:c r="O98" s="245" t="str">
        <x:v>Reviewed contract text</x:v>
      </x:c>
      <x:c r="P98" s="245" t="str">
        <x:v>None (consolidated total)</x:v>
      </x:c>
      <x:c r="Q98" s="245" t="str">
        <x:v>Initial issue principal, not June outstanding balance. Issued 2026-05-20. Stated maturity subject to applicable business-day, redemption and default provisions. Not added to June debt or the December carrying-amount table.</x:v>
      </x:c>
      <x:c r="R98" s="305" t="str">
        <x:v>23483435eff9194a1858f9a71159cb4d3d661db65eff0ff4d950bb7f4e783b97</x:v>
      </x:c>
      <x:c r="S98" s="331" t="n">
        <x:v>0.04375</x:v>
      </x:c>
      <x:c r="T98" s="329"/>
    </x:row>
    <x:row r="99" ht="85" customHeight="1">
      <x:c r="A99" s="234" t="str">
        <x:v>may_notes_4</x:v>
      </x:c>
      <x:c r="B99" s="321" t="n">
        <x:v>1250000000</x:v>
      </x:c>
      <x:c r="C99" s="245" t="str">
        <x:v>Fixed 2033 — May 20 initial issue</x:v>
      </x:c>
      <x:c r="D99" s="322"/>
      <x:c r="E99" s="244" t="d">
        <x:v>2033-05-20T00:00:00.000Z</x:v>
      </x:c>
      <x:c r="F99" s="245" t="str">
        <x:v>8-K Ex. 4.3</x:v>
      </x:c>
      <x:c r="G99" s="244" t="d">
        <x:v>2026-05-20T00:00:00.000Z</x:v>
      </x:c>
      <x:c r="H99" s="245" t="str">
        <x:v>0001193125-26-232707</x:v>
      </x:c>
      <x:c r="I99" s="312"/>
      <x:c r="J99" s="312"/>
      <x:c r="K99" s="312"/>
      <x:c r="L99" s="312"/>
      <x:c r="M99" s="245" t="str">
        <x:v>https://www.sec.gov/Archives/edgar/data/59478/000119312526232707/d148580dex43.htm</x:v>
      </x:c>
      <x:c r="N99" s="245" t="str">
        <x:v>Certificate clauses (iii)–(v); note forms</x:v>
      </x:c>
      <x:c r="O99" s="245" t="str">
        <x:v>Reviewed contract text</x:v>
      </x:c>
      <x:c r="P99" s="245" t="str">
        <x:v>None (consolidated total)</x:v>
      </x:c>
      <x:c r="Q99" s="245" t="str">
        <x:v>Initial issue principal, not June outstanding balance. Issued 2026-05-20. Stated maturity subject to applicable business-day, redemption and default provisions. Not added to June debt or the December carrying-amount table.</x:v>
      </x:c>
      <x:c r="R99" s="305" t="str">
        <x:v>23483435eff9194a1858f9a71159cb4d3d661db65eff0ff4d950bb7f4e783b97</x:v>
      </x:c>
      <x:c r="S99" s="331" t="n">
        <x:v>0.0465</x:v>
      </x:c>
      <x:c r="T99" s="329"/>
    </x:row>
    <x:row r="100" ht="85" customHeight="1">
      <x:c r="A100" s="234" t="str">
        <x:v>may_notes_5</x:v>
      </x:c>
      <x:c r="B100" s="321" t="n">
        <x:v>1500000000</x:v>
      </x:c>
      <x:c r="C100" s="245" t="str">
        <x:v>Fixed 2036 — May 20 initial issue</x:v>
      </x:c>
      <x:c r="D100" s="322"/>
      <x:c r="E100" s="244" t="d">
        <x:v>2036-05-20T00:00:00.000Z</x:v>
      </x:c>
      <x:c r="F100" s="245" t="str">
        <x:v>8-K Ex. 4.3</x:v>
      </x:c>
      <x:c r="G100" s="244" t="d">
        <x:v>2026-05-20T00:00:00.000Z</x:v>
      </x:c>
      <x:c r="H100" s="245" t="str">
        <x:v>0001193125-26-232707</x:v>
      </x:c>
      <x:c r="I100" s="312"/>
      <x:c r="J100" s="312"/>
      <x:c r="K100" s="312"/>
      <x:c r="L100" s="312"/>
      <x:c r="M100" s="245" t="str">
        <x:v>https://www.sec.gov/Archives/edgar/data/59478/000119312526232707/d148580dex43.htm</x:v>
      </x:c>
      <x:c r="N100" s="245" t="str">
        <x:v>Certificate clauses (iii)–(v); note forms</x:v>
      </x:c>
      <x:c r="O100" s="245" t="str">
        <x:v>Reviewed contract text</x:v>
      </x:c>
      <x:c r="P100" s="245" t="str">
        <x:v>None (consolidated total)</x:v>
      </x:c>
      <x:c r="Q100" s="245" t="str">
        <x:v>Initial issue principal, not June outstanding balance. Issued 2026-05-20. Stated maturity subject to applicable business-day, redemption and default provisions. Not added to June debt or the December carrying-amount table.</x:v>
      </x:c>
      <x:c r="R100" s="305" t="str">
        <x:v>23483435eff9194a1858f9a71159cb4d3d661db65eff0ff4d950bb7f4e783b97</x:v>
      </x:c>
      <x:c r="S100" s="331" t="n">
        <x:v>0.0485</x:v>
      </x:c>
      <x:c r="T100" s="329"/>
    </x:row>
    <x:row r="101" ht="85" customHeight="1">
      <x:c r="A101" s="234" t="str">
        <x:v>may_notes_6</x:v>
      </x:c>
      <x:c r="B101" s="321" t="n">
        <x:v>1750000000</x:v>
      </x:c>
      <x:c r="C101" s="245" t="str">
        <x:v>Fixed 2056 — May 20 initial issue</x:v>
      </x:c>
      <x:c r="D101" s="322"/>
      <x:c r="E101" s="244" t="d">
        <x:v>2056-05-20T00:00:00.000Z</x:v>
      </x:c>
      <x:c r="F101" s="245" t="str">
        <x:v>8-K Ex. 4.3</x:v>
      </x:c>
      <x:c r="G101" s="244" t="d">
        <x:v>2026-05-20T00:00:00.000Z</x:v>
      </x:c>
      <x:c r="H101" s="245" t="str">
        <x:v>0001193125-26-232707</x:v>
      </x:c>
      <x:c r="I101" s="312"/>
      <x:c r="J101" s="312"/>
      <x:c r="K101" s="312"/>
      <x:c r="L101" s="312"/>
      <x:c r="M101" s="245" t="str">
        <x:v>https://www.sec.gov/Archives/edgar/data/59478/000119312526232707/d148580dex43.htm</x:v>
      </x:c>
      <x:c r="N101" s="245" t="str">
        <x:v>Certificate clauses (iii)–(v); note forms</x:v>
      </x:c>
      <x:c r="O101" s="245" t="str">
        <x:v>Reviewed contract text</x:v>
      </x:c>
      <x:c r="P101" s="245" t="str">
        <x:v>None (consolidated total)</x:v>
      </x:c>
      <x:c r="Q101" s="245" t="str">
        <x:v>Initial issue principal, not June outstanding balance. Issued 2026-05-20. Stated maturity subject to applicable business-day, redemption and default provisions. Not added to June debt or the December carrying-amount table.</x:v>
      </x:c>
      <x:c r="R101" s="305" t="str">
        <x:v>23483435eff9194a1858f9a71159cb4d3d661db65eff0ff4d950bb7f4e783b97</x:v>
      </x:c>
      <x:c r="S101" s="331" t="n">
        <x:v>0.056</x:v>
      </x:c>
      <x:c r="T101" s="329"/>
    </x:row>
    <x:row r="102" ht="85" customHeight="1">
      <x:c r="A102" s="234" t="str">
        <x:v>may_notes_7</x:v>
      </x:c>
      <x:c r="B102" s="321" t="n">
        <x:v>1000000000</x:v>
      </x:c>
      <x:c r="C102" s="245" t="str">
        <x:v>Fixed 2066 — May 20 initial issue</x:v>
      </x:c>
      <x:c r="D102" s="322"/>
      <x:c r="E102" s="244" t="d">
        <x:v>2066-05-20T00:00:00.000Z</x:v>
      </x:c>
      <x:c r="F102" s="245" t="str">
        <x:v>8-K Ex. 4.3</x:v>
      </x:c>
      <x:c r="G102" s="244" t="d">
        <x:v>2026-05-20T00:00:00.000Z</x:v>
      </x:c>
      <x:c r="H102" s="245" t="str">
        <x:v>0001193125-26-232707</x:v>
      </x:c>
      <x:c r="I102" s="312"/>
      <x:c r="J102" s="312"/>
      <x:c r="K102" s="312"/>
      <x:c r="L102" s="312"/>
      <x:c r="M102" s="245" t="str">
        <x:v>https://www.sec.gov/Archives/edgar/data/59478/000119312526232707/d148580dex43.htm</x:v>
      </x:c>
      <x:c r="N102" s="245" t="str">
        <x:v>Certificate clauses (iii)–(v); note forms</x:v>
      </x:c>
      <x:c r="O102" s="245" t="str">
        <x:v>Reviewed contract text</x:v>
      </x:c>
      <x:c r="P102" s="245" t="str">
        <x:v>None (consolidated total)</x:v>
      </x:c>
      <x:c r="Q102" s="245" t="str">
        <x:v>Initial issue principal, not June outstanding balance. Issued 2026-05-20. Stated maturity subject to applicable business-day, redemption and default provisions. Not added to June debt or the December carrying-amount table.</x:v>
      </x:c>
      <x:c r="R102" s="305" t="str">
        <x:v>23483435eff9194a1858f9a71159cb4d3d661db65eff0ff4d950bb7f4e783b97</x:v>
      </x:c>
      <x:c r="S102" s="331" t="n">
        <x:v>0.057</x:v>
      </x:c>
      <x:c r="T102" s="329"/>
    </x:row>
    <x:row r="103" ht="85" customHeight="1">
      <x:c r="A103" s="235" t="str">
        <x:v>may_issue_control</x:v>
      </x:c>
      <x:c r="B103" s="324" t="n">
        <x:v>9000000000</x:v>
      </x:c>
      <x:c r="C103" s="263" t="str">
        <x:v>Reported completed May issue, initial principal</x:v>
      </x:c>
      <x:c r="D103" s="332"/>
      <x:c r="E103" s="262" t="d">
        <x:v>2026-05-20T00:00:00.000Z</x:v>
      </x:c>
      <x:c r="F103" s="263" t="str">
        <x:v>8-K</x:v>
      </x:c>
      <x:c r="G103" s="262" t="d">
        <x:v>2026-05-20T00:00:00.000Z</x:v>
      </x:c>
      <x:c r="H103" s="263" t="str">
        <x:v>0001193125-26-232707</x:v>
      </x:c>
      <x:c r="I103" s="318"/>
      <x:c r="J103" s="318"/>
      <x:c r="K103" s="318"/>
      <x:c r="L103" s="318"/>
      <x:c r="M103" s="263" t="str">
        <x:v>https://www.sec.gov/Archives/edgar/data/59478/000119312526232707/d148580d8k.htm</x:v>
      </x:c>
      <x:c r="N103" s="263" t="str">
        <x:v>Item 8.01, completed offering</x:v>
      </x:c>
      <x:c r="O103" s="263" t="str">
        <x:v>Reviewed filing text</x:v>
      </x:c>
      <x:c r="P103" s="263" t="str">
        <x:v>None (consolidated total)</x:v>
      </x:c>
      <x:c r="Q103" s="263" t="str">
        <x:v>Initial issue principal, not net cash proceeds, current outstanding debt or unused financing.</x:v>
      </x:c>
      <x:c r="R103" s="314" t="str">
        <x:v>e88aeee8cddfc4b3459ec97cd166010b955ae2d8e5bcc2e59913f995c2e233f9</x:v>
      </x:c>
      <x:c r="S103" s="333"/>
      <x:c r="T103" s="334"/>
    </x:row>
    <x:row r="106" ht="72" customHeight="1">
      <x:c r="A106" s="226" t="str">
        <x:v>Funding conclusion evidence</x:v>
      </x:c>
      <x:c r="B106" s="242" t="str">
        <x:v>Filing / filed date</x:v>
      </x:c>
      <x:c r="C106" s="242" t="str">
        <x:v>Accession</x:v>
      </x:c>
      <x:c r="D106" s="277" t="str">
        <x:v>Location</x:v>
      </x:c>
      <x:c r="L106" s="335" t="str">
        <x:v>SEC source</x:v>
      </x:c>
    </x:row>
    <x:row r="107" ht="72" customHeight="1">
      <x:c r="A107" s="234" t="str">
        <x:v>Near-term obligations</x:v>
      </x:c>
      <x:c r="B107" s="245" t="str">
        <x:v>10-Q filed Aug 5, 2026</x:v>
      </x:c>
      <x:c r="C107" s="245" t="str">
        <x:v>0000059478-26-000081</x:v>
      </x:c>
      <x:c r="D107" s="305" t="str">
        <x:v>pp. 7–8, 12–14, 17, 23, 31</x:v>
      </x:c>
      <x:c r="L107" s="336" t="str">
        <x:v>https://www.sec.gov/Archives/edgar/data/59478/000005947826000081/lly-20260630.htm</x:v>
      </x:c>
    </x:row>
    <x:row r="108" ht="72" customHeight="1">
      <x:c r="A108" s="234" t="str">
        <x:v>Resources and access</x:v>
      </x:c>
      <x:c r="B108" s="245" t="str">
        <x:v>10-Q filed Aug 5, 2026</x:v>
      </x:c>
      <x:c r="C108" s="245" t="str">
        <x:v>0000059478-26-000081</x:v>
      </x:c>
      <x:c r="D108" s="305" t="str">
        <x:v>pp. 7–8, 12–14, 17, 23, 31</x:v>
      </x:c>
      <x:c r="L108" s="336" t="str">
        <x:v>https://www.sec.gov/Archives/edgar/data/59478/000005947826000081/lly-20260630.htm</x:v>
      </x:c>
    </x:row>
    <x:row r="109" ht="72" customHeight="1">
      <x:c r="A109" s="234" t="str">
        <x:v>Resources and access</x:v>
      </x:c>
      <x:c r="B109" s="245" t="str">
        <x:v>10-K filed Feb 12, 2026</x:v>
      </x:c>
      <x:c r="C109" s="245" t="str">
        <x:v>0000059478-26-000013</x:v>
      </x:c>
      <x:c r="D109" s="305" t="str">
        <x:v>pp. 51, 57, 76–77</x:v>
      </x:c>
      <x:c r="L109" s="336" t="str">
        <x:v>https://www.sec.gov/Archives/edgar/data/59478/000005947826000013/lly-20251231.htm</x:v>
      </x:c>
    </x:row>
    <x:row r="110" ht="72" customHeight="1">
      <x:c r="A110" s="234" t="str">
        <x:v>Competing cash uses</x:v>
      </x:c>
      <x:c r="B110" s="245" t="str">
        <x:v>10-Q filed Aug 5, 2026</x:v>
      </x:c>
      <x:c r="C110" s="245" t="str">
        <x:v>0000059478-26-000081</x:v>
      </x:c>
      <x:c r="D110" s="305" t="str">
        <x:v>pp. 7–8, 12–14, 17, 23, 31</x:v>
      </x:c>
      <x:c r="L110" s="336" t="str">
        <x:v>https://www.sec.gov/Archives/edgar/data/59478/000005947826000081/lly-20260630.htm</x:v>
      </x:c>
    </x:row>
    <x:row r="111" ht="72" customHeight="1">
      <x:c r="A111" s="234" t="str">
        <x:v>Competing cash uses</x:v>
      </x:c>
      <x:c r="B111" s="245" t="str">
        <x:v>Earnings exhibit filed Aug 5, 2026</x:v>
      </x:c>
      <x:c r="C111" s="245" t="str">
        <x:v>0000059478-26-000077</x:v>
      </x:c>
      <x:c r="D111" s="305" t="str">
        <x:v>Other announcements</x:v>
      </x:c>
      <x:c r="L111" s="336" t="str">
        <x:v>https://www.sec.gov/Archives/edgar/data/59478/000005947826000077/q226lillysalesandearningsp.htm</x:v>
      </x:c>
    </x:row>
    <x:row r="112" ht="72" customHeight="1">
      <x:c r="A112" s="234" t="str">
        <x:v>Decisive unknowns</x:v>
      </x:c>
      <x:c r="B112" s="245" t="str">
        <x:v>10-Q filed Aug 5, 2026</x:v>
      </x:c>
      <x:c r="C112" s="245" t="str">
        <x:v>0000059478-26-000081</x:v>
      </x:c>
      <x:c r="D112" s="305" t="str">
        <x:v>pp. 7–8, 12–14, 17, 23, 31</x:v>
      </x:c>
      <x:c r="L112" s="336" t="str">
        <x:v>https://www.sec.gov/Archives/edgar/data/59478/000005947826000081/lly-20260630.htm</x:v>
      </x:c>
    </x:row>
    <x:row r="113" ht="72" customHeight="1">
      <x:c r="A113" s="234" t="str">
        <x:v>Decisive unknowns</x:v>
      </x:c>
      <x:c r="B113" s="245" t="str">
        <x:v>10-K filed Feb 12, 2026</x:v>
      </x:c>
      <x:c r="C113" s="245" t="str">
        <x:v>0000059478-26-000013</x:v>
      </x:c>
      <x:c r="D113" s="305" t="str">
        <x:v>pp. 51, 57, 76–77</x:v>
      </x:c>
      <x:c r="L113" s="336" t="str">
        <x:v>https://www.sec.gov/Archives/edgar/data/59478/000005947826000013/lly-20251231.htm</x:v>
      </x:c>
    </x:row>
    <x:row r="114" ht="72" customHeight="1">
      <x:c r="A114" s="234" t="str">
        <x:v>Decisive unknowns</x:v>
      </x:c>
      <x:c r="B114" s="245" t="str">
        <x:v>Earnings exhibit filed Aug 5, 2026</x:v>
      </x:c>
      <x:c r="C114" s="245" t="str">
        <x:v>0000059478-26-000077</x:v>
      </x:c>
      <x:c r="D114" s="305" t="str">
        <x:v>Other announcements</x:v>
      </x:c>
      <x:c r="L114" s="336" t="str">
        <x:v>https://www.sec.gov/Archives/edgar/data/59478/000005947826000077/q226lillysalesandearningsp.htm</x:v>
      </x:c>
    </x:row>
    <x:row r="115" ht="72" customHeight="1">
      <x:c r="A115" s="234" t="str">
        <x:v>Historical coverage</x:v>
      </x:c>
      <x:c r="B115" s="245" t="str">
        <x:v>10-Q filed Aug 5, 2026</x:v>
      </x:c>
      <x:c r="C115" s="245" t="str">
        <x:v>0000059478-26-000081</x:v>
      </x:c>
      <x:c r="D115" s="305" t="str">
        <x:v>Operations p. 5; segment Note 11 p. 23</x:v>
      </x:c>
      <x:c r="L115" s="336" t="str">
        <x:v>https://www.sec.gov/Archives/edgar/data/59478/000005947826000081/lly-20260630.htm</x:v>
      </x:c>
    </x:row>
    <x:row r="116" ht="72" customHeight="1">
      <x:c r="A116" s="235" t="str">
        <x:v>Historical coverage</x:v>
      </x:c>
      <x:c r="B116" s="263" t="str">
        <x:v>10-K filed Feb 12, 2026</x:v>
      </x:c>
      <x:c r="C116" s="263" t="str">
        <x:v>0000059478-26-000013</x:v>
      </x:c>
      <x:c r="D116" s="314" t="str">
        <x:v>Operations p. 57; Borrowings Note 11 p. 77</x:v>
      </x:c>
      <x:c r="L116" s="337" t="str">
        <x:v>https://www.sec.gov/Archives/edgar/data/59478/000005947826000013/lly-20251231.htm</x:v>
      </x:c>
    </x:row>
    <x:row r="119" ht="78" customHeight="1">
      <x:c r="A119" s="226" t="str">
        <x:v>Input</x:v>
      </x:c>
      <x:c r="B119" s="242" t="str">
        <x:v>USD millions</x:v>
      </x:c>
      <x:c r="C119" s="242" t="str">
        <x:v>Period start</x:v>
      </x:c>
      <x:c r="D119" s="242" t="str">
        <x:v>Period end</x:v>
      </x:c>
      <x:c r="E119" s="242" t="str">
        <x:v>Form</x:v>
      </x:c>
      <x:c r="F119" s="242" t="str">
        <x:v>Filed</x:v>
      </x:c>
      <x:c r="G119" s="242" t="str">
        <x:v>Accession</x:v>
      </x:c>
      <x:c r="H119" s="242" t="str">
        <x:v>Tag</x:v>
      </x:c>
      <x:c r="I119" s="242" t="str">
        <x:v>Context</x:v>
      </x:c>
      <x:c r="J119" s="242" t="str">
        <x:v>Scale</x:v>
      </x:c>
      <x:c r="K119" s="242" t="str">
        <x:v>Decimals</x:v>
      </x:c>
      <x:c r="L119" s="242" t="str">
        <x:v>Source</x:v>
      </x:c>
      <x:c r="M119" s="242" t="str">
        <x:v>Filing location</x:v>
      </x:c>
      <x:c r="N119" s="242" t="str">
        <x:v>Selection / Unavailable reason</x:v>
      </x:c>
      <x:c r="O119" s="277" t="str">
        <x:v>Reviewed source SHA256</x:v>
      </x:c>
    </x:row>
    <x:row r="120" ht="78" customHeight="1">
      <x:c r="A120" s="234" t="str">
        <x:v>Current borrowing</x:v>
      </x:c>
      <x:c r="B120" s="321" t="n">
        <x:v>7050000000</x:v>
      </x:c>
      <x:c r="C120" s="312"/>
      <x:c r="D120" s="244" t="d">
        <x:v>2026-06-30T00:00:00.000Z</x:v>
      </x:c>
      <x:c r="E120" s="245" t="str">
        <x:v>10-Q</x:v>
      </x:c>
      <x:c r="F120" s="244" t="d">
        <x:v>2026-08-05T00:00:00.000Z</x:v>
      </x:c>
      <x:c r="G120" s="245" t="str">
        <x:v>0000059478-26-000081</x:v>
      </x:c>
      <x:c r="H120" s="245" t="str">
        <x:v>us-gaap:DebtCurrent</x:v>
      </x:c>
      <x:c r="I120" s="312"/>
      <x:c r="J120" s="312"/>
      <x:c r="K120" s="312"/>
      <x:c r="L120" s="245" t="str">
        <x:v>https://www.sec.gov/Archives/edgar/data/59478/000005947826000081/lly-20260630.htm</x:v>
      </x:c>
      <x:c r="M120" s="245" t="str">
        <x:v>10-Q balance sheet, p. 7</x:v>
      </x:c>
      <x:c r="N120" s="245" t="str">
        <x:v>USD instant at the balance-sheet date, from the latest original 10-K or 10-Q itself</x:v>
      </x:c>
      <x:c r="O120" s="313" t="str"/>
    </x:row>
    <x:row r="121" ht="78" customHeight="1">
      <x:c r="A121" s="234" t="str">
        <x:v>Noncurrent borrowing</x:v>
      </x:c>
      <x:c r="B121" s="321" t="n">
        <x:v>47858000000</x:v>
      </x:c>
      <x:c r="C121" s="312"/>
      <x:c r="D121" s="244" t="d">
        <x:v>2026-06-30T00:00:00.000Z</x:v>
      </x:c>
      <x:c r="E121" s="245" t="str">
        <x:v>10-Q</x:v>
      </x:c>
      <x:c r="F121" s="244" t="d">
        <x:v>2026-08-05T00:00:00.000Z</x:v>
      </x:c>
      <x:c r="G121" s="245" t="str">
        <x:v>0000059478-26-000081</x:v>
      </x:c>
      <x:c r="H121" s="245" t="str">
        <x:v>us-gaap:LongTermDebtNoncurrent</x:v>
      </x:c>
      <x:c r="I121" s="312"/>
      <x:c r="J121" s="312"/>
      <x:c r="K121" s="312"/>
      <x:c r="L121" s="245" t="str">
        <x:v>https://www.sec.gov/Archives/edgar/data/59478/000005947826000081/lly-20260630.htm</x:v>
      </x:c>
      <x:c r="M121" s="245" t="str">
        <x:v>10-Q balance sheet, p. 7</x:v>
      </x:c>
      <x:c r="N121" s="245" t="str">
        <x:v>USD instant at the balance-sheet date, from the latest original 10-K or 10-Q itself</x:v>
      </x:c>
      <x:c r="O121" s="313" t="str"/>
    </x:row>
    <x:row r="122" ht="78" customHeight="1">
      <x:c r="A122" s="234" t="str">
        <x:v>Latest-date lease liabilities — Unavailable</x:v>
      </x:c>
      <x:c r="B122" s="338"/>
      <x:c r="C122" s="312"/>
      <x:c r="D122" s="244" t="d">
        <x:v>2026-06-30T00:00:00.000Z</x:v>
      </x:c>
      <x:c r="E122" s="245" t="str">
        <x:v>10-Q</x:v>
      </x:c>
      <x:c r="F122" s="244" t="d">
        <x:v>2026-08-05T00:00:00.000Z</x:v>
      </x:c>
      <x:c r="G122" s="245" t="str">
        <x:v>0000059478-26-000081</x:v>
      </x:c>
      <x:c r="H122" s="312"/>
      <x:c r="I122" s="312"/>
      <x:c r="J122" s="312"/>
      <x:c r="K122" s="312"/>
      <x:c r="L122" s="245" t="str">
        <x:v>https://www.sec.gov/Archives/edgar/data/59478/000005947826000081/lly-20260630.htm</x:v>
      </x:c>
      <x:c r="M122" s="245" t="str">
        <x:v>10-Q balance sheet, p. 7</x:v>
      </x:c>
      <x:c r="N122" s="245" t="str">
        <x:v>USD instant at the balance-sheet date, from the latest original 10-K or 10-Q itself Latest-date lease liabilities Unavailable; no checked amount in the 10-Q.</x:v>
      </x:c>
      <x:c r="O122" s="313" t="str"/>
    </x:row>
    <x:row r="123" ht="78" customHeight="1">
      <x:c r="A123" s="234" t="str">
        <x:v>Operating lease liabilities — current</x:v>
      </x:c>
      <x:c r="B123" s="321" t="n">
        <x:v>222000000</x:v>
      </x:c>
      <x:c r="C123" s="312"/>
      <x:c r="D123" s="244" t="d">
        <x:v>2025-12-31T00:00:00.000Z</x:v>
      </x:c>
      <x:c r="E123" s="245" t="str">
        <x:v>10-K</x:v>
      </x:c>
      <x:c r="F123" s="244" t="d">
        <x:v>2026-02-12T00:00:00.000Z</x:v>
      </x:c>
      <x:c r="G123" s="245" t="str">
        <x:v>0000059478-26-000013</x:v>
      </x:c>
      <x:c r="H123" s="245" t="str">
        <x:v>us-gaap:OperatingLeaseLiabilityCurrent</x:v>
      </x:c>
      <x:c r="I123" s="245" t="str">
        <x:v>c-16</x:v>
      </x:c>
      <x:c r="J123" s="323" t="n">
        <x:v>6</x:v>
      </x:c>
      <x:c r="K123" s="245" t="str">
        <x:v>-6</x:v>
      </x:c>
      <x:c r="L123" s="245" t="str">
        <x:v>https://www.sec.gov/Archives/edgar/data/59478/000005947826000013/lly-20251231.htm</x:v>
      </x:c>
      <x:c r="M123" s="245" t="str">
        <x:v>10-K Note 10, p. 76</x:v>
      </x:c>
      <x:c r="N123" s="245" t="str">
        <x:v>Exact prefixed tag; exact stated instant; USD; no dimensions; agreeing duplicates.</x:v>
      </x:c>
      <x:c r="O123" s="305" t="str">
        <x:v>d45f8d1e0945df0b7b30254e96ff8c5dbd1df7d15b17c8ef7399c8e0206b7d7f</x:v>
      </x:c>
    </x:row>
    <x:row r="124" ht="78" customHeight="1">
      <x:c r="A124" s="234" t="str">
        <x:v>Operating lease liabilities — noncurrent</x:v>
      </x:c>
      <x:c r="B124" s="321" t="n">
        <x:v>1140000000</x:v>
      </x:c>
      <x:c r="C124" s="312"/>
      <x:c r="D124" s="244" t="d">
        <x:v>2025-12-31T00:00:00.000Z</x:v>
      </x:c>
      <x:c r="E124" s="245" t="str">
        <x:v>10-K</x:v>
      </x:c>
      <x:c r="F124" s="244" t="d">
        <x:v>2026-02-12T00:00:00.000Z</x:v>
      </x:c>
      <x:c r="G124" s="245" t="str">
        <x:v>0000059478-26-000013</x:v>
      </x:c>
      <x:c r="H124" s="245" t="str">
        <x:v>us-gaap:OperatingLeaseLiabilityNoncurrent</x:v>
      </x:c>
      <x:c r="I124" s="245" t="str">
        <x:v>c-16</x:v>
      </x:c>
      <x:c r="J124" s="323" t="n">
        <x:v>6</x:v>
      </x:c>
      <x:c r="K124" s="245" t="str">
        <x:v>-6</x:v>
      </x:c>
      <x:c r="L124" s="245" t="str">
        <x:v>https://www.sec.gov/Archives/edgar/data/59478/000005947826000013/lly-20251231.htm</x:v>
      </x:c>
      <x:c r="M124" s="245" t="str">
        <x:v>10-K Note 10, p. 76</x:v>
      </x:c>
      <x:c r="N124" s="245" t="str">
        <x:v>Exact prefixed tag; exact stated instant; USD; no dimensions; agreeing duplicates.</x:v>
      </x:c>
      <x:c r="O124" s="305" t="str">
        <x:v>d45f8d1e0945df0b7b30254e96ff8c5dbd1df7d15b17c8ef7399c8e0206b7d7f</x:v>
      </x:c>
    </x:row>
    <x:row r="125" ht="78" customHeight="1">
      <x:c r="A125" s="234" t="str">
        <x:v>Finance lease liabilities — requested date, Unavailable</x:v>
      </x:c>
      <x:c r="B125" s="338"/>
      <x:c r="C125" s="312"/>
      <x:c r="D125" s="244" t="d">
        <x:v>2026-06-30T00:00:00.000Z</x:v>
      </x:c>
      <x:c r="E125" s="245" t="str">
        <x:v>10-Q</x:v>
      </x:c>
      <x:c r="F125" s="244" t="d">
        <x:v>2026-08-05T00:00:00.000Z</x:v>
      </x:c>
      <x:c r="G125" s="245" t="str">
        <x:v>0000059478-26-000081</x:v>
      </x:c>
      <x:c r="H125" s="312"/>
      <x:c r="I125" s="312"/>
      <x:c r="J125" s="312"/>
      <x:c r="K125" s="312"/>
      <x:c r="L125" s="245" t="str">
        <x:v>https://www.sec.gov/Archives/edgar/data/59478/000005947826000081/lly-20260630.htm</x:v>
      </x:c>
      <x:c r="M125" s="245" t="str">
        <x:v>10-Q review; June amount not established</x:v>
      </x:c>
      <x:c r="N125" s="245" t="str">
        <x:v> No checked June amount. The 10-K describes operating leases only; finance leases are not reported, which is not zero.</x:v>
      </x:c>
      <x:c r="O125" s="313" t="str"/>
    </x:row>
    <x:row r="126" ht="78" customHeight="1">
      <x:c r="A126" s="235" t="str">
        <x:v>Leases not yet commenced — Unavailable</x:v>
      </x:c>
      <x:c r="B126" s="339"/>
      <x:c r="C126" s="318"/>
      <x:c r="D126" s="262" t="d">
        <x:v>2026-06-30T00:00:00.000Z</x:v>
      </x:c>
      <x:c r="E126" s="263" t="str">
        <x:v>10-Q</x:v>
      </x:c>
      <x:c r="F126" s="262" t="d">
        <x:v>2026-08-05T00:00:00.000Z</x:v>
      </x:c>
      <x:c r="G126" s="263" t="str">
        <x:v>0000059478-26-000081</x:v>
      </x:c>
      <x:c r="H126" s="318"/>
      <x:c r="I126" s="318"/>
      <x:c r="J126" s="318"/>
      <x:c r="K126" s="318"/>
      <x:c r="L126" s="263" t="str">
        <x:v>https://www.sec.gov/Archives/edgar/data/59478/000005947826000081/lly-20260630.htm</x:v>
      </x:c>
      <x:c r="M126" s="263" t="str">
        <x:v>Saved pilot evidence; 10-Q review</x:v>
      </x:c>
      <x:c r="N126" s="263" t="str">
        <x:v> No checked amount for leases not yet commenced is established in the saved pilot evidence. Unavailable does not mean zero.</x:v>
      </x:c>
      <x:c r="O126" s="326" t="str"/>
    </x:row>
    <x:row r="129" ht="70" customHeight="1">
      <x:c r="A129" s="226" t="str">
        <x:v>Input</x:v>
      </x:c>
      <x:c r="B129" s="242" t="str">
        <x:v>USD millions</x:v>
      </x:c>
      <x:c r="C129" s="242" t="str">
        <x:v>Period start</x:v>
      </x:c>
      <x:c r="D129" s="242" t="str">
        <x:v>Period end</x:v>
      </x:c>
      <x:c r="E129" s="242" t="str">
        <x:v>Form</x:v>
      </x:c>
      <x:c r="F129" s="242" t="str">
        <x:v>Filed</x:v>
      </x:c>
      <x:c r="G129" s="242" t="str">
        <x:v>Accession</x:v>
      </x:c>
      <x:c r="H129" s="242" t="str">
        <x:v>Tag</x:v>
      </x:c>
      <x:c r="I129" s="242" t="str">
        <x:v>Context</x:v>
      </x:c>
      <x:c r="J129" s="242" t="str">
        <x:v>Scale</x:v>
      </x:c>
      <x:c r="K129" s="242" t="str">
        <x:v>Decimals</x:v>
      </x:c>
      <x:c r="L129" s="242" t="str">
        <x:v>Source</x:v>
      </x:c>
      <x:c r="M129" s="242" t="str">
        <x:v>Selection rule</x:v>
      </x:c>
      <x:c r="N129" s="242" t="str">
        <x:v>Unavailable reason</x:v>
      </x:c>
      <x:c r="O129" s="277" t="str">
        <x:v>Notes</x:v>
      </x:c>
    </x:row>
    <x:row r="130" ht="70" customHeight="1">
      <x:c r="A130" s="234" t="str">
        <x:v>Cash and cash equivalents</x:v>
      </x:c>
      <x:c r="B130" s="321" t="n">
        <x:v>7268000000</x:v>
      </x:c>
      <x:c r="C130" s="322"/>
      <x:c r="D130" s="244" t="d">
        <x:v>2025-12-31T00:00:00.000Z</x:v>
      </x:c>
      <x:c r="E130" s="245" t="str">
        <x:v>10-K</x:v>
      </x:c>
      <x:c r="F130" s="244" t="d">
        <x:v>2026-02-12T00:00:00.000Z</x:v>
      </x:c>
      <x:c r="G130" s="245" t="str">
        <x:v>0000059478-26-000013</x:v>
      </x:c>
      <x:c r="H130" s="245" t="str">
        <x:v>us-gaap:CashAndCashEquivalentsAtCarryingValue</x:v>
      </x:c>
      <x:c r="I130" s="245" t="str">
        <x:v>c-16</x:v>
      </x:c>
      <x:c r="J130" s="323" t="n">
        <x:v>6</x:v>
      </x:c>
      <x:c r="K130" s="245" t="str">
        <x:v>-6</x:v>
      </x:c>
      <x:c r="L130" s="245" t="str">
        <x:v>https://www.sec.gov/Archives/edgar/data/59478/000005947826000013/lly-20251231.htm</x:v>
      </x:c>
      <x:c r="M130" s="589" t="str">
        <x:v>10-K balance sheet p. 59; cash flows p. 61</x:v>
      </x:c>
      <x:c r="N130" s="312" t="str"/>
      <x:c r="O130" s="305" t="str">
        <x:v>d45f8d1e0945df0b7b30254e96ff8c5dbd1df7d15b17c8ef7399c8e0206b7d7f</x:v>
      </x:c>
    </x:row>
    <x:row r="131" ht="70" customHeight="1">
      <x:c r="A131" s="234" t="str">
        <x:v>Current assets</x:v>
      </x:c>
      <x:c r="B131" s="321" t="n">
        <x:v>55629000000</x:v>
      </x:c>
      <x:c r="C131" s="322"/>
      <x:c r="D131" s="244" t="d">
        <x:v>2025-12-31T00:00:00.000Z</x:v>
      </x:c>
      <x:c r="E131" s="245" t="str">
        <x:v>10-K</x:v>
      </x:c>
      <x:c r="F131" s="244" t="d">
        <x:v>2026-02-12T00:00:00.000Z</x:v>
      </x:c>
      <x:c r="G131" s="245" t="str">
        <x:v>0000059478-26-000013</x:v>
      </x:c>
      <x:c r="H131" s="245" t="str">
        <x:v>us-gaap:AssetsCurrent</x:v>
      </x:c>
      <x:c r="I131" s="245" t="str">
        <x:v>c-16</x:v>
      </x:c>
      <x:c r="J131" s="323" t="n">
        <x:v>6</x:v>
      </x:c>
      <x:c r="K131" s="245" t="str">
        <x:v>-6</x:v>
      </x:c>
      <x:c r="L131" s="245" t="str">
        <x:v>https://www.sec.gov/Archives/edgar/data/59478/000005947826000013/lly-20251231.htm</x:v>
      </x:c>
      <x:c r="M131" s="589" t="str">
        <x:v>10-K balance sheet p. 59; cash flows p. 61</x:v>
      </x:c>
      <x:c r="N131" s="312" t="str"/>
      <x:c r="O131" s="305" t="str">
        <x:v>d45f8d1e0945df0b7b30254e96ff8c5dbd1df7d15b17c8ef7399c8e0206b7d7f</x:v>
      </x:c>
    </x:row>
    <x:row r="132" ht="70" customHeight="1">
      <x:c r="A132" s="234" t="str">
        <x:v>Current liabilities</x:v>
      </x:c>
      <x:c r="B132" s="321" t="n">
        <x:v>35228000000</x:v>
      </x:c>
      <x:c r="C132" s="322"/>
      <x:c r="D132" s="244" t="d">
        <x:v>2025-12-31T00:00:00.000Z</x:v>
      </x:c>
      <x:c r="E132" s="245" t="str">
        <x:v>10-K</x:v>
      </x:c>
      <x:c r="F132" s="244" t="d">
        <x:v>2026-02-12T00:00:00.000Z</x:v>
      </x:c>
      <x:c r="G132" s="245" t="str">
        <x:v>0000059478-26-000013</x:v>
      </x:c>
      <x:c r="H132" s="245" t="str">
        <x:v>us-gaap:LiabilitiesCurrent</x:v>
      </x:c>
      <x:c r="I132" s="245" t="str">
        <x:v>c-16</x:v>
      </x:c>
      <x:c r="J132" s="323" t="n">
        <x:v>6</x:v>
      </x:c>
      <x:c r="K132" s="245" t="str">
        <x:v>-6</x:v>
      </x:c>
      <x:c r="L132" s="245" t="str">
        <x:v>https://www.sec.gov/Archives/edgar/data/59478/000005947826000013/lly-20251231.htm</x:v>
      </x:c>
      <x:c r="M132" s="589" t="str">
        <x:v>10-K balance sheet p. 59; cash flows p. 61</x:v>
      </x:c>
      <x:c r="N132" s="312" t="str"/>
      <x:c r="O132" s="305" t="str">
        <x:v>d45f8d1e0945df0b7b30254e96ff8c5dbd1df7d15b17c8ef7399c8e0206b7d7f</x:v>
      </x:c>
    </x:row>
    <x:row r="133" ht="70" customHeight="1">
      <x:c r="A133" s="234" t="str">
        <x:v>Short-term borrowings and current maturities of long-term debt</x:v>
      </x:c>
      <x:c r="B133" s="321" t="n">
        <x:v>1635000000</x:v>
      </x:c>
      <x:c r="C133" s="322"/>
      <x:c r="D133" s="244" t="d">
        <x:v>2025-12-31T00:00:00.000Z</x:v>
      </x:c>
      <x:c r="E133" s="245" t="str">
        <x:v>10-K</x:v>
      </x:c>
      <x:c r="F133" s="244" t="d">
        <x:v>2026-02-12T00:00:00.000Z</x:v>
      </x:c>
      <x:c r="G133" s="245" t="str">
        <x:v>0000059478-26-000013</x:v>
      </x:c>
      <x:c r="H133" s="245" t="str">
        <x:v>us-gaap:DebtCurrent</x:v>
      </x:c>
      <x:c r="I133" s="245" t="str">
        <x:v>c-16</x:v>
      </x:c>
      <x:c r="J133" s="323" t="n">
        <x:v>6</x:v>
      </x:c>
      <x:c r="K133" s="245" t="str">
        <x:v>-6</x:v>
      </x:c>
      <x:c r="L133" s="245" t="str">
        <x:v>https://www.sec.gov/Archives/edgar/data/59478/000005947826000013/lly-20251231.htm</x:v>
      </x:c>
      <x:c r="M133" s="589" t="str">
        <x:v>10-K balance sheet p. 59; cash flows p. 61</x:v>
      </x:c>
      <x:c r="N133" s="312" t="str"/>
      <x:c r="O133" s="305" t="str">
        <x:v>d45f8d1e0945df0b7b30254e96ff8c5dbd1df7d15b17c8ef7399c8e0206b7d7f</x:v>
      </x:c>
    </x:row>
    <x:row r="134" ht="70" customHeight="1">
      <x:c r="A134" s="234" t="str">
        <x:v>Long-term debt</x:v>
      </x:c>
      <x:c r="B134" s="321" t="n">
        <x:v>40868000000</x:v>
      </x:c>
      <x:c r="C134" s="322"/>
      <x:c r="D134" s="244" t="d">
        <x:v>2025-12-31T00:00:00.000Z</x:v>
      </x:c>
      <x:c r="E134" s="245" t="str">
        <x:v>10-K</x:v>
      </x:c>
      <x:c r="F134" s="244" t="d">
        <x:v>2026-02-12T00:00:00.000Z</x:v>
      </x:c>
      <x:c r="G134" s="245" t="str">
        <x:v>0000059478-26-000013</x:v>
      </x:c>
      <x:c r="H134" s="245" t="str">
        <x:v>us-gaap:LongTermDebtNoncurrent</x:v>
      </x:c>
      <x:c r="I134" s="245" t="str">
        <x:v>c-16</x:v>
      </x:c>
      <x:c r="J134" s="323" t="n">
        <x:v>6</x:v>
      </x:c>
      <x:c r="K134" s="245" t="str">
        <x:v>-6</x:v>
      </x:c>
      <x:c r="L134" s="245" t="str">
        <x:v>https://www.sec.gov/Archives/edgar/data/59478/000005947826000013/lly-20251231.htm</x:v>
      </x:c>
      <x:c r="M134" s="589" t="str">
        <x:v>10-K balance sheet p. 59; cash flows p. 61</x:v>
      </x:c>
      <x:c r="N134" s="312" t="str"/>
      <x:c r="O134" s="305" t="str">
        <x:v>d45f8d1e0945df0b7b30254e96ff8c5dbd1df7d15b17c8ef7399c8e0206b7d7f</x:v>
      </x:c>
    </x:row>
    <x:row r="135" ht="70" customHeight="1">
      <x:c r="A135" s="234" t="str">
        <x:v>Operating cash flow · fiscal year</x:v>
      </x:c>
      <x:c r="B135" s="321" t="n">
        <x:v>16813000000</x:v>
      </x:c>
      <x:c r="C135" s="244" t="d">
        <x:v>2025-01-01T00:00:00.000Z</x:v>
      </x:c>
      <x:c r="D135" s="244" t="d">
        <x:v>2025-12-31T00:00:00.000Z</x:v>
      </x:c>
      <x:c r="E135" s="245" t="str">
        <x:v>10-K</x:v>
      </x:c>
      <x:c r="F135" s="244" t="d">
        <x:v>2026-02-12T00:00:00.000Z</x:v>
      </x:c>
      <x:c r="G135" s="245" t="str">
        <x:v>0000059478-26-000013</x:v>
      </x:c>
      <x:c r="H135" s="245" t="str">
        <x:v>us-gaap:NetCashProvidedByUsedInOperatingActivities</x:v>
      </x:c>
      <x:c r="I135" s="245" t="str">
        <x:v>c-1</x:v>
      </x:c>
      <x:c r="J135" s="323" t="n">
        <x:v>6</x:v>
      </x:c>
      <x:c r="K135" s="245" t="str">
        <x:v>-6</x:v>
      </x:c>
      <x:c r="L135" s="245" t="str">
        <x:v>https://www.sec.gov/Archives/edgar/data/59478/000005947826000013/lly-20251231.htm</x:v>
      </x:c>
      <x:c r="M135" s="245" t="str">
        <x:v>Annual cash-flow statement</x:v>
      </x:c>
      <x:c r="N135" s="312" t="str"/>
      <x:c r="O135" s="313" t="str"/>
    </x:row>
    <x:row r="136" ht="70" customHeight="1">
      <x:c r="A136" s="235" t="str">
        <x:v>Purchases of property and equipment · fiscal year</x:v>
      </x:c>
      <x:c r="B136" s="324" t="n">
        <x:v>7841000000</x:v>
      </x:c>
      <x:c r="C136" s="262" t="d">
        <x:v>2025-01-01T00:00:00.000Z</x:v>
      </x:c>
      <x:c r="D136" s="262" t="d">
        <x:v>2025-12-31T00:00:00.000Z</x:v>
      </x:c>
      <x:c r="E136" s="263" t="str">
        <x:v>10-K</x:v>
      </x:c>
      <x:c r="F136" s="262" t="d">
        <x:v>2026-02-12T00:00:00.000Z</x:v>
      </x:c>
      <x:c r="G136" s="263" t="str">
        <x:v>0000059478-26-000013</x:v>
      </x:c>
      <x:c r="H136" s="263" t="str">
        <x:v>us-gaap:PaymentsToAcquireOtherPropertyPlantAndEquipment</x:v>
      </x:c>
      <x:c r="I136" s="263" t="str">
        <x:v>c-1</x:v>
      </x:c>
      <x:c r="J136" s="325" t="n">
        <x:v>6</x:v>
      </x:c>
      <x:c r="K136" s="263" t="str">
        <x:v>-6</x:v>
      </x:c>
      <x:c r="L136" s="263" t="str">
        <x:v>https://www.sec.gov/Archives/edgar/data/59478/000005947826000013/lly-20251231.htm</x:v>
      </x:c>
      <x:c r="M136" s="263" t="str">
        <x:v>Annual cash-flow statement</x:v>
      </x:c>
      <x:c r="N136" s="318" t="str"/>
      <x:c r="O136" s="326" t="str"/>
    </x:row>
    <x:row r="139" ht="72" customHeight="1">
      <x:c r="A139" s="1454" t="str">
        <x:v>Input</x:v>
      </x:c>
      <x:c r="B139" s="1455" t="str">
        <x:v>USD millions</x:v>
      </x:c>
      <x:c r="C139" s="1455" t="str">
        <x:v>Period start</x:v>
      </x:c>
      <x:c r="D139" s="1455" t="str">
        <x:v>Period end</x:v>
      </x:c>
      <x:c r="E139" s="1455" t="str">
        <x:v>Form</x:v>
      </x:c>
      <x:c r="F139" s="1455" t="str">
        <x:v>Filed</x:v>
      </x:c>
      <x:c r="G139" s="1455" t="str">
        <x:v>Accession</x:v>
      </x:c>
      <x:c r="H139" s="1455" t="str">
        <x:v>Tag</x:v>
      </x:c>
      <x:c r="I139" s="1455" t="str">
        <x:v>Context</x:v>
      </x:c>
      <x:c r="J139" s="1455" t="str">
        <x:v>Scale</x:v>
      </x:c>
      <x:c r="K139" s="1455" t="str">
        <x:v>Decimals</x:v>
      </x:c>
      <x:c r="L139" s="1455" t="str">
        <x:v>Source</x:v>
      </x:c>
      <x:c r="M139" s="1455" t="str">
        <x:v>Filing location</x:v>
      </x:c>
      <x:c r="N139" s="1455" t="str">
        <x:v>Selection rule</x:v>
      </x:c>
      <x:c r="O139" s="1456" t="str">
        <x:v>Reviewed source SHA256</x:v>
      </x:c>
    </x:row>
    <x:row r="140" ht="72" customHeight="1">
      <x:c r="A140" s="749" t="str">
        <x:v>LLY FY2021 cash: us-gaap:CashAndCashEquivalentsAtCarryingValue</x:v>
      </x:c>
      <x:c r="B140" s="1457" t="n">
        <x:v>3818500000</x:v>
      </x:c>
      <x:c r="C140" s="1458"/>
      <x:c r="D140" s="1458" t="d">
        <x:v>2021-12-31T00:00:00.000Z</x:v>
      </x:c>
      <x:c r="E140" s="831" t="str">
        <x:v>10-K</x:v>
      </x:c>
      <x:c r="F140" s="1458" t="d">
        <x:v>2022-02-23T00:00:00.000Z</x:v>
      </x:c>
      <x:c r="G140" s="831" t="str">
        <x:v>0000059478-22-000068</x:v>
      </x:c>
      <x:c r="H140" s="831" t="str">
        <x:v>us-gaap:CashAndCashEquivalentsAtCarryingValue</x:v>
      </x:c>
      <x:c r="I140" s="831" t="str">
        <x:v>ie685003a00ac4b9e88ea5a5aad91acf6_I20211231</x:v>
      </x:c>
      <x:c r="J140" s="831" t="n">
        <x:v>6</x:v>
      </x:c>
      <x:c r="K140" s="831" t="str">
        <x:v>-5</x:v>
      </x:c>
      <x:c r="L140" s="831" t="str">
        <x:v>https://www.sec.gov/Archives/edgar/data/59478/000005947822000068/lly-20211231.htm</x:v>
      </x:c>
      <x:c r="M140" s="831" t="str">
        <x:v>Printed p. 57; Cash and cash equivalents (Note 7) $ 3,818.5 $ 3,657.1</x:v>
      </x:c>
      <x:c r="N140" s="831" t="str">
        <x:v>Exact prefixed tag; exact period; USD; no dimensions; checked source version.</x:v>
      </x:c>
      <x:c r="O140" s="740" t="str">
        <x:v>3b55fc2a0c0aff2551f8f8f10f42b91d99691169cfe6f73eab2f4ff6109f40b8</x:v>
      </x:c>
    </x:row>
    <x:row r="141" ht="72" customHeight="1">
      <x:c r="A141" s="749" t="str">
        <x:v>LLY FY2021 gross_debt: us-gaap:DebtCurrent</x:v>
      </x:c>
      <x:c r="B141" s="1457" t="n">
        <x:v>1538300000</x:v>
      </x:c>
      <x:c r="C141" s="1458"/>
      <x:c r="D141" s="1458" t="d">
        <x:v>2021-12-31T00:00:00.000Z</x:v>
      </x:c>
      <x:c r="E141" s="831" t="str">
        <x:v>10-K</x:v>
      </x:c>
      <x:c r="F141" s="1458" t="d">
        <x:v>2022-02-23T00:00:00.000Z</x:v>
      </x:c>
      <x:c r="G141" s="831" t="str">
        <x:v>0000059478-22-000068</x:v>
      </x:c>
      <x:c r="H141" s="831" t="str">
        <x:v>us-gaap:DebtCurrent</x:v>
      </x:c>
      <x:c r="I141" s="831" t="str">
        <x:v>ie685003a00ac4b9e88ea5a5aad91acf6_I20211231</x:v>
      </x:c>
      <x:c r="J141" s="831" t="n">
        <x:v>6</x:v>
      </x:c>
      <x:c r="K141" s="831" t="str">
        <x:v>-5</x:v>
      </x:c>
      <x:c r="L141" s="831" t="str">
        <x:v>https://www.sec.gov/Archives/edgar/data/59478/000005947822000068/lly-20211231.htm</x:v>
      </x:c>
      <x:c r="M141" s="831" t="str">
        <x:v>Printed p. 57; Short-term borrowings and current maturities of long-term debt (Note 11) $ 1,538.3 $ 8.7</x:v>
      </x:c>
      <x:c r="N141" s="831" t="str">
        <x:v>Exact prefixed tag; exact period; USD; no dimensions; checked source version.</x:v>
      </x:c>
      <x:c r="O141" s="740" t="str">
        <x:v>3b55fc2a0c0aff2551f8f8f10f42b91d99691169cfe6f73eab2f4ff6109f40b8</x:v>
      </x:c>
    </x:row>
    <x:row r="142" ht="72" customHeight="1">
      <x:c r="A142" s="749" t="str">
        <x:v>LLY FY2021 gross_debt: us-gaap:LongTermDebtNoncurrent</x:v>
      </x:c>
      <x:c r="B142" s="1457" t="n">
        <x:v>15346400000</x:v>
      </x:c>
      <x:c r="C142" s="1458"/>
      <x:c r="D142" s="1458" t="d">
        <x:v>2021-12-31T00:00:00.000Z</x:v>
      </x:c>
      <x:c r="E142" s="831" t="str">
        <x:v>10-K</x:v>
      </x:c>
      <x:c r="F142" s="1458" t="d">
        <x:v>2022-02-23T00:00:00.000Z</x:v>
      </x:c>
      <x:c r="G142" s="831" t="str">
        <x:v>0000059478-22-000068</x:v>
      </x:c>
      <x:c r="H142" s="831" t="str">
        <x:v>us-gaap:LongTermDebtNoncurrent</x:v>
      </x:c>
      <x:c r="I142" s="831" t="str">
        <x:v>ie685003a00ac4b9e88ea5a5aad91acf6_I20211231</x:v>
      </x:c>
      <x:c r="J142" s="831" t="n">
        <x:v>6</x:v>
      </x:c>
      <x:c r="K142" s="831" t="str">
        <x:v>-5</x:v>
      </x:c>
      <x:c r="L142" s="831" t="str">
        <x:v>https://www.sec.gov/Archives/edgar/data/59478/000005947822000068/lly-20211231.htm</x:v>
      </x:c>
      <x:c r="M142" s="831" t="str">
        <x:v>Printed p. 57; Long-term debt (Note 11) 15,346.4 16,586.6</x:v>
      </x:c>
      <x:c r="N142" s="831" t="str">
        <x:v>Exact prefixed tag; exact period; USD; no dimensions; checked source version.</x:v>
      </x:c>
      <x:c r="O142" s="740" t="str">
        <x:v>3b55fc2a0c0aff2551f8f8f10f42b91d99691169cfe6f73eab2f4ff6109f40b8</x:v>
      </x:c>
    </x:row>
    <x:row r="143" ht="72" customHeight="1">
      <x:c r="A143" s="749" t="str">
        <x:v>LLY FY2021 operating_cash_flow: us-gaap:NetCashProvidedByUsedInOperatingActivities</x:v>
      </x:c>
      <x:c r="B143" s="1457" t="n">
        <x:v>7365900000</x:v>
      </x:c>
      <x:c r="C143" s="1458" t="d">
        <x:v>2021-01-01T00:00:00.000Z</x:v>
      </x:c>
      <x:c r="D143" s="1458" t="d">
        <x:v>2021-12-31T00:00:00.000Z</x:v>
      </x:c>
      <x:c r="E143" s="831" t="str">
        <x:v>10-K</x:v>
      </x:c>
      <x:c r="F143" s="1458" t="d">
        <x:v>2024-02-21T00:00:00.000Z</x:v>
      </x:c>
      <x:c r="G143" s="831" t="str">
        <x:v>0000059478-24-000065</x:v>
      </x:c>
      <x:c r="H143" s="831" t="str">
        <x:v>us-gaap:NetCashProvidedByUsedInOperatingActivities</x:v>
      </x:c>
      <x:c r="I143" s="831" t="str">
        <x:v>c-16</x:v>
      </x:c>
      <x:c r="J143" s="831" t="n">
        <x:v>6</x:v>
      </x:c>
      <x:c r="K143" s="831" t="str">
        <x:v>-5</x:v>
      </x:c>
      <x:c r="L143" s="831" t="str">
        <x:v>https://www.sec.gov/Archives/edgar/data/59478/000005947824000065/lly-20231231.htm</x:v>
      </x:c>
      <x:c r="M143" s="831" t="str">
        <x:v>Printed p. 61; Net Cash Provided by Operating Activities 4,240.1 7,585.7 7,365.9</x:v>
      </x:c>
      <x:c r="N143" s="831" t="str">
        <x:v>Exact prefixed tag; exact period; USD; no dimensions; checked source version.</x:v>
      </x:c>
      <x:c r="O143" s="740" t="str">
        <x:v>b5fc840de60a167982197080635c29e32d2dbbcec8084d5be97e833fac19bf5c</x:v>
      </x:c>
    </x:row>
    <x:row r="144" ht="72" customHeight="1">
      <x:c r="A144" s="749" t="str">
        <x:v>LLY FY2021 capital_spending: us-gaap:PaymentsToAcquireOtherPropertyPlantAndEquipment</x:v>
      </x:c>
      <x:c r="B144" s="1457" t="n">
        <x:v>1309800000</x:v>
      </x:c>
      <x:c r="C144" s="1458" t="d">
        <x:v>2021-01-01T00:00:00.000Z</x:v>
      </x:c>
      <x:c r="D144" s="1458" t="d">
        <x:v>2021-12-31T00:00:00.000Z</x:v>
      </x:c>
      <x:c r="E144" s="831" t="str">
        <x:v>10-K</x:v>
      </x:c>
      <x:c r="F144" s="1458" t="d">
        <x:v>2024-02-21T00:00:00.000Z</x:v>
      </x:c>
      <x:c r="G144" s="831" t="str">
        <x:v>0000059478-24-000065</x:v>
      </x:c>
      <x:c r="H144" s="831" t="str">
        <x:v>us-gaap:PaymentsToAcquireOtherPropertyPlantAndEquipment</x:v>
      </x:c>
      <x:c r="I144" s="831" t="str">
        <x:v>c-16</x:v>
      </x:c>
      <x:c r="J144" s="831" t="n">
        <x:v>6</x:v>
      </x:c>
      <x:c r="K144" s="831" t="str">
        <x:v>-5</x:v>
      </x:c>
      <x:c r="L144" s="831" t="str">
        <x:v>https://www.sec.gov/Archives/edgar/data/59478/000005947824000065/lly-20231231.htm</x:v>
      </x:c>
      <x:c r="M144" s="831" t="str">
        <x:v>Printed p. 61; Purchases of property and equipment ( 3,447.6 ) ( 1,854.3 ) ( 1,309.8 )</x:v>
      </x:c>
      <x:c r="N144" s="831" t="str">
        <x:v>Exact prefixed tag; exact period; USD; no dimensions; checked source version.</x:v>
      </x:c>
      <x:c r="O144" s="740" t="str">
        <x:v>b5fc840de60a167982197080635c29e32d2dbbcec8084d5be97e833fac19bf5c</x:v>
      </x:c>
    </x:row>
    <x:row r="145" ht="72" customHeight="1">
      <x:c r="A145" s="749" t="str">
        <x:v>LLY FY2022 cash: us-gaap:CashAndCashEquivalentsAtCarryingValue</x:v>
      </x:c>
      <x:c r="B145" s="1457" t="n">
        <x:v>2067000000</x:v>
      </x:c>
      <x:c r="C145" s="1458"/>
      <x:c r="D145" s="1458" t="d">
        <x:v>2022-12-31T00:00:00.000Z</x:v>
      </x:c>
      <x:c r="E145" s="831" t="str">
        <x:v>10-K</x:v>
      </x:c>
      <x:c r="F145" s="1458" t="d">
        <x:v>2023-02-22T00:00:00.000Z</x:v>
      </x:c>
      <x:c r="G145" s="831" t="str">
        <x:v>0000059478-23-000082</x:v>
      </x:c>
      <x:c r="H145" s="831" t="str">
        <x:v>us-gaap:CashAndCashEquivalentsAtCarryingValue</x:v>
      </x:c>
      <x:c r="I145" s="831" t="str">
        <x:v>ife049f03c96e47288db50605b1356b32_I20221231</x:v>
      </x:c>
      <x:c r="J145" s="831" t="n">
        <x:v>6</x:v>
      </x:c>
      <x:c r="K145" s="831" t="str">
        <x:v>-5</x:v>
      </x:c>
      <x:c r="L145" s="831" t="str">
        <x:v>https://www.sec.gov/Archives/edgar/data/59478/000005947823000082/lly-20221231.htm</x:v>
      </x:c>
      <x:c r="M145" s="831" t="str">
        <x:v>Printed p. 58; Cash and cash equivalents (Note 7) $ 2,067.0 $ 3,818.5</x:v>
      </x:c>
      <x:c r="N145" s="831" t="str">
        <x:v>Exact prefixed tag; exact period; USD; no dimensions; checked source version.</x:v>
      </x:c>
      <x:c r="O145" s="740" t="str">
        <x:v>4cbed10c0c2bdcb9828495fbb64e9a93fed07b57c0a2ccd72c6e320d6fb763a2</x:v>
      </x:c>
    </x:row>
    <x:row r="146" ht="72" customHeight="1">
      <x:c r="A146" s="749" t="str">
        <x:v>LLY FY2022 gross_debt: us-gaap:DebtCurrent</x:v>
      </x:c>
      <x:c r="B146" s="1457" t="n">
        <x:v>1501100000</x:v>
      </x:c>
      <x:c r="C146" s="1458"/>
      <x:c r="D146" s="1458" t="d">
        <x:v>2022-12-31T00:00:00.000Z</x:v>
      </x:c>
      <x:c r="E146" s="831" t="str">
        <x:v>10-K</x:v>
      </x:c>
      <x:c r="F146" s="1458" t="d">
        <x:v>2023-02-22T00:00:00.000Z</x:v>
      </x:c>
      <x:c r="G146" s="831" t="str">
        <x:v>0000059478-23-000082</x:v>
      </x:c>
      <x:c r="H146" s="831" t="str">
        <x:v>us-gaap:DebtCurrent</x:v>
      </x:c>
      <x:c r="I146" s="831" t="str">
        <x:v>ife049f03c96e47288db50605b1356b32_I20221231</x:v>
      </x:c>
      <x:c r="J146" s="831" t="n">
        <x:v>6</x:v>
      </x:c>
      <x:c r="K146" s="831" t="str">
        <x:v>-5</x:v>
      </x:c>
      <x:c r="L146" s="831" t="str">
        <x:v>https://www.sec.gov/Archives/edgar/data/59478/000005947823000082/lly-20221231.htm</x:v>
      </x:c>
      <x:c r="M146" s="831" t="str">
        <x:v>Printed p. 58; Short-term borrowings and current maturities of long-term debt (Note 11) $ 1,501.1 $ 1,538.3</x:v>
      </x:c>
      <x:c r="N146" s="831" t="str">
        <x:v>Exact prefixed tag; exact period; USD; no dimensions; checked source version.</x:v>
      </x:c>
      <x:c r="O146" s="740" t="str">
        <x:v>4cbed10c0c2bdcb9828495fbb64e9a93fed07b57c0a2ccd72c6e320d6fb763a2</x:v>
      </x:c>
    </x:row>
    <x:row r="147" ht="72" customHeight="1">
      <x:c r="A147" s="749" t="str">
        <x:v>LLY FY2022 gross_debt: us-gaap:LongTermDebtNoncurrent</x:v>
      </x:c>
      <x:c r="B147" s="1457" t="n">
        <x:v>14737500000</x:v>
      </x:c>
      <x:c r="C147" s="1458"/>
      <x:c r="D147" s="1458" t="d">
        <x:v>2022-12-31T00:00:00.000Z</x:v>
      </x:c>
      <x:c r="E147" s="831" t="str">
        <x:v>10-K</x:v>
      </x:c>
      <x:c r="F147" s="1458" t="d">
        <x:v>2023-02-22T00:00:00.000Z</x:v>
      </x:c>
      <x:c r="G147" s="831" t="str">
        <x:v>0000059478-23-000082</x:v>
      </x:c>
      <x:c r="H147" s="831" t="str">
        <x:v>us-gaap:LongTermDebtNoncurrent</x:v>
      </x:c>
      <x:c r="I147" s="831" t="str">
        <x:v>ife049f03c96e47288db50605b1356b32_I20221231</x:v>
      </x:c>
      <x:c r="J147" s="831" t="n">
        <x:v>6</x:v>
      </x:c>
      <x:c r="K147" s="831" t="str">
        <x:v>-5</x:v>
      </x:c>
      <x:c r="L147" s="831" t="str">
        <x:v>https://www.sec.gov/Archives/edgar/data/59478/000005947823000082/lly-20221231.htm</x:v>
      </x:c>
      <x:c r="M147" s="831" t="str">
        <x:v>Printed p. 58; Long-term debt (Note 11) 14,737.5 15,346.4</x:v>
      </x:c>
      <x:c r="N147" s="831" t="str">
        <x:v>Exact prefixed tag; exact period; USD; no dimensions; checked source version.</x:v>
      </x:c>
      <x:c r="O147" s="740" t="str">
        <x:v>4cbed10c0c2bdcb9828495fbb64e9a93fed07b57c0a2ccd72c6e320d6fb763a2</x:v>
      </x:c>
    </x:row>
    <x:row r="148" ht="72" customHeight="1">
      <x:c r="A148" s="749" t="str">
        <x:v>LLY FY2022 operating_cash_flow: us-gaap:NetCashProvidedByUsedInOperatingActivities</x:v>
      </x:c>
      <x:c r="B148" s="1457" t="n">
        <x:v>7585700000</x:v>
      </x:c>
      <x:c r="C148" s="1458" t="d">
        <x:v>2022-01-01T00:00:00.000Z</x:v>
      </x:c>
      <x:c r="D148" s="1458" t="d">
        <x:v>2022-12-31T00:00:00.000Z</x:v>
      </x:c>
      <x:c r="E148" s="831" t="str">
        <x:v>10-K</x:v>
      </x:c>
      <x:c r="F148" s="1458" t="d">
        <x:v>2024-02-21T00:00:00.000Z</x:v>
      </x:c>
      <x:c r="G148" s="831" t="str">
        <x:v>0000059478-24-000065</x:v>
      </x:c>
      <x:c r="H148" s="831" t="str">
        <x:v>us-gaap:NetCashProvidedByUsedInOperatingActivities</x:v>
      </x:c>
      <x:c r="I148" s="831" t="str">
        <x:v>c-15</x:v>
      </x:c>
      <x:c r="J148" s="831" t="n">
        <x:v>6</x:v>
      </x:c>
      <x:c r="K148" s="831" t="str">
        <x:v>-5</x:v>
      </x:c>
      <x:c r="L148" s="831" t="str">
        <x:v>https://www.sec.gov/Archives/edgar/data/59478/000005947824000065/lly-20231231.htm</x:v>
      </x:c>
      <x:c r="M148" s="831" t="str">
        <x:v>Printed p. 61; Net Cash Provided by Operating Activities 4,240.1 7,585.7 7,365.9</x:v>
      </x:c>
      <x:c r="N148" s="831" t="str">
        <x:v>Exact prefixed tag; exact period; USD; no dimensions; checked source version.</x:v>
      </x:c>
      <x:c r="O148" s="740" t="str">
        <x:v>b5fc840de60a167982197080635c29e32d2dbbcec8084d5be97e833fac19bf5c</x:v>
      </x:c>
    </x:row>
    <x:row r="149" ht="72" customHeight="1">
      <x:c r="A149" s="749" t="str">
        <x:v>LLY FY2022 capital_spending: us-gaap:PaymentsToAcquireOtherPropertyPlantAndEquipment</x:v>
      </x:c>
      <x:c r="B149" s="1457" t="n">
        <x:v>1854300000</x:v>
      </x:c>
      <x:c r="C149" s="1458" t="d">
        <x:v>2022-01-01T00:00:00.000Z</x:v>
      </x:c>
      <x:c r="D149" s="1458" t="d">
        <x:v>2022-12-31T00:00:00.000Z</x:v>
      </x:c>
      <x:c r="E149" s="831" t="str">
        <x:v>10-K</x:v>
      </x:c>
      <x:c r="F149" s="1458" t="d">
        <x:v>2024-02-21T00:00:00.000Z</x:v>
      </x:c>
      <x:c r="G149" s="831" t="str">
        <x:v>0000059478-24-000065</x:v>
      </x:c>
      <x:c r="H149" s="831" t="str">
        <x:v>us-gaap:PaymentsToAcquireOtherPropertyPlantAndEquipment</x:v>
      </x:c>
      <x:c r="I149" s="831" t="str">
        <x:v>c-15</x:v>
      </x:c>
      <x:c r="J149" s="831" t="n">
        <x:v>6</x:v>
      </x:c>
      <x:c r="K149" s="831" t="str">
        <x:v>-5</x:v>
      </x:c>
      <x:c r="L149" s="831" t="str">
        <x:v>https://www.sec.gov/Archives/edgar/data/59478/000005947824000065/lly-20231231.htm</x:v>
      </x:c>
      <x:c r="M149" s="831" t="str">
        <x:v>Printed p. 61; Purchases of property and equipment ( 3,447.6 ) ( 1,854.3 ) ( 1,309.8 )</x:v>
      </x:c>
      <x:c r="N149" s="831" t="str">
        <x:v>Exact prefixed tag; exact period; USD; no dimensions; checked source version.</x:v>
      </x:c>
      <x:c r="O149" s="740" t="str">
        <x:v>b5fc840de60a167982197080635c29e32d2dbbcec8084d5be97e833fac19bf5c</x:v>
      </x:c>
    </x:row>
    <x:row r="150" ht="72" customHeight="1">
      <x:c r="A150" s="749" t="str">
        <x:v>LLY FY2023 cash: us-gaap:CashAndCashEquivalentsAtCarryingValue</x:v>
      </x:c>
      <x:c r="B150" s="1457" t="n">
        <x:v>2818600000</x:v>
      </x:c>
      <x:c r="C150" s="1458"/>
      <x:c r="D150" s="1458" t="d">
        <x:v>2023-12-31T00:00:00.000Z</x:v>
      </x:c>
      <x:c r="E150" s="831" t="str">
        <x:v>10-K</x:v>
      </x:c>
      <x:c r="F150" s="1458" t="d">
        <x:v>2024-02-21T00:00:00.000Z</x:v>
      </x:c>
      <x:c r="G150" s="831" t="str">
        <x:v>0000059478-24-000065</x:v>
      </x:c>
      <x:c r="H150" s="831" t="str">
        <x:v>us-gaap:CashAndCashEquivalentsAtCarryingValue</x:v>
      </x:c>
      <x:c r="I150" s="831" t="str">
        <x:v>c-17</x:v>
      </x:c>
      <x:c r="J150" s="831" t="n">
        <x:v>6</x:v>
      </x:c>
      <x:c r="K150" s="831" t="str">
        <x:v>-5</x:v>
      </x:c>
      <x:c r="L150" s="831" t="str">
        <x:v>https://www.sec.gov/Archives/edgar/data/59478/000005947824000065/lly-20231231.htm</x:v>
      </x:c>
      <x:c r="M150" s="831" t="str">
        <x:v>Printed p. 59; Cash and cash equivalents (Note 7) $ 2,818.6 $ 2,067.0</x:v>
      </x:c>
      <x:c r="N150" s="831" t="str">
        <x:v>Exact prefixed tag; exact period; USD; no dimensions; checked source version.</x:v>
      </x:c>
      <x:c r="O150" s="740" t="str">
        <x:v>b5fc840de60a167982197080635c29e32d2dbbcec8084d5be97e833fac19bf5c</x:v>
      </x:c>
    </x:row>
    <x:row r="151" ht="72" customHeight="1">
      <x:c r="A151" s="749" t="str">
        <x:v>LLY FY2023 gross_debt: us-gaap:DebtCurrent</x:v>
      </x:c>
      <x:c r="B151" s="1457" t="n">
        <x:v>6904500000</x:v>
      </x:c>
      <x:c r="C151" s="1458"/>
      <x:c r="D151" s="1458" t="d">
        <x:v>2023-12-31T00:00:00.000Z</x:v>
      </x:c>
      <x:c r="E151" s="831" t="str">
        <x:v>10-K</x:v>
      </x:c>
      <x:c r="F151" s="1458" t="d">
        <x:v>2024-02-21T00:00:00.000Z</x:v>
      </x:c>
      <x:c r="G151" s="831" t="str">
        <x:v>0000059478-24-000065</x:v>
      </x:c>
      <x:c r="H151" s="831" t="str">
        <x:v>us-gaap:DebtCurrent</x:v>
      </x:c>
      <x:c r="I151" s="831" t="str">
        <x:v>c-17</x:v>
      </x:c>
      <x:c r="J151" s="831" t="n">
        <x:v>6</x:v>
      </x:c>
      <x:c r="K151" s="831" t="str">
        <x:v>-5</x:v>
      </x:c>
      <x:c r="L151" s="831" t="str">
        <x:v>https://www.sec.gov/Archives/edgar/data/59478/000005947824000065/lly-20231231.htm</x:v>
      </x:c>
      <x:c r="M151" s="831" t="str">
        <x:v>Printed p. 59; Short-term borrowings and current maturities of long-term debt (Note 11) $ 6,904.5 $ 1,501.1</x:v>
      </x:c>
      <x:c r="N151" s="831" t="str">
        <x:v>Exact prefixed tag; exact period; USD; no dimensions; checked source version.</x:v>
      </x:c>
      <x:c r="O151" s="740" t="str">
        <x:v>b5fc840de60a167982197080635c29e32d2dbbcec8084d5be97e833fac19bf5c</x:v>
      </x:c>
    </x:row>
    <x:row r="152" ht="72" customHeight="1">
      <x:c r="A152" s="749" t="str">
        <x:v>LLY FY2023 gross_debt: us-gaap:LongTermDebtNoncurrent</x:v>
      </x:c>
      <x:c r="B152" s="1457" t="n">
        <x:v>18320800000</x:v>
      </x:c>
      <x:c r="C152" s="1458"/>
      <x:c r="D152" s="1458" t="d">
        <x:v>2023-12-31T00:00:00.000Z</x:v>
      </x:c>
      <x:c r="E152" s="831" t="str">
        <x:v>10-K</x:v>
      </x:c>
      <x:c r="F152" s="1458" t="d">
        <x:v>2024-02-21T00:00:00.000Z</x:v>
      </x:c>
      <x:c r="G152" s="831" t="str">
        <x:v>0000059478-24-000065</x:v>
      </x:c>
      <x:c r="H152" s="831" t="str">
        <x:v>us-gaap:LongTermDebtNoncurrent</x:v>
      </x:c>
      <x:c r="I152" s="831" t="str">
        <x:v>c-17</x:v>
      </x:c>
      <x:c r="J152" s="831" t="n">
        <x:v>6</x:v>
      </x:c>
      <x:c r="K152" s="831" t="str">
        <x:v>-5</x:v>
      </x:c>
      <x:c r="L152" s="831" t="str">
        <x:v>https://www.sec.gov/Archives/edgar/data/59478/000005947824000065/lly-20231231.htm</x:v>
      </x:c>
      <x:c r="M152" s="831" t="str">
        <x:v>Printed p. 59; Long-term debt (Note 11) 18,320.8 14,737.5</x:v>
      </x:c>
      <x:c r="N152" s="831" t="str">
        <x:v>Exact prefixed tag; exact period; USD; no dimensions; checked source version.</x:v>
      </x:c>
      <x:c r="O152" s="740" t="str">
        <x:v>b5fc840de60a167982197080635c29e32d2dbbcec8084d5be97e833fac19bf5c</x:v>
      </x:c>
    </x:row>
    <x:row r="153" ht="72" customHeight="1">
      <x:c r="A153" s="749" t="str">
        <x:v>LLY FY2023 operating_cash_flow: us-gaap:NetCashProvidedByUsedInOperatingActivities</x:v>
      </x:c>
      <x:c r="B153" s="1457" t="n">
        <x:v>4240100000</x:v>
      </x:c>
      <x:c r="C153" s="1458" t="d">
        <x:v>2023-01-01T00:00:00.000Z</x:v>
      </x:c>
      <x:c r="D153" s="1458" t="d">
        <x:v>2023-12-31T00:00:00.000Z</x:v>
      </x:c>
      <x:c r="E153" s="831" t="str">
        <x:v>10-K</x:v>
      </x:c>
      <x:c r="F153" s="1458" t="d">
        <x:v>2024-02-21T00:00:00.000Z</x:v>
      </x:c>
      <x:c r="G153" s="831" t="str">
        <x:v>0000059478-24-000065</x:v>
      </x:c>
      <x:c r="H153" s="831" t="str">
        <x:v>us-gaap:NetCashProvidedByUsedInOperatingActivities</x:v>
      </x:c>
      <x:c r="I153" s="831" t="str">
        <x:v>c-1</x:v>
      </x:c>
      <x:c r="J153" s="831" t="n">
        <x:v>6</x:v>
      </x:c>
      <x:c r="K153" s="831" t="str">
        <x:v>-5</x:v>
      </x:c>
      <x:c r="L153" s="831" t="str">
        <x:v>https://www.sec.gov/Archives/edgar/data/59478/000005947824000065/lly-20231231.htm</x:v>
      </x:c>
      <x:c r="M153" s="831" t="str">
        <x:v>Printed p. 61; Net Cash Provided by Operating Activities 4,240.1 7,585.7 7,365.9</x:v>
      </x:c>
      <x:c r="N153" s="831" t="str">
        <x:v>Exact prefixed tag; exact period; USD; no dimensions; checked source version.</x:v>
      </x:c>
      <x:c r="O153" s="740" t="str">
        <x:v>b5fc840de60a167982197080635c29e32d2dbbcec8084d5be97e833fac19bf5c</x:v>
      </x:c>
    </x:row>
    <x:row r="154" ht="72" customHeight="1">
      <x:c r="A154" s="749" t="str">
        <x:v>LLY FY2023 capital_spending: us-gaap:PaymentsToAcquireOtherPropertyPlantAndEquipment</x:v>
      </x:c>
      <x:c r="B154" s="1457" t="n">
        <x:v>3447600000</x:v>
      </x:c>
      <x:c r="C154" s="1458" t="d">
        <x:v>2023-01-01T00:00:00.000Z</x:v>
      </x:c>
      <x:c r="D154" s="1458" t="d">
        <x:v>2023-12-31T00:00:00.000Z</x:v>
      </x:c>
      <x:c r="E154" s="831" t="str">
        <x:v>10-K</x:v>
      </x:c>
      <x:c r="F154" s="1458" t="d">
        <x:v>2024-02-21T00:00:00.000Z</x:v>
      </x:c>
      <x:c r="G154" s="831" t="str">
        <x:v>0000059478-24-000065</x:v>
      </x:c>
      <x:c r="H154" s="831" t="str">
        <x:v>us-gaap:PaymentsToAcquireOtherPropertyPlantAndEquipment</x:v>
      </x:c>
      <x:c r="I154" s="831" t="str">
        <x:v>c-1</x:v>
      </x:c>
      <x:c r="J154" s="831" t="n">
        <x:v>6</x:v>
      </x:c>
      <x:c r="K154" s="831" t="str">
        <x:v>-5</x:v>
      </x:c>
      <x:c r="L154" s="831" t="str">
        <x:v>https://www.sec.gov/Archives/edgar/data/59478/000005947824000065/lly-20231231.htm</x:v>
      </x:c>
      <x:c r="M154" s="831" t="str">
        <x:v>Printed p. 61; Purchases of property and equipment ( 3,447.6 ) ( 1,854.3 ) ( 1,309.8 )</x:v>
      </x:c>
      <x:c r="N154" s="831" t="str">
        <x:v>Exact prefixed tag; exact period; USD; no dimensions; checked source version.</x:v>
      </x:c>
      <x:c r="O154" s="740" t="str">
        <x:v>b5fc840de60a167982197080635c29e32d2dbbcec8084d5be97e833fac19bf5c</x:v>
      </x:c>
    </x:row>
    <x:row r="155" ht="72" customHeight="1">
      <x:c r="A155" s="749" t="str">
        <x:v>LLY FY2024 cash: us-gaap:CashAndCashEquivalentsAtCarryingValue</x:v>
      </x:c>
      <x:c r="B155" s="1457" t="n">
        <x:v>3268400000</x:v>
      </x:c>
      <x:c r="C155" s="1458"/>
      <x:c r="D155" s="1458" t="d">
        <x:v>2024-12-31T00:00:00.000Z</x:v>
      </x:c>
      <x:c r="E155" s="831" t="str">
        <x:v>10-K</x:v>
      </x:c>
      <x:c r="F155" s="1458" t="d">
        <x:v>2025-02-19T00:00:00.000Z</x:v>
      </x:c>
      <x:c r="G155" s="831" t="str">
        <x:v>0000059478-25-000067</x:v>
      </x:c>
      <x:c r="H155" s="831" t="str">
        <x:v>us-gaap:CashAndCashEquivalentsAtCarryingValue</x:v>
      </x:c>
      <x:c r="I155" s="831" t="str">
        <x:v>c-17</x:v>
      </x:c>
      <x:c r="J155" s="831" t="n">
        <x:v>6</x:v>
      </x:c>
      <x:c r="K155" s="831" t="str">
        <x:v>-5</x:v>
      </x:c>
      <x:c r="L155" s="831" t="str">
        <x:v>https://www.sec.gov/Archives/edgar/data/59478/000005947825000067/lly-20241231.htm</x:v>
      </x:c>
      <x:c r="M155" s="831" t="str">
        <x:v>Printed p. 60; Cash and cash equivalents (Note 7) $ 3,268.4 $ 2,818.6</x:v>
      </x:c>
      <x:c r="N155" s="831" t="str">
        <x:v>Exact prefixed tag; exact period; USD; no dimensions; checked source version.</x:v>
      </x:c>
      <x:c r="O155" s="740" t="str">
        <x:v>e43c1e343f533f048fe5a0776fd1fa721cc9148206a7457e9d4468618f883fde</x:v>
      </x:c>
    </x:row>
    <x:row r="156" ht="72" customHeight="1">
      <x:c r="A156" s="749" t="str">
        <x:v>LLY FY2024 gross_debt: us-gaap:DebtCurrent</x:v>
      </x:c>
      <x:c r="B156" s="1457" t="n">
        <x:v>5117100000</x:v>
      </x:c>
      <x:c r="C156" s="1458"/>
      <x:c r="D156" s="1458" t="d">
        <x:v>2024-12-31T00:00:00.000Z</x:v>
      </x:c>
      <x:c r="E156" s="831" t="str">
        <x:v>10-K</x:v>
      </x:c>
      <x:c r="F156" s="1458" t="d">
        <x:v>2025-02-19T00:00:00.000Z</x:v>
      </x:c>
      <x:c r="G156" s="831" t="str">
        <x:v>0000059478-25-000067</x:v>
      </x:c>
      <x:c r="H156" s="831" t="str">
        <x:v>us-gaap:DebtCurrent</x:v>
      </x:c>
      <x:c r="I156" s="831" t="str">
        <x:v>c-17</x:v>
      </x:c>
      <x:c r="J156" s="831" t="n">
        <x:v>6</x:v>
      </x:c>
      <x:c r="K156" s="831" t="str">
        <x:v>-5</x:v>
      </x:c>
      <x:c r="L156" s="831" t="str">
        <x:v>https://www.sec.gov/Archives/edgar/data/59478/000005947825000067/lly-20241231.htm</x:v>
      </x:c>
      <x:c r="M156" s="831" t="str">
        <x:v>Printed p. 60; Short-term borrowings and current maturities of long-term debt (Note 11) $ 5,117.1 $ 6,904.5</x:v>
      </x:c>
      <x:c r="N156" s="831" t="str">
        <x:v>Exact prefixed tag; exact period; USD; no dimensions; checked source version.</x:v>
      </x:c>
      <x:c r="O156" s="740" t="str">
        <x:v>e43c1e343f533f048fe5a0776fd1fa721cc9148206a7457e9d4468618f883fde</x:v>
      </x:c>
    </x:row>
    <x:row r="157" ht="72" customHeight="1">
      <x:c r="A157" s="749" t="str">
        <x:v>LLY FY2024 gross_debt: us-gaap:LongTermDebtNoncurrent</x:v>
      </x:c>
      <x:c r="B157" s="1457" t="n">
        <x:v>28527100000</x:v>
      </x:c>
      <x:c r="C157" s="1458"/>
      <x:c r="D157" s="1458" t="d">
        <x:v>2024-12-31T00:00:00.000Z</x:v>
      </x:c>
      <x:c r="E157" s="831" t="str">
        <x:v>10-K</x:v>
      </x:c>
      <x:c r="F157" s="1458" t="d">
        <x:v>2025-02-19T00:00:00.000Z</x:v>
      </x:c>
      <x:c r="G157" s="831" t="str">
        <x:v>0000059478-25-000067</x:v>
      </x:c>
      <x:c r="H157" s="831" t="str">
        <x:v>us-gaap:LongTermDebtNoncurrent</x:v>
      </x:c>
      <x:c r="I157" s="831" t="str">
        <x:v>c-17</x:v>
      </x:c>
      <x:c r="J157" s="831" t="n">
        <x:v>6</x:v>
      </x:c>
      <x:c r="K157" s="831" t="str">
        <x:v>-5</x:v>
      </x:c>
      <x:c r="L157" s="831" t="str">
        <x:v>https://www.sec.gov/Archives/edgar/data/59478/000005947825000067/lly-20241231.htm</x:v>
      </x:c>
      <x:c r="M157" s="831" t="str">
        <x:v>Printed p. 60; Long-term debt (Note 11) 28,527.1 18,320.8</x:v>
      </x:c>
      <x:c r="N157" s="831" t="str">
        <x:v>Exact prefixed tag; exact period; USD; no dimensions; checked source version.</x:v>
      </x:c>
      <x:c r="O157" s="740" t="str">
        <x:v>e43c1e343f533f048fe5a0776fd1fa721cc9148206a7457e9d4468618f883fde</x:v>
      </x:c>
    </x:row>
    <x:row r="158" ht="72" customHeight="1">
      <x:c r="A158" s="749" t="str">
        <x:v>LLY FY2024 operating_cash_flow: us-gaap:NetCashProvidedByUsedInOperatingActivities</x:v>
      </x:c>
      <x:c r="B158" s="1457" t="n">
        <x:v>8817900000</x:v>
      </x:c>
      <x:c r="C158" s="1458" t="d">
        <x:v>2024-01-01T00:00:00.000Z</x:v>
      </x:c>
      <x:c r="D158" s="1458" t="d">
        <x:v>2024-12-31T00:00:00.000Z</x:v>
      </x:c>
      <x:c r="E158" s="831" t="str">
        <x:v>10-K</x:v>
      </x:c>
      <x:c r="F158" s="1458" t="d">
        <x:v>2025-02-19T00:00:00.000Z</x:v>
      </x:c>
      <x:c r="G158" s="831" t="str">
        <x:v>0000059478-25-000067</x:v>
      </x:c>
      <x:c r="H158" s="831" t="str">
        <x:v>us-gaap:NetCashProvidedByUsedInOperatingActivities</x:v>
      </x:c>
      <x:c r="I158" s="831" t="str">
        <x:v>c-1</x:v>
      </x:c>
      <x:c r="J158" s="831" t="n">
        <x:v>6</x:v>
      </x:c>
      <x:c r="K158" s="831" t="str">
        <x:v>-5</x:v>
      </x:c>
      <x:c r="L158" s="831" t="str">
        <x:v>https://www.sec.gov/Archives/edgar/data/59478/000005947825000067/lly-20241231.htm</x:v>
      </x:c>
      <x:c r="M158" s="831" t="str">
        <x:v>Printed p. 62; Net Cash Provided by Operating Activities 8,817.9 4,240.1 7,585.7</x:v>
      </x:c>
      <x:c r="N158" s="831" t="str">
        <x:v>Exact prefixed tag; exact period; USD; no dimensions; checked source version.</x:v>
      </x:c>
      <x:c r="O158" s="740" t="str">
        <x:v>e43c1e343f533f048fe5a0776fd1fa721cc9148206a7457e9d4468618f883fde</x:v>
      </x:c>
    </x:row>
    <x:row r="159" ht="72" customHeight="1">
      <x:c r="A159" s="749" t="str">
        <x:v>LLY FY2024 capital_spending: us-gaap:PaymentsToAcquireOtherPropertyPlantAndEquipment</x:v>
      </x:c>
      <x:c r="B159" s="1457" t="n">
        <x:v>5057800000</x:v>
      </x:c>
      <x:c r="C159" s="1458" t="d">
        <x:v>2024-01-01T00:00:00.000Z</x:v>
      </x:c>
      <x:c r="D159" s="1458" t="d">
        <x:v>2024-12-31T00:00:00.000Z</x:v>
      </x:c>
      <x:c r="E159" s="831" t="str">
        <x:v>10-K</x:v>
      </x:c>
      <x:c r="F159" s="1458" t="d">
        <x:v>2025-02-19T00:00:00.000Z</x:v>
      </x:c>
      <x:c r="G159" s="831" t="str">
        <x:v>0000059478-25-000067</x:v>
      </x:c>
      <x:c r="H159" s="831" t="str">
        <x:v>us-gaap:PaymentsToAcquireOtherPropertyPlantAndEquipment</x:v>
      </x:c>
      <x:c r="I159" s="831" t="str">
        <x:v>c-1</x:v>
      </x:c>
      <x:c r="J159" s="831" t="n">
        <x:v>6</x:v>
      </x:c>
      <x:c r="K159" s="831" t="str">
        <x:v>-5</x:v>
      </x:c>
      <x:c r="L159" s="831" t="str">
        <x:v>https://www.sec.gov/Archives/edgar/data/59478/000005947825000067/lly-20241231.htm</x:v>
      </x:c>
      <x:c r="M159" s="831" t="str">
        <x:v>Printed p. 62; Purchases of property and equipment ( 5,057.8 ) ( 3,447.6 ) ( 1,854.3 )</x:v>
      </x:c>
      <x:c r="N159" s="831" t="str">
        <x:v>Exact prefixed tag; exact period; USD; no dimensions; checked source version.</x:v>
      </x:c>
      <x:c r="O159" s="740" t="str">
        <x:v>e43c1e343f533f048fe5a0776fd1fa721cc9148206a7457e9d4468618f883fde</x:v>
      </x:c>
    </x:row>
    <x:row r="160" ht="72" customHeight="1">
      <x:c r="A160" s="749" t="str">
        <x:v>LLY FY2025 cash: us-gaap:CashAndCashEquivalentsAtCarryingValue</x:v>
      </x:c>
      <x:c r="B160" s="1457" t="n">
        <x:v>7268000000</x:v>
      </x:c>
      <x:c r="C160" s="1458"/>
      <x:c r="D160" s="1458" t="d">
        <x:v>2025-12-31T00:00:00.000Z</x:v>
      </x:c>
      <x:c r="E160" s="831" t="str">
        <x:v>10-K</x:v>
      </x:c>
      <x:c r="F160" s="1458" t="d">
        <x:v>2026-02-12T00:00:00.000Z</x:v>
      </x:c>
      <x:c r="G160" s="831" t="str">
        <x:v>0000059478-26-000013</x:v>
      </x:c>
      <x:c r="H160" s="831" t="str">
        <x:v>us-gaap:CashAndCashEquivalentsAtCarryingValue</x:v>
      </x:c>
      <x:c r="I160" s="831" t="str">
        <x:v>c-16</x:v>
      </x:c>
      <x:c r="J160" s="831" t="n">
        <x:v>6</x:v>
      </x:c>
      <x:c r="K160" s="831" t="str">
        <x:v>-6</x:v>
      </x:c>
      <x:c r="L160" s="831" t="str">
        <x:v>https://www.sec.gov/Archives/edgar/data/59478/000005947826000013/lly-20251231.htm</x:v>
      </x:c>
      <x:c r="M160" s="831" t="str">
        <x:v>Printed p. 59; Cash and cash equivalents $ 7,268 $ 3,268</x:v>
      </x:c>
      <x:c r="N160" s="831" t="str">
        <x:v>Exact prefixed tag; exact period; USD; no dimensions; checked source version.</x:v>
      </x:c>
      <x:c r="O160" s="740" t="str">
        <x:v>d45f8d1e0945df0b7b30254e96ff8c5dbd1df7d15b17c8ef7399c8e0206b7d7f</x:v>
      </x:c>
    </x:row>
    <x:row r="161" ht="72" customHeight="1">
      <x:c r="A161" s="749" t="str">
        <x:v>LLY FY2025 gross_debt: us-gaap:DebtCurrent</x:v>
      </x:c>
      <x:c r="B161" s="1457" t="n">
        <x:v>1635000000</x:v>
      </x:c>
      <x:c r="C161" s="1458"/>
      <x:c r="D161" s="1458" t="d">
        <x:v>2025-12-31T00:00:00.000Z</x:v>
      </x:c>
      <x:c r="E161" s="831" t="str">
        <x:v>10-K</x:v>
      </x:c>
      <x:c r="F161" s="1458" t="d">
        <x:v>2026-02-12T00:00:00.000Z</x:v>
      </x:c>
      <x:c r="G161" s="831" t="str">
        <x:v>0000059478-26-000013</x:v>
      </x:c>
      <x:c r="H161" s="831" t="str">
        <x:v>us-gaap:DebtCurrent</x:v>
      </x:c>
      <x:c r="I161" s="831" t="str">
        <x:v>c-16</x:v>
      </x:c>
      <x:c r="J161" s="831" t="n">
        <x:v>6</x:v>
      </x:c>
      <x:c r="K161" s="831" t="str">
        <x:v>-6</x:v>
      </x:c>
      <x:c r="L161" s="831" t="str">
        <x:v>https://www.sec.gov/Archives/edgar/data/59478/000005947826000013/lly-20251231.htm</x:v>
      </x:c>
      <x:c r="M161" s="831" t="str">
        <x:v>Printed p. 59; Short-term borrowings and current maturities of long-term debt $ 1,635 $ 5,117</x:v>
      </x:c>
      <x:c r="N161" s="831" t="str">
        <x:v>Exact prefixed tag; exact period; USD; no dimensions; checked source version.</x:v>
      </x:c>
      <x:c r="O161" s="740" t="str">
        <x:v>d45f8d1e0945df0b7b30254e96ff8c5dbd1df7d15b17c8ef7399c8e0206b7d7f</x:v>
      </x:c>
    </x:row>
    <x:row r="162" ht="72" customHeight="1">
      <x:c r="A162" s="749" t="str">
        <x:v>LLY FY2025 gross_debt: us-gaap:LongTermDebtNoncurrent</x:v>
      </x:c>
      <x:c r="B162" s="1457" t="n">
        <x:v>40868000000</x:v>
      </x:c>
      <x:c r="C162" s="1458"/>
      <x:c r="D162" s="1458" t="d">
        <x:v>2025-12-31T00:00:00.000Z</x:v>
      </x:c>
      <x:c r="E162" s="831" t="str">
        <x:v>10-K</x:v>
      </x:c>
      <x:c r="F162" s="1458" t="d">
        <x:v>2026-02-12T00:00:00.000Z</x:v>
      </x:c>
      <x:c r="G162" s="831" t="str">
        <x:v>0000059478-26-000013</x:v>
      </x:c>
      <x:c r="H162" s="831" t="str">
        <x:v>us-gaap:LongTermDebtNoncurrent</x:v>
      </x:c>
      <x:c r="I162" s="831" t="str">
        <x:v>c-16</x:v>
      </x:c>
      <x:c r="J162" s="831" t="n">
        <x:v>6</x:v>
      </x:c>
      <x:c r="K162" s="831" t="str">
        <x:v>-6</x:v>
      </x:c>
      <x:c r="L162" s="831" t="str">
        <x:v>https://www.sec.gov/Archives/edgar/data/59478/000005947826000013/lly-20251231.htm</x:v>
      </x:c>
      <x:c r="M162" s="831" t="str">
        <x:v>Printed p. 59; Long-term debt 40,868 28,527</x:v>
      </x:c>
      <x:c r="N162" s="831" t="str">
        <x:v>Exact prefixed tag; exact period; USD; no dimensions; checked source version.</x:v>
      </x:c>
      <x:c r="O162" s="740" t="str">
        <x:v>d45f8d1e0945df0b7b30254e96ff8c5dbd1df7d15b17c8ef7399c8e0206b7d7f</x:v>
      </x:c>
    </x:row>
    <x:row r="163" ht="72" customHeight="1">
      <x:c r="A163" s="749" t="str">
        <x:v>LLY FY2025 operating_cash_flow: us-gaap:NetCashProvidedByUsedInOperatingActivities</x:v>
      </x:c>
      <x:c r="B163" s="1457" t="n">
        <x:v>16813000000</x:v>
      </x:c>
      <x:c r="C163" s="1458" t="d">
        <x:v>2025-01-01T00:00:00.000Z</x:v>
      </x:c>
      <x:c r="D163" s="1458" t="d">
        <x:v>2025-12-31T00:00:00.000Z</x:v>
      </x:c>
      <x:c r="E163" s="831" t="str">
        <x:v>10-K</x:v>
      </x:c>
      <x:c r="F163" s="1458" t="d">
        <x:v>2026-02-12T00:00:00.000Z</x:v>
      </x:c>
      <x:c r="G163" s="831" t="str">
        <x:v>0000059478-26-000013</x:v>
      </x:c>
      <x:c r="H163" s="831" t="str">
        <x:v>us-gaap:NetCashProvidedByUsedInOperatingActivities</x:v>
      </x:c>
      <x:c r="I163" s="831" t="str">
        <x:v>c-1</x:v>
      </x:c>
      <x:c r="J163" s="831" t="n">
        <x:v>6</x:v>
      </x:c>
      <x:c r="K163" s="831" t="str">
        <x:v>-6</x:v>
      </x:c>
      <x:c r="L163" s="831" t="str">
        <x:v>https://www.sec.gov/Archives/edgar/data/59478/000005947826000013/lly-20251231.htm</x:v>
      </x:c>
      <x:c r="M163" s="831" t="str">
        <x:v>Printed p. 61; Net Cash Provided by Operating Activities 16,813 8,818 4,240</x:v>
      </x:c>
      <x:c r="N163" s="831" t="str">
        <x:v>Exact prefixed tag; exact period; USD; no dimensions; checked source version.</x:v>
      </x:c>
      <x:c r="O163" s="740" t="str">
        <x:v>d45f8d1e0945df0b7b30254e96ff8c5dbd1df7d15b17c8ef7399c8e0206b7d7f</x:v>
      </x:c>
    </x:row>
    <x:row r="164" ht="72" customHeight="1">
      <x:c r="A164" s="750" t="str">
        <x:v>LLY FY2025 capital_spending: us-gaap:PaymentsToAcquireOtherPropertyPlantAndEquipment</x:v>
      </x:c>
      <x:c r="B164" s="1459" t="n">
        <x:v>7841000000</x:v>
      </x:c>
      <x:c r="C164" s="1460" t="d">
        <x:v>2025-01-01T00:00:00.000Z</x:v>
      </x:c>
      <x:c r="D164" s="1460" t="d">
        <x:v>2025-12-31T00:00:00.000Z</x:v>
      </x:c>
      <x:c r="E164" s="833" t="str">
        <x:v>10-K</x:v>
      </x:c>
      <x:c r="F164" s="1460" t="d">
        <x:v>2026-02-12T00:00:00.000Z</x:v>
      </x:c>
      <x:c r="G164" s="833" t="str">
        <x:v>0000059478-26-000013</x:v>
      </x:c>
      <x:c r="H164" s="833" t="str">
        <x:v>us-gaap:PaymentsToAcquireOtherPropertyPlantAndEquipment</x:v>
      </x:c>
      <x:c r="I164" s="833" t="str">
        <x:v>c-1</x:v>
      </x:c>
      <x:c r="J164" s="833" t="n">
        <x:v>6</x:v>
      </x:c>
      <x:c r="K164" s="833" t="str">
        <x:v>-6</x:v>
      </x:c>
      <x:c r="L164" s="833" t="str">
        <x:v>https://www.sec.gov/Archives/edgar/data/59478/000005947826000013/lly-20251231.htm</x:v>
      </x:c>
      <x:c r="M164" s="833" t="str">
        <x:v>Printed p. 61; Purchases of property and equipment ( 7,841 ) ( 5,058 ) ( 3,448 )</x:v>
      </x:c>
      <x:c r="N164" s="833" t="str">
        <x:v>Exact prefixed tag; exact period; USD; no dimensions; checked source version.</x:v>
      </x:c>
      <x:c r="O164" s="742" t="str">
        <x:v>d45f8d1e0945df0b7b30254e96ff8c5dbd1df7d15b17c8ef7399c8e0206b7d7f</x:v>
      </x:c>
    </x:row>
  </x:sheetData>
  <x:hyperlinks>
    <x:hyperlink ref="L2" r:id="rIdSource1"/>
    <x:hyperlink ref="L3" r:id="rIdSource2"/>
    <x:hyperlink ref="L4" r:id="rIdSource3"/>
    <x:hyperlink ref="L5" r:id="rIdSource4"/>
    <x:hyperlink ref="L6" r:id="rIdSource5"/>
    <x:hyperlink ref="L7" r:id="rIdSource6"/>
    <x:hyperlink ref="L8" r:id="rIdSource7"/>
    <x:hyperlink ref="L9" r:id="rIdSource8"/>
    <x:hyperlink ref="L10" r:id="rIdSource9"/>
    <x:hyperlink ref="L11" r:id="rIdSource10"/>
    <x:hyperlink ref="L12" r:id="rIdSource11"/>
    <x:hyperlink ref="G16" r:id="rIdSource12"/>
    <x:hyperlink ref="G17" r:id="rIdSource13"/>
    <x:hyperlink ref="M21" r:id="rIdSource14"/>
    <x:hyperlink ref="M22" r:id="rIdSource15"/>
    <x:hyperlink ref="M23" r:id="rIdSource16"/>
    <x:hyperlink ref="M24" r:id="rIdSource17"/>
    <x:hyperlink ref="M25" r:id="rIdSource18"/>
    <x:hyperlink ref="M26" r:id="rIdSource19"/>
    <x:hyperlink ref="M27" r:id="rIdSource20"/>
    <x:hyperlink ref="M28" r:id="rIdSource21"/>
    <x:hyperlink ref="M29" r:id="rIdSource22"/>
    <x:hyperlink ref="M30" r:id="rIdSource23"/>
    <x:hyperlink ref="M31" r:id="rIdSource24"/>
    <x:hyperlink ref="M32" r:id="rIdSource25"/>
    <x:hyperlink ref="M33" r:id="rIdSource26"/>
    <x:hyperlink ref="M34" r:id="rIdSource27"/>
    <x:hyperlink ref="M35" r:id="rIdSource28"/>
    <x:hyperlink ref="M36" r:id="rIdSource29"/>
    <x:hyperlink ref="M37" r:id="rIdSource30"/>
    <x:hyperlink ref="M38" r:id="rIdSource31"/>
    <x:hyperlink ref="M39" r:id="rIdSource32"/>
    <x:hyperlink ref="M40" r:id="rIdSource33"/>
    <x:hyperlink ref="M41" r:id="rIdSource34"/>
    <x:hyperlink ref="M42" r:id="rIdSource35"/>
    <x:hyperlink ref="M43" r:id="rIdSource36"/>
    <x:hyperlink ref="M44" r:id="rIdSource37"/>
    <x:hyperlink ref="M45" r:id="rIdSource38"/>
    <x:hyperlink ref="M46" r:id="rIdSource39"/>
    <x:hyperlink ref="M47" r:id="rIdSource40"/>
    <x:hyperlink ref="M48" r:id="rIdSource41"/>
    <x:hyperlink ref="M49" r:id="rIdSource42"/>
    <x:hyperlink ref="M50" r:id="rIdSource43"/>
    <x:hyperlink ref="M51" r:id="rIdSource44"/>
    <x:hyperlink ref="M52" r:id="rIdSource45"/>
    <x:hyperlink ref="M53" r:id="rIdSource46"/>
    <x:hyperlink ref="M54" r:id="rIdSource47"/>
    <x:hyperlink ref="M55" r:id="rIdSource48"/>
    <x:hyperlink ref="M56" r:id="rIdSource49"/>
    <x:hyperlink ref="M57" r:id="rIdSource50"/>
    <x:hyperlink ref="M58" r:id="rIdSource51"/>
    <x:hyperlink ref="M59" r:id="rIdSource52"/>
    <x:hyperlink ref="M60" r:id="rIdSource53"/>
    <x:hyperlink ref="M61" r:id="rIdSource54"/>
    <x:hyperlink ref="M62" r:id="rIdSource55"/>
    <x:hyperlink ref="M63" r:id="rIdSource56"/>
    <x:hyperlink ref="M64" r:id="rIdSource57"/>
    <x:hyperlink ref="M65" r:id="rIdSource58"/>
    <x:hyperlink ref="M66" r:id="rIdSource59"/>
    <x:hyperlink ref="M67" r:id="rIdSource60"/>
    <x:hyperlink ref="M68" r:id="rIdSource61"/>
    <x:hyperlink ref="M69" r:id="rIdSource62"/>
    <x:hyperlink ref="M70" r:id="rIdSource63"/>
    <x:hyperlink ref="M71" r:id="rIdSource64"/>
    <x:hyperlink ref="M72" r:id="rIdSource65"/>
    <x:hyperlink ref="M73" r:id="rIdSource66"/>
    <x:hyperlink ref="M74" r:id="rIdSource67"/>
    <x:hyperlink ref="M75" r:id="rIdSource68"/>
    <x:hyperlink ref="M76" r:id="rIdSource69"/>
    <x:hyperlink ref="M77" r:id="rIdSource70"/>
    <x:hyperlink ref="M78" r:id="rIdSource71"/>
    <x:hyperlink ref="M79" r:id="rIdSource72"/>
    <x:hyperlink ref="M80" r:id="rIdSource73"/>
    <x:hyperlink ref="M81" r:id="rIdSource74"/>
    <x:hyperlink ref="M82" r:id="rIdSource75"/>
    <x:hyperlink ref="M83" r:id="rIdSource76"/>
    <x:hyperlink ref="M84" r:id="rIdSource77"/>
    <x:hyperlink ref="M85" r:id="rIdSource78"/>
    <x:hyperlink ref="M86" r:id="rIdSource79"/>
    <x:hyperlink ref="M87" r:id="rIdSource80"/>
    <x:hyperlink ref="M88" r:id="rIdSource81"/>
    <x:hyperlink ref="M89" r:id="rIdSource82"/>
    <x:hyperlink ref="M90" r:id="rIdSource83"/>
    <x:hyperlink ref="M91" r:id="rIdSource84"/>
    <x:hyperlink ref="M92" r:id="rIdSource85"/>
    <x:hyperlink ref="M93" r:id="rIdSource86"/>
    <x:hyperlink ref="M94" r:id="rIdSource87"/>
    <x:hyperlink ref="M95" r:id="rIdSource88"/>
    <x:hyperlink ref="M96" r:id="rIdSource89"/>
    <x:hyperlink ref="M97" r:id="rIdSource90"/>
    <x:hyperlink ref="M98" r:id="rIdSource91"/>
    <x:hyperlink ref="M99" r:id="rIdSource92"/>
    <x:hyperlink ref="M100" r:id="rIdSource93"/>
    <x:hyperlink ref="M101" r:id="rIdSource94"/>
    <x:hyperlink ref="M102" r:id="rIdSource95"/>
    <x:hyperlink ref="M103" r:id="rIdSource96"/>
    <x:hyperlink ref="L107" r:id="rIdSource97"/>
    <x:hyperlink ref="L108" r:id="rIdSource98"/>
    <x:hyperlink ref="L109" r:id="rIdSource99"/>
    <x:hyperlink ref="L110" r:id="rIdSource100"/>
    <x:hyperlink ref="L111" r:id="rIdSource101"/>
    <x:hyperlink ref="L112" r:id="rIdSource102"/>
    <x:hyperlink ref="L113" r:id="rIdSource103"/>
    <x:hyperlink ref="L114" r:id="rIdSource104"/>
    <x:hyperlink ref="L115" r:id="rIdSource105"/>
    <x:hyperlink ref="L116" r:id="rIdSource106"/>
    <x:hyperlink ref="L120" r:id="rIdSource107"/>
    <x:hyperlink ref="L121" r:id="rIdSource108"/>
    <x:hyperlink ref="L122" r:id="rIdSource109"/>
    <x:hyperlink ref="L123" r:id="rIdSource110"/>
    <x:hyperlink ref="L124" r:id="rIdSource111"/>
    <x:hyperlink ref="L125" r:id="rIdSource112"/>
    <x:hyperlink ref="L126" r:id="rIdSource113"/>
    <x:hyperlink ref="L130" r:id="rIdSource114"/>
    <x:hyperlink ref="L131" r:id="rIdSource115"/>
    <x:hyperlink ref="L132" r:id="rIdSource116"/>
    <x:hyperlink ref="L133" r:id="rIdSource117"/>
    <x:hyperlink ref="L134" r:id="rIdSource118"/>
    <x:hyperlink ref="L135" r:id="rIdSource119"/>
    <x:hyperlink ref="L136" r:id="rIdSource120"/>
    <x:hyperlink ref="L140" r:id="rIdAnnualSource121"/>
    <x:hyperlink ref="L141" r:id="rIdAnnualSource122"/>
    <x:hyperlink ref="L142" r:id="rIdAnnualSource123"/>
    <x:hyperlink ref="L143" r:id="rIdAnnualSource124"/>
    <x:hyperlink ref="L144" r:id="rIdAnnualSource125"/>
    <x:hyperlink ref="L145" r:id="rIdAnnualSource126"/>
    <x:hyperlink ref="L146" r:id="rIdAnnualSource127"/>
    <x:hyperlink ref="L147" r:id="rIdAnnualSource128"/>
    <x:hyperlink ref="L148" r:id="rIdAnnualSource129"/>
    <x:hyperlink ref="L149" r:id="rIdAnnualSource130"/>
    <x:hyperlink ref="L150" r:id="rIdAnnualSource131"/>
    <x:hyperlink ref="L151" r:id="rIdAnnualSource132"/>
    <x:hyperlink ref="L152" r:id="rIdAnnualSource133"/>
    <x:hyperlink ref="L153" r:id="rIdAnnualSource134"/>
    <x:hyperlink ref="L154" r:id="rIdAnnualSource135"/>
    <x:hyperlink ref="L155" r:id="rIdAnnualSource136"/>
    <x:hyperlink ref="L156" r:id="rIdAnnualSource137"/>
    <x:hyperlink ref="L157" r:id="rIdAnnualSource138"/>
    <x:hyperlink ref="L158" r:id="rIdAnnualSource139"/>
    <x:hyperlink ref="L159" r:id="rIdAnnualSource140"/>
    <x:hyperlink ref="L160" r:id="rIdAnnualSource141"/>
    <x:hyperlink ref="L161" r:id="rIdAnnualSource142"/>
    <x:hyperlink ref="L162" r:id="rIdAnnualSource143"/>
    <x:hyperlink ref="L163" r:id="rIdAnnualSource144"/>
    <x:hyperlink ref="L164" r:id="rIdAnnualSource145"/>
  </x:hyperlinks>
  <x:pageMargins left="0.7" right="0.7" top="0.75" bottom="0.75" header="0.3" footer="0.3"/>
</x:worksheet>
</file>

<file path=xl/worksheets/sheet8.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8" hidden="0" customWidth="1"/>
    <x:col min="2" max="2" width="100" hidden="0" customWidth="1"/>
    <x:col min="3" max="3" width="75" hidden="0" customWidth="1"/>
  </x:cols>
  <x:sheetData>
    <x:row r="1" ht="30" customHeight="1">
      <x:c r="A1" s="226" t="str">
        <x:v>Topic</x:v>
      </x:c>
      <x:c r="B1" s="242" t="str">
        <x:v>Explanation</x:v>
      </x:c>
      <x:c r="C1" s="227" t="str">
        <x:v>Source</x:v>
      </x:c>
    </x:row>
    <x:row r="2" ht="100" customHeight="1">
      <x:c r="A2" s="234" t="str">
        <x:v>Scope</x:v>
      </x:c>
      <x:c r="B2" s="245" t="str">
        <x:v>Lilly only. Balance-sheet facts checked October 14, 2026; financing and interest reviewed October 15; funding interpretation checked October 16. Financial statements dated June 30. Not investment advice.</x:v>
      </x:c>
      <x:c r="C2" s="229" t="str">
        <x:v>https://www.sec.gov/Archives/edgar/data/59478/000005947826000081/lly-20260630.htm</x:v>
      </x:c>
    </x:row>
    <x:row r="3" ht="70" customHeight="1">
      <x:c r="A3" s="234" t="str">
        <x:v>Colors</x:v>
      </x:c>
      <x:c r="B3" s="245" t="str">
        <x:v>Arial 10. Full USD displayed in millions. Blue reported inputs, green cross-sheet links, black same-sheet calculations. Zero is a dash. Missing inputs are not zero.</x:v>
      </x:c>
      <x:c r="C3" s="340"/>
    </x:row>
    <x:row r="4" ht="70" customHeight="1">
      <x:c r="A4" s="234" t="str">
        <x:v>Cash generation</x:v>
      </x:c>
      <x:c r="B4" s="245" t="str">
        <x:v>Fiscal year + current YTD − prior YTD. Capital spending uses Lilly’s checked other-PP&amp;E tag. FCF excludes acquisitions, dividends and other cash uses.</x:v>
      </x:c>
      <x:c r="C4" s="229" t="str">
        <x:v>https://github.com/jackconnolly1000-ux/sec-filing-research-terminal/blob/main/docs/pilot_cashflow_reconciliation.md</x:v>
      </x:c>
    </x:row>
    <x:row r="5" ht="70" customHeight="1">
      <x:c r="A5" s="234" t="str">
        <x:v>Borrowing</x:v>
      </x:c>
      <x:c r="B5" s="245" t="str">
        <x:v>Balance-sheet current and noncurrent borrowing are added once. Fair-value table carrying amounts are not added again.</x:v>
      </x:c>
      <x:c r="C5" s="229" t="str">
        <x:v>https://github.com/jackconnolly1000-ux/sec-filing-research-terminal/blob/main/docs/pilot_evidence_lly.md</x:v>
      </x:c>
    </x:row>
    <x:row r="6" ht="70" customHeight="1">
      <x:c r="A6" s="235" t="str">
        <x:v>Selected commitments</x:v>
      </x:c>
      <x:c r="B6" s="263" t="str">
        <x:v>Descriptions retain their disclosure dates; AtaiBeckley was disclosed after quarter end. They are not added to debt or to each other.</x:v>
      </x:c>
      <x:c r="C6" s="231" t="str">
        <x:v>https://www.sec.gov/Archives/edgar/data/59478/000005947826000081/lly-20260630.htm</x:v>
      </x:c>
    </x:row>
    <x:row r="7" ht="95" customHeight="1">
      <x:c r="A7" s="234" t="str">
        <x:v>Dated review</x:v>
      </x:c>
      <x:c r="B7" s="245" t="str">
        <x:v>Repayment review uses exact H1 cash flows and historical annual carrying-debt buckets. Future coverage remains Unavailable. Text disclosures are identified separately; source hashes and dimensions are in Data.</x:v>
      </x:c>
      <x:c r="C7" s="229" t="str">
        <x:v>https://github.com/jackconnolly1000-ux/sec-filing-research-terminal/blob/main/docs/lly_liquidity_review.md</x:v>
      </x:c>
    </x:row>
    <x:row r="8" ht="95" customHeight="1">
      <x:c r="A8" s="235" t="str">
        <x:v>Post-quarter events</x:v>
      </x:c>
      <x:c r="B8" s="263" t="str">
        <x:v>July acquisition cash is separate from June cash. The July $3.9B ceiling includes upfront cash. August $4.5B manufacturing announcement has no dated cash schedule. No overlap total inferred.</x:v>
      </x:c>
      <x:c r="C8" s="231" t="str">
        <x:v>https://www.sec.gov/Archives/edgar/data/59478/000005947826000077/q226lillysalesandearningsp.htm</x:v>
      </x:c>
    </x:row>
    <x:row r="9" ht="85" customHeight="1">
      <x:c r="A9" s="234" t="str">
        <x:v>Financing inventory</x:v>
      </x:c>
      <x:c r="B9" s="245" t="str">
        <x:v>SEC index screened through October 15, 2026. May offering terms added as initial principal; full June debt schedule and drawable capacity remain Unavailable.</x:v>
      </x:c>
      <x:c r="C9" s="229" t="str">
        <x:v>https://data.sec.gov/submissions/CIK0000059478.json</x:v>
      </x:c>
    </x:row>
    <x:row r="10" ht="85" customHeight="1">
      <x:c r="A10" s="235" t="str">
        <x:v>Contract evidence</x:v>
      </x:c>
      <x:c r="B10" s="263" t="str">
        <x:v>Series rates and maturities come from the final prospectus and certificates, corroborated by the completed offering. An 8-K coupon conflict is flagged; the corroborated 2029 fixed rate is 4.150%.</x:v>
      </x:c>
      <x:c r="C10" s="231" t="str">
        <x:v>https://github.com/jackconnolly1000-ux/sec-filing-research-terminal/blob/main/docs/lly_financing_audit.md</x:v>
      </x:c>
    </x:row>
    <x:row r="11" ht="100" customHeight="1">
      <x:c r="A11" s="234" t="str">
        <x:v>Historical interest coverage</x:v>
      </x:c>
      <x:c r="B11" s="245" t="str">
        <x:v>Derived TTM operating income / reported interest expense. FY + current H1 − prior H1; each operating-income period reconciles to pretax less tagged nonoperating income (expense).</x:v>
      </x:c>
      <x:c r="C11" s="229" t="str">
        <x:v>https://github.com/jackconnolly1000-ux/sec-filing-research-terminal/blob/main/docs/lly_interest_coverage.md</x:v>
      </x:c>
    </x:row>
    <x:row r="12" ht="100" customHeight="1">
      <x:c r="A12" s="235" t="str">
        <x:v>Capitalization basis</x:v>
      </x:c>
      <x:c r="B12" s="263" t="str">
        <x:v>FY2025 Note 11 explicitly reports interest on borrowings net of capitalized interest. The interim segment table labels the line interest expense without explicitly stating its capitalization basis. All three amounts are used as reported, before any interest-income offset. Capitalized interest is not added or subtracted; its amount and total interest incurred are Unavailable.</x:v>
      </x:c>
      <x:c r="C12" s="231" t="str">
        <x:v>FY2025 10-K Note 11 p. 77; June 10-Q Note 11 p. 23</x:v>
      </x:c>
    </x:row>
    <x:row r="13" ht="86" customHeight="1">
      <x:c r="A13" s="264" t="str">
        <x:v>Ratio reconciliation</x:v>
      </x:c>
      <x:c r="B13" s="267" t="str">
        <x:v>Debt and liquidity shows current ratio, same-filing net debt, TTM OCF/debt and FCF/debt, and historical interest coverage. Denominator definitions and capital-spending bases differ by company. Values are historical, not future funding coverage.</x:v>
      </x:c>
      <x:c r="C13" s="268" t="str">
        <x:v>https://github.com/jackconnolly1000-ux/sec-filing-research-terminal/blob/main/docs/ratio_reconciliation.md</x:v>
      </x:c>
    </x:row>
    <x:row r="14" ht="78" customHeight="1">
      <x:c r="A14" s="264" t="str">
        <x:v>Borrowing and leases</x:v>
      </x:c>
      <x:c r="B14" s="267" t="str">
        <x:v>The Borrowing and leases sheet reconciles baseline borrowing and shows lease balances on their own dates. Unavailable means the amount was not established in the checked evidence. Leases never enter baseline debt or its ratios.</x:v>
      </x:c>
      <x:c r="C14" s="268" t="str">
        <x:v>https://github.com/jackconnolly1000-ux/sec-filing-research-terminal/blob/main/docs/borrowing_lease_presentation.md</x:v>
      </x:c>
    </x:row>
    <x:row r="15" ht="70" customHeight="1">
      <x:c r="A15" s="341" t="str">
        <x:v>History</x:v>
      </x:c>
      <x:c r="B15" s="686" t="str">
        <x:v>Two dated observations per company. Fiscal-year and TTM flows are overlapping twelve-month windows. Vistra FY2025 borrowing and dependent ratios use the checked annual financing line once.</x:v>
      </x:c>
      <x:c r="C15" s="343" t="str">
        <x:v>https://github.com/jackconnolly1000-ux/sec-filing-research-terminal/blob/main/docs/company_history.md</x:v>
      </x:c>
    </x:row>
    <x:row r="16" ht="70" customHeight="1">
      <x:c r="A16" s="341" t="str">
        <x:v>Core charts</x:v>
      </x:c>
      <x:c r="B16" s="686" t="str">
        <x:v>Two native charts link to Debt and liquidity and History. Signed capital spending is a use; FCF is the result. Unavailable observations are omitted, never plotted as zero.</x:v>
      </x:c>
      <x:c r="C16" s="343" t="str">
        <x:v>https://github.com/jackconnolly1000-ux/sec-filing-research-terminal/blob/main/docs/core_charts.md</x:v>
      </x:c>
    </x:row>
    <x:row r="17" ht="76" customHeight="1">
      <x:c r="A17" s="341" t="str">
        <x:v>Workbook guide</x:v>
      </x:c>
      <x:c r="B17" s="342" t="str">
        <x:v>The first sheet lists all workbook tabs and their questions. Core metrics, dated history and common charts agree with the app. Source URLs are full text and open as links when selected.</x:v>
      </x:c>
      <x:c r="C17" s="343" t="str">
        <x:v>https://github.com/jackconnolly1000-ux/sec-filing-research-terminal/blob/main/docs/excel_parity.md</x:v>
      </x:c>
    </x:row>
    <x:row r="18" ht="98" customHeight="1">
      <x:c r="A18" s="871" t="str">
        <x:v>Annual history</x:v>
      </x:c>
      <x:c r="B18" s="890" t="str">
        <x:v>Annual cash and borrowing are fiscal-year-end balances. OCF and capital spending cover each full fiscal year. FCF = OCF − capital spending; it excludes acquisitions and other investing and financing uses. Historical amounts do not establish future repayment coverage. Fiscal calendars, business perimeters and capital-spending definitions differ. 2021/2022 cash flows use FY2023’s disclosed IPR&amp;D milestone reclassification. OCF increased by $105.2M/$501.3M through classification, not new cash generation. Cash and borrowing retain their original balance sheets. FCF does not deduct IPR&amp;D purchases.</x:v>
      </x:c>
      <x:c r="C18" s="891" t="str">
        <x:v>https://github.com/jackconnolly1000-ux/sec-filing-research-terminal/blob/main/docs/annual_history_reconciliation.md</x:v>
      </x:c>
    </x:row>
  </x:sheetData>
  <x:hyperlinks>
    <x:hyperlink ref="C2" r:id="rIdSource1"/>
    <x:hyperlink ref="C4" r:id="rIdSource2"/>
    <x:hyperlink ref="C5" r:id="rIdSource3"/>
    <x:hyperlink ref="C6" r:id="rIdSource4"/>
    <x:hyperlink ref="C7" r:id="rIdSource5"/>
    <x:hyperlink ref="C8" r:id="rIdSource6"/>
    <x:hyperlink ref="C9" r:id="rIdSource7"/>
    <x:hyperlink ref="C10" r:id="rIdSource8"/>
    <x:hyperlink ref="C11" r:id="rIdSource9"/>
    <x:hyperlink ref="C13" r:id="rIdSource10"/>
    <x:hyperlink ref="C14" r:id="rIdSource11"/>
    <x:hyperlink ref="C15" r:id="rIdSource12"/>
    <x:hyperlink ref="C16" r:id="rIdSource13"/>
    <x:hyperlink ref="C17" r:id="rIdSource14"/>
    <x:hyperlink ref="C18" r:id="rIdAnnualSource15"/>
  </x:hyperlinks>
  <x:pageMargins left="0.7" right="0.7" top="0.75" bottom="0.75" header="0.3" footer="0.3"/>
</x:worksheet>
</file>

<file path=xl/worksheets/sheet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4" hidden="0" customWidth="1"/>
    <x:col min="2" max="2" width="20" hidden="0" customWidth="1"/>
    <x:col min="3" max="3" width="20" hidden="0" customWidth="1"/>
    <x:col min="4" max="4" width="20" hidden="0" customWidth="1"/>
    <x:col min="5" max="5" width="20" hidden="0" customWidth="1"/>
    <x:col min="6" max="6" width="20" hidden="0" customWidth="1"/>
  </x:cols>
  <x:sheetData>
    <x:row r="1">
      <x:c r="A1" s="728"/>
      <x:c r="B1" s="728"/>
      <x:c r="C1" s="728"/>
      <x:c r="D1" s="728"/>
      <x:c r="E1" s="728"/>
      <x:c r="F1" s="728"/>
    </x:row>
    <x:row r="2">
      <x:c r="A2" s="731" t="str">
        <x:v>LLY — five completed fiscal years</x:v>
      </x:c>
      <x:c r="B2" s="728"/>
      <x:c r="C2" s="728"/>
      <x:c r="D2" s="728"/>
      <x:c r="E2" s="728"/>
      <x:c r="F2" s="728"/>
    </x:row>
    <x:row r="3">
      <x:c r="A3" s="732" t="str">
        <x:v>USD millions. Full fiscal years; latest TTM remains separate.</x:v>
      </x:c>
      <x:c r="B3" s="728"/>
      <x:c r="C3" s="728"/>
      <x:c r="D3" s="728"/>
      <x:c r="E3" s="728"/>
      <x:c r="F3" s="728"/>
    </x:row>
    <x:row r="4" ht="25" customHeight="1">
      <x:c r="A4" s="728" t="str">
        <x:v>Fiscal year end</x:v>
      </x:c>
      <x:c r="B4" s="1448" t="d">
        <x:v>2021-12-31T00:00:00.000Z</x:v>
      </x:c>
      <x:c r="C4" s="1448" t="d">
        <x:v>2022-12-31T00:00:00.000Z</x:v>
      </x:c>
      <x:c r="D4" s="1448" t="d">
        <x:v>2023-12-31T00:00:00.000Z</x:v>
      </x:c>
      <x:c r="E4" s="1448" t="d">
        <x:v>2024-12-31T00:00:00.000Z</x:v>
      </x:c>
      <x:c r="F4" s="1448" t="d">
        <x:v>2025-12-31T00:00:00.000Z</x:v>
      </x:c>
    </x:row>
    <x:row r="5" ht="25" customHeight="1">
      <x:c r="A5" s="1454" t="str">
        <x:v>Measure</x:v>
      </x:c>
      <x:c r="B5" s="1455" t="str">
        <x:v>FY2021</x:v>
      </x:c>
      <x:c r="C5" s="1455" t="str">
        <x:v>FY2022</x:v>
      </x:c>
      <x:c r="D5" s="1455" t="str">
        <x:v>FY2023</x:v>
      </x:c>
      <x:c r="E5" s="1455" t="str">
        <x:v>FY2024</x:v>
      </x:c>
      <x:c r="F5" s="1456" t="str">
        <x:v>FY2025</x:v>
      </x:c>
    </x:row>
    <x:row r="6" ht="25" customHeight="1">
      <x:c r="A6" s="749" t="str">
        <x:v>Cash and equivalents</x:v>
      </x:c>
      <x:c r="B6" s="1449" t="n">
        <x:f>IF(ISNUMBER('Data'!B140),'Data'!B140,NA())</x:f>
        <x:v>3818500000</x:v>
      </x:c>
      <x:c r="C6" s="1449" t="n">
        <x:f>IF(ISNUMBER('Data'!B145),'Data'!B145,NA())</x:f>
        <x:v>2067000000</x:v>
      </x:c>
      <x:c r="D6" s="1449" t="n">
        <x:f>IF(ISNUMBER('Data'!B150),'Data'!B150,NA())</x:f>
        <x:v>2818600000</x:v>
      </x:c>
      <x:c r="E6" s="1449" t="n">
        <x:f>IF(ISNUMBER('Data'!B155),'Data'!B155,NA())</x:f>
        <x:v>3268400000</x:v>
      </x:c>
      <x:c r="F6" s="1450" t="n">
        <x:f>IF(ISNUMBER('Data'!B160),'Data'!B160,NA())</x:f>
        <x:v>7268000000</x:v>
      </x:c>
    </x:row>
    <x:row r="7" ht="25" customHeight="1">
      <x:c r="A7" s="749" t="str">
        <x:v>Baseline borrowing</x:v>
      </x:c>
      <x:c r="B7" s="1449" t="n">
        <x:f>IF(ISNUMBER('Data'!B141),'Data'!B141,NA())+IF(ISNUMBER('Data'!B142),'Data'!B142,NA())</x:f>
        <x:v>16884700000</x:v>
      </x:c>
      <x:c r="C7" s="1449" t="n">
        <x:f>IF(ISNUMBER('Data'!B146),'Data'!B146,NA())+IF(ISNUMBER('Data'!B147),'Data'!B147,NA())</x:f>
        <x:v>16238600000</x:v>
      </x:c>
      <x:c r="D7" s="1449" t="n">
        <x:f>IF(ISNUMBER('Data'!B151),'Data'!B151,NA())+IF(ISNUMBER('Data'!B152),'Data'!B152,NA())</x:f>
        <x:v>25225300000</x:v>
      </x:c>
      <x:c r="E7" s="1449" t="n">
        <x:f>IF(ISNUMBER('Data'!B156),'Data'!B156,NA())+IF(ISNUMBER('Data'!B157),'Data'!B157,NA())</x:f>
        <x:v>33644200000</x:v>
      </x:c>
      <x:c r="F7" s="1450" t="n">
        <x:f>IF(ISNUMBER('Data'!B161),'Data'!B161,NA())+IF(ISNUMBER('Data'!B162),'Data'!B162,NA())</x:f>
        <x:v>42503000000</x:v>
      </x:c>
    </x:row>
    <x:row r="8" ht="25" customHeight="1">
      <x:c r="A8" s="749" t="str">
        <x:v>Operating cash flow</x:v>
      </x:c>
      <x:c r="B8" s="1449" t="n">
        <x:f>IF(ISNUMBER('Data'!B143),'Data'!B143,NA())</x:f>
        <x:v>7365900000</x:v>
      </x:c>
      <x:c r="C8" s="1449" t="n">
        <x:f>IF(ISNUMBER('Data'!B148),'Data'!B148,NA())</x:f>
        <x:v>7585700000</x:v>
      </x:c>
      <x:c r="D8" s="1449" t="n">
        <x:f>IF(ISNUMBER('Data'!B153),'Data'!B153,NA())</x:f>
        <x:v>4240100000</x:v>
      </x:c>
      <x:c r="E8" s="1449" t="n">
        <x:f>IF(ISNUMBER('Data'!B158),'Data'!B158,NA())</x:f>
        <x:v>8817900000</x:v>
      </x:c>
      <x:c r="F8" s="1450" t="n">
        <x:f>IF(ISNUMBER('Data'!B163),'Data'!B163,NA())</x:f>
        <x:v>16813000000</x:v>
      </x:c>
    </x:row>
    <x:row r="9" ht="25" customHeight="1">
      <x:c r="A9" s="749" t="str">
        <x:v>Capital spending</x:v>
      </x:c>
      <x:c r="B9" s="1449" t="n">
        <x:f>IF(ISNUMBER('Data'!B144),'Data'!B144,NA())</x:f>
        <x:v>1309800000</x:v>
      </x:c>
      <x:c r="C9" s="1449" t="n">
        <x:f>IF(ISNUMBER('Data'!B149),'Data'!B149,NA())</x:f>
        <x:v>1854300000</x:v>
      </x:c>
      <x:c r="D9" s="1449" t="n">
        <x:f>IF(ISNUMBER('Data'!B154),'Data'!B154,NA())</x:f>
        <x:v>3447600000</x:v>
      </x:c>
      <x:c r="E9" s="1449" t="n">
        <x:f>IF(ISNUMBER('Data'!B159),'Data'!B159,NA())</x:f>
        <x:v>5057800000</x:v>
      </x:c>
      <x:c r="F9" s="1450" t="n">
        <x:f>IF(ISNUMBER('Data'!B164),'Data'!B164,NA())</x:f>
        <x:v>7841000000</x:v>
      </x:c>
    </x:row>
    <x:row r="10" ht="25" customHeight="1">
      <x:c r="A10" s="871" t="str">
        <x:v>Free cash flow</x:v>
      </x:c>
      <x:c r="B10" s="1451" t="n">
        <x:f>B8-B9</x:f>
        <x:v>6056100000</x:v>
      </x:c>
      <x:c r="C10" s="1451" t="n">
        <x:f>C8-C9</x:f>
        <x:v>5731400000</x:v>
      </x:c>
      <x:c r="D10" s="1451" t="n">
        <x:f>D8-D9</x:f>
        <x:v>792500000</x:v>
      </x:c>
      <x:c r="E10" s="1451" t="n">
        <x:f>E8-E9</x:f>
        <x:v>3760100000</x:v>
      </x:c>
      <x:c r="F10" s="1452" t="n">
        <x:f>F8-F9</x:f>
        <x:v>8972000000</x:v>
      </x:c>
    </x:row>
    <x:row r="11">
      <x:c r="A11" s="728"/>
      <x:c r="B11" s="728"/>
      <x:c r="C11" s="728"/>
      <x:c r="D11" s="728"/>
      <x:c r="E11" s="728"/>
      <x:c r="F11" s="728"/>
    </x:row>
    <x:row r="12" ht="21" customHeight="1">
      <x:c r="A12" s="728" t="str">
        <x:v>Annual basis</x:v>
      </x:c>
      <x:c r="B12" s="732" t="str">
        <x:v>Annual cash and borrowing are fiscal-year-end balances. OCF and capital spending cover each full fiscal</x:v>
      </x:c>
      <x:c r="C12" s="728"/>
      <x:c r="D12" s="728"/>
      <x:c r="E12" s="728"/>
      <x:c r="F12" s="728"/>
    </x:row>
    <x:row r="13" ht="21" customHeight="1">
      <x:c r="A13" s="728"/>
      <x:c r="B13" s="732" t="str">
        <x:v>year. FCF = OCF − capital spending; it excludes acquisitions and other investing and financing uses.</x:v>
      </x:c>
      <x:c r="C13" s="728"/>
      <x:c r="D13" s="728"/>
      <x:c r="E13" s="728"/>
      <x:c r="F13" s="728"/>
    </x:row>
    <x:row r="14" ht="21" customHeight="1">
      <x:c r="A14" s="728"/>
      <x:c r="B14" s="732" t="str">
        <x:v>Historical amounts do not establish future repayment coverage. Fiscal calendars, business perimeters and</x:v>
      </x:c>
      <x:c r="C14" s="728"/>
      <x:c r="D14" s="728"/>
      <x:c r="E14" s="728"/>
      <x:c r="F14" s="728"/>
    </x:row>
    <x:row r="15" ht="21" customHeight="1">
      <x:c r="A15" s="728"/>
      <x:c r="B15" s="732" t="str">
        <x:v>capital-spending definitions differ.</x:v>
      </x:c>
      <x:c r="C15" s="728"/>
      <x:c r="D15" s="728"/>
      <x:c r="E15" s="728"/>
      <x:c r="F15" s="728"/>
    </x:row>
    <x:row r="16" ht="21" customHeight="1">
      <x:c r="A16" s="728"/>
      <x:c r="B16" s="728"/>
      <x:c r="C16" s="728"/>
      <x:c r="D16" s="728"/>
      <x:c r="E16" s="728"/>
      <x:c r="F16" s="728"/>
    </x:row>
    <x:row r="17" ht="21" customHeight="1">
      <x:c r="A17" s="728" t="str">
        <x:v>Presentation choice</x:v>
      </x:c>
      <x:c r="B17" s="732" t="str">
        <x:v>2021/2022 cash flows use FY2023’s disclosed IPR&amp;D milestone reclassification. OCF increased by</x:v>
      </x:c>
      <x:c r="C17" s="728"/>
      <x:c r="D17" s="728"/>
      <x:c r="E17" s="728"/>
      <x:c r="F17" s="728"/>
    </x:row>
    <x:row r="18" ht="21" customHeight="1">
      <x:c r="A18" s="728"/>
      <x:c r="B18" s="732" t="str">
        <x:v>$105.2M/$501.3M through classification, not new cash generation. Cash and borrowing retain their original</x:v>
      </x:c>
      <x:c r="C18" s="728"/>
      <x:c r="D18" s="728"/>
      <x:c r="E18" s="728"/>
      <x:c r="F18" s="728"/>
    </x:row>
    <x:row r="19" ht="21" customHeight="1">
      <x:c r="A19" s="728"/>
      <x:c r="B19" s="732" t="str">
        <x:v>balance sheets. FCF does not deduct IPR&amp;D purchases.</x:v>
      </x:c>
      <x:c r="C19" s="728"/>
      <x:c r="D19" s="728"/>
      <x:c r="E19" s="728"/>
      <x:c r="F19" s="728"/>
    </x:row>
    <x:row r="20" ht="21" customHeight="1">
      <x:c r="A20" s="728"/>
      <x:c r="B20" s="728"/>
      <x:c r="C20" s="728"/>
      <x:c r="D20" s="728"/>
      <x:c r="E20" s="728"/>
      <x:c r="F20" s="728"/>
    </x:row>
    <x:row r="21" ht="21" customHeight="1">
      <x:c r="A21" s="728"/>
      <x:c r="B21" s="728"/>
      <x:c r="C21" s="728"/>
      <x:c r="D21" s="728"/>
      <x:c r="E21" s="728"/>
      <x:c r="F21" s="728"/>
    </x:row>
    <x:row r="22" ht="21" customHeight="1">
      <x:c r="A22" s="728"/>
      <x:c r="B22" s="728"/>
      <x:c r="C22" s="728"/>
      <x:c r="D22" s="728"/>
      <x:c r="E22" s="728"/>
      <x:c r="F22" s="728"/>
    </x:row>
    <x:row r="23" ht="21" customHeight="1"/>
  </x:sheetData>
  <x:pageMargins left="0.7" right="0.7" top="0.75" bottom="0.75" header="0.3" footer="0.3"/>
</x:worksheet>
</file>