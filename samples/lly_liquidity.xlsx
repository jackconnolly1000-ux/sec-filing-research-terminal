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6.xml" ContentType="application/vnd.openxmlformats-officedocument.spreadsheetml.worksheet+xml"/>
  <Override PartName="/xl/drawings/drawing3.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worksheets/sheet7.xml" ContentType="application/vnd.openxmlformats-officedocument.spreadsheetml.worksheet+xml"/>
  <Override PartName="/xl/drawings/drawing4.xml" ContentType="application/vnd.openxmlformats-officedocument.drawing+xml"/>
  <Override PartName="/xl/drawings/charts/chart7.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d1e6385ddf4ae0" /></Relationships>
</file>

<file path=xl/workbook.xml><?xml version="1.0" encoding="utf-8"?>
<x:workbook xmlns:x="http://schemas.openxmlformats.org/spreadsheetml/2006/main">
  <x:sheets>
    <x:sheet xmlns:r="http://schemas.openxmlformats.org/officeDocument/2006/relationships" name="Funding conclusion" sheetId="1" r:id="Rec5d6fb75a1f4aca"/>
    <x:sheet xmlns:r="http://schemas.openxmlformats.org/officeDocument/2006/relationships" name="Borrowing and leases" sheetId="2" r:id="R511398a9a1a441fd"/>
    <x:sheet xmlns:r="http://schemas.openxmlformats.org/officeDocument/2006/relationships" name="Debt and liquidity" sheetId="3" r:id="Rf4f93377a1894dc2"/>
    <x:sheet xmlns:r="http://schemas.openxmlformats.org/officeDocument/2006/relationships" name="History" sheetId="4" r:id="R94eb65dce69a4d6f"/>
    <x:sheet xmlns:r="http://schemas.openxmlformats.org/officeDocument/2006/relationships" name="Annual history" sheetId="5" r:id="R3e85b23aae2b4381"/>
    <x:sheet xmlns:r="http://schemas.openxmlformats.org/officeDocument/2006/relationships" name="Core charts" sheetId="6" r:id="R35cceca90ed944bb"/>
    <x:sheet xmlns:r="http://schemas.openxmlformats.org/officeDocument/2006/relationships" name="Repayment review" sheetId="7" r:id="R11eae1ac2bd544f3"/>
    <x:sheet xmlns:r="http://schemas.openxmlformats.org/officeDocument/2006/relationships" name="Data" sheetId="8" r:id="R5652013d3d3b4f28"/>
    <x:sheet xmlns:r="http://schemas.openxmlformats.org/officeDocument/2006/relationships" name="About" sheetId="9" r:id="R485937150fe144e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mmm d, yyyy"/>
    <x:numFmt numFmtId="203" formatCode="0.0%"/>
    <x:numFmt numFmtId="204" formatCode="0.000%"/>
    <x:numFmt numFmtId="205" formatCode="#,##0.0,,;(#,##0.0,,);&quot;-&quot;"/>
    <x:numFmt numFmtId="206" formatCode="0.0%;(0.0%);&quot;0.0%&quot;"/>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5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5" fontId="2" fillId="0" borderId="0" xfId="0" applyNumberFormat="1" applyFont="1" applyFill="1" applyBorder="1" applyAlignment="1">
      <x:alignment vertical="top" wrapText="1"/>
    </x:xf>
    <x:xf numFmtId="205" fontId="15" fillId="0" borderId="0" xfId="0" applyNumberFormat="1" applyFont="1" applyFill="1" applyBorder="1" applyAlignment="1">
      <x:alignment vertical="top" wrapText="1"/>
    </x:xf>
    <x:xf numFmtId="205" fontId="15" fillId="0" borderId="11" xfId="0" applyNumberFormat="1" applyFont="1" applyFill="1" applyBorder="1" applyAlignment="1">
      <x:alignment vertical="top" wrapText="1"/>
    </x:xf>
    <x:xf numFmtId="205" fontId="15" fillId="0" borderId="12" xfId="0" applyNumberFormat="1" applyFont="1" applyFill="1" applyBorder="1" applyAlignment="1">
      <x:alignment vertical="top" wrapText="1"/>
    </x:xf>
    <x:xf numFmtId="205" fontId="2" fillId="0" borderId="0" xfId="0" applyNumberFormat="1" applyFont="1" applyFill="1" applyBorder="1" applyAlignment="1">
      <x:alignment vertical="top"/>
    </x:xf>
    <x:xf numFmtId="205" fontId="13" fillId="0" borderId="0" xfId="0" applyNumberFormat="1" applyFont="1" applyFill="1" applyBorder="1" applyAlignment="1">
      <x:alignment vertical="top"/>
    </x:xf>
    <x:xf numFmtId="205" fontId="1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4" fillId="0" borderId="0" xfId="0" applyNumberFormat="1" applyFont="1" applyFill="1" applyBorder="1" applyAlignment="1">
      <x:alignment vertical="top"/>
    </x:xf>
    <x:xf numFmtId="0" fontId="2" fillId="0" borderId="8" xfId="0" applyNumberFormat="1" applyFont="1" applyFill="1" applyBorder="1" applyAlignment="1">
      <x:alignment vertical="top"/>
    </x:xf>
    <x:xf numFmtId="0" fontId="2" fillId="0" borderId="9" xfId="0" applyNumberFormat="1" applyFont="1" applyFill="1" applyBorder="1" applyAlignment="1">
      <x:alignment vertical="top"/>
    </x:xf>
    <x:xf numFmtId="0" fontId="2" fillId="0" borderId="10" xfId="0" applyNumberFormat="1" applyFont="1" applyFill="1" applyBorder="1" applyAlignment="1">
      <x:alignment vertical="top"/>
    </x:xf>
    <x:xf numFmtId="0" fontId="2" fillId="0" borderId="4" xfId="0" applyNumberFormat="1" applyFont="1" applyFill="1" applyBorder="1" applyAlignment="1">
      <x:alignment vertical="top"/>
    </x:xf>
    <x:xf numFmtId="205" fontId="13" fillId="0" borderId="11" xfId="0" applyNumberFormat="1" applyFont="1" applyFill="1" applyBorder="1" applyAlignment="1">
      <x:alignment vertical="top"/>
    </x:xf>
    <x:xf numFmtId="205" fontId="13" fillId="0" borderId="5" xfId="0" applyNumberFormat="1" applyFont="1" applyFill="1" applyBorder="1" applyAlignment="1">
      <x:alignment vertical="top"/>
    </x:xf>
    <x:xf numFmtId="0" fontId="2" fillId="0" borderId="6" xfId="0" applyNumberFormat="1" applyFont="1" applyFill="1" applyBorder="1" applyAlignment="1">
      <x:alignment vertical="top"/>
    </x:xf>
    <x:xf numFmtId="205" fontId="12" fillId="0" borderId="12" xfId="0" applyNumberFormat="1" applyFont="1" applyFill="1" applyBorder="1" applyAlignment="1">
      <x:alignment vertical="top"/>
    </x:xf>
    <x:xf numFmtId="205" fontId="12" fillId="0" borderId="7" xfId="0" applyNumberFormat="1" applyFont="1" applyFill="1" applyBorder="1" applyAlignment="1">
      <x:alignment vertical="top"/>
    </x:xf>
    <x:xf numFmtId="0" fontId="2" fillId="2" borderId="8" xfId="0" applyNumberFormat="1" applyFont="1" applyFill="1" applyBorder="1" applyAlignment="1">
      <x:alignment vertical="top"/>
    </x:xf>
    <x:xf numFmtId="0" fontId="2" fillId="2" borderId="9" xfId="0" applyNumberFormat="1" applyFont="1" applyFill="1" applyBorder="1" applyAlignment="1">
      <x:alignment vertical="top"/>
    </x:xf>
    <x:xf numFmtId="0" fontId="2" fillId="2" borderId="10" xfId="0" applyNumberFormat="1" applyFont="1" applyFill="1" applyBorder="1" applyAlignment="1">
      <x:alignment vertical="top"/>
    </x:xf>
    <x:xf numFmtId="0" fontId="3" fillId="2" borderId="8" xfId="0" applyNumberFormat="1" applyFont="1" applyFill="1" applyBorder="1" applyAlignment="1">
      <x:alignment vertical="top"/>
    </x:xf>
    <x:xf numFmtId="0" fontId="3" fillId="2" borderId="9" xfId="0" applyNumberFormat="1" applyFont="1" applyFill="1" applyBorder="1" applyAlignment="1">
      <x:alignment vertical="top"/>
    </x:xf>
    <x:xf numFmtId="0" fontId="3" fillId="2" borderId="10" xfId="0" applyNumberFormat="1" applyFont="1" applyFill="1" applyBorder="1" applyAlignment="1">
      <x:alignment vertical="top"/>
    </x:xf>
    <x:xf numFmtId="0" fontId="3" fillId="2" borderId="8" xfId="0" applyNumberFormat="1" applyFont="1" applyFill="1" applyBorder="1" applyAlignment="1">
      <x:alignment horizontal="center" vertical="top"/>
    </x:xf>
    <x:xf numFmtId="0" fontId="3" fillId="2" borderId="9" xfId="0" applyNumberFormat="1" applyFont="1" applyFill="1" applyBorder="1" applyAlignment="1">
      <x:alignment horizontal="center" vertical="top"/>
    </x:xf>
    <x:xf numFmtId="0" fontId="3" fillId="2" borderId="10" xfId="0" applyNumberFormat="1" applyFont="1" applyFill="1" applyBorder="1" applyAlignment="1">
      <x:alignment horizontal="center" vertical="top"/>
    </x:xf>
    <x:xf numFmtId="0" fontId="3" fillId="2" borderId="2" xfId="0" applyNumberFormat="1" applyFont="1" applyFill="1" applyBorder="1" applyAlignment="1">
      <x:alignment horizontal="center" vertical="top"/>
    </x:xf>
    <x:xf numFmtId="0" fontId="3" fillId="2" borderId="13" xfId="0" applyNumberFormat="1" applyFont="1" applyFill="1" applyBorder="1" applyAlignment="1">
      <x:alignment horizontal="center" vertical="top"/>
    </x:xf>
    <x:xf numFmtId="0" fontId="3" fillId="2" borderId="3" xfId="0" applyNumberFormat="1" applyFont="1" applyFill="1" applyBorder="1" applyAlignment="1">
      <x:alignment horizontal="center" vertical="top"/>
    </x:xf>
    <x:xf numFmtId="0" fontId="0" fillId="0" borderId="0" xfId="0" applyNumberFormat="1" applyFont="1" applyFill="1" applyBorder="1" applyAlignment="1">
      <x:alignment wrapText="1"/>
    </x:xf>
    <x:xf numFmtId="206" fontId="2" fillId="0" borderId="0" xfId="0" applyNumberFormat="1" applyFont="1" applyFill="1" applyBorder="1" applyAlignment="1">
      <x:alignment vertical="top"/>
    </x:xf>
    <x:xf numFmtId="0" fontId="2" fillId="0" borderId="2" xfId="0" applyNumberFormat="1" applyFont="1" applyFill="1" applyBorder="1" applyAlignment="1">
      <x:alignment vertical="top"/>
    </x:xf>
    <x:xf numFmtId="206" fontId="2" fillId="0" borderId="13" xfId="0" applyNumberFormat="1" applyFont="1" applyFill="1" applyBorder="1" applyAlignment="1">
      <x:alignment vertical="top"/>
    </x:xf>
    <x:xf numFmtId="206" fontId="2" fillId="0" borderId="3" xfId="0" applyNumberFormat="1" applyFont="1" applyFill="1" applyBorder="1" applyAlignment="1">
      <x:alignment vertical="top"/>
    </x:xf>
    <x:xf numFmtId="201" fontId="13" fillId="0" borderId="7" xfId="0" applyNumberFormat="1" applyFont="1" applyFill="1" applyBorder="1" applyAlignment="1">
      <x:alignment vertical="top" wrapText="1"/>
    </x:xf>
    <x:xf numFmtId="0" fontId="1" fillId="0" borderId="0" xfId="0" applyNumberFormat="1" applyFont="1" applyFill="1" applyBorder="1" applyAlignment="1">
      <x:alignment wrapText="1"/>
    </x:xf>
    <x:xf numFmtId="205" fontId="12" fillId="0" borderId="1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bb26932834419c" /><Relationship Type="http://schemas.openxmlformats.org/officeDocument/2006/relationships/theme" Target="/xl/theme/theme1.xml" Id="R65fd7fe415cc4325" /><Relationship Type="http://schemas.openxmlformats.org/officeDocument/2006/relationships/sharedStrings" Target="/xl/sharedStrings.xml" Id="R5c56d661a6f343ef" /><Relationship Type="http://schemas.openxmlformats.org/officeDocument/2006/relationships/worksheet" Target="/xl/worksheets/sheet1.xml" Id="Rec5d6fb75a1f4aca" /><Relationship Type="http://schemas.openxmlformats.org/officeDocument/2006/relationships/worksheet" Target="/xl/worksheets/sheet2.xml" Id="R511398a9a1a441fd" /><Relationship Type="http://schemas.openxmlformats.org/officeDocument/2006/relationships/worksheet" Target="/xl/worksheets/sheet3.xml" Id="Rf4f93377a1894dc2" /><Relationship Type="http://schemas.openxmlformats.org/officeDocument/2006/relationships/worksheet" Target="/xl/worksheets/sheet4.xml" Id="R94eb65dce69a4d6f" /><Relationship Type="http://schemas.openxmlformats.org/officeDocument/2006/relationships/worksheet" Target="/xl/worksheets/sheet5.xml" Id="R3e85b23aae2b4381" /><Relationship Type="http://schemas.openxmlformats.org/officeDocument/2006/relationships/worksheet" Target="/xl/worksheets/sheet6.xml" Id="R35cceca90ed944bb" /><Relationship Type="http://schemas.openxmlformats.org/officeDocument/2006/relationships/worksheet" Target="/xl/worksheets/sheet7.xml" Id="R11eae1ac2bd544f3" /><Relationship Type="http://schemas.openxmlformats.org/officeDocument/2006/relationships/worksheet" Target="/xl/worksheets/sheet8.xml" Id="R5652013d3d3b4f28" /><Relationship Type="http://schemas.openxmlformats.org/officeDocument/2006/relationships/worksheet" Target="/xl/worksheets/sheet9.xml" Id="R485937150fe144ea" /></Relationships>
</file>

<file path=xl/drawings/_rels/drawing1.xml.rels>&#65279;<?xml version="1.0" encoding="utf-8"?><Relationships xmlns="http://schemas.openxmlformats.org/package/2006/relationships"><Relationship Type="http://schemas.openxmlformats.org/officeDocument/2006/relationships/chart" Target="/xl/drawings/charts/chart1.xml" Id="R72725f20b2b0496c" /></Relationships>
</file>

<file path=xl/drawings/_rels/drawing2.xml.rels>&#65279;<?xml version="1.0" encoding="utf-8"?><Relationships xmlns="http://schemas.openxmlformats.org/package/2006/relationships"><Relationship Type="http://schemas.openxmlformats.org/officeDocument/2006/relationships/chart" Target="/xl/drawings/charts/chart2.xml" Id="R925cfbf421d94bc0" /><Relationship Type="http://schemas.openxmlformats.org/officeDocument/2006/relationships/chart" Target="/xl/drawings/charts/chart3.xml" Id="R0befbf61653a4a76" /><Relationship Type="http://schemas.openxmlformats.org/officeDocument/2006/relationships/chart" Target="/xl/drawings/charts/chart4.xml" Id="Rc1c91e80113d41bd" /></Relationships>
</file>

<file path=xl/drawings/_rels/drawing3.xml.rels>&#65279;<?xml version="1.0" encoding="utf-8"?><Relationships xmlns="http://schemas.openxmlformats.org/package/2006/relationships"><Relationship Type="http://schemas.openxmlformats.org/officeDocument/2006/relationships/chart" Target="/xl/drawings/charts/chart5.xml" Id="Ra1519839a1f64787" /><Relationship Type="http://schemas.openxmlformats.org/officeDocument/2006/relationships/chart" Target="/xl/drawings/charts/chart6.xml" Id="R7a5330289b9544ef" /></Relationships>
</file>

<file path=xl/drawings/_rels/drawing4.xml.rels>&#65279;<?xml version="1.0" encoding="utf-8"?><Relationships xmlns="http://schemas.openxmlformats.org/package/2006/relationships"><Relationship Type="http://schemas.openxmlformats.org/officeDocument/2006/relationships/chart" Target="/xl/drawings/charts/chart7.xml" Id="R5c7daf88355b4623" /></Relationships>
</file>

<file path=xl/drawings/charts/chart1.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Total liabilities (USD billions)</a:t>
            </a:r>
          </a:p>
        </c:rich>
      </c:tx>
      <c:overlay val="0"/>
      <c:txPr>
        <a:bodyPr anchorCtr="1"/>
        <a:lstStyle/>
        <a:p>
          <a:pPr>
            <a:defRPr sz="900">
              <a:latin typeface="Arial"/>
              <a:ea typeface="Arial"/>
              <a:cs typeface="Arial"/>
            </a:defRPr>
          </a:pPr>
        </a:p>
      </c:txPr>
    </c:title>
    <c:plotArea>
      <c:barChart>
        <c:barDir val="col"/>
        <c:grouping val="stacked"/>
        <c:varyColors val="0"/>
        <c:ser>
          <c:idx val="0"/>
          <c:order val="0"/>
          <c:tx>
            <c:v>Current liabilities</c:v>
          </c:tx>
          <c:spPr>
            <a:solidFill>
              <a:srgbClr val="D95926"/>
            </a:solidFill>
          </c:spPr>
          <c:invertIfNegative val="0"/>
          <c:cat>
            <c:strRef>
              <c:f>'Borrowing and leases'!$G$45</c:f>
              <c:strCache>
                <c:ptCount val="1"/>
                <c:pt idx="0">
                  <c:v>2026-06-30</c:v>
                </c:pt>
              </c:strCache>
            </c:strRef>
          </c:cat>
          <c:val>
            <c:numRef>
              <c:f>'Borrowing and leases'!$H$45</c:f>
              <c:numCache>
                <c:formatCode>General</c:formatCode>
                <c:ptCount val="1"/>
                <c:pt idx="0">
                  <c:v>47741000000</c:v>
                </c:pt>
              </c:numCache>
            </c:numRef>
          </c:val>
        </c:ser>
        <c:ser>
          <c:idx val="1"/>
          <c:order val="1"/>
          <c:tx>
            <c:v>Noncurrent liabilities</c:v>
          </c:tx>
          <c:spPr>
            <a:solidFill>
              <a:srgbClr val="3987E5"/>
            </a:solidFill>
          </c:spPr>
          <c:invertIfNegative val="0"/>
          <c:cat>
            <c:strRef>
              <c:f>'Borrowing and leases'!$G$45</c:f>
              <c:strCache>
                <c:ptCount val="1"/>
                <c:pt idx="0">
                  <c:v>2026-06-30</c:v>
                </c:pt>
              </c:strCache>
            </c:strRef>
          </c:cat>
          <c:val>
            <c:numRef>
              <c:f>'Borrowing and leases'!$I$45</c:f>
              <c:numCache>
                <c:formatCode>General</c:formatCode>
                <c:ptCount val="1"/>
                <c:pt idx="0">
                  <c:v>60663000000</c:v>
                </c:pt>
              </c:numCache>
            </c:numRef>
          </c:val>
        </c:ser>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crossAx val="48650112"/>
        <c:crossBetween val="between"/>
      </c:valAx>
    </c:plotArea>
    <c:legend>
      <c:legendPos val="b"/>
      <c:overlay val="0"/>
    </c:legend>
    <c:plotVisOnly val="1"/>
    <c:dispBlanksAs val="gap"/>
  </c:chart>
  <c:spPr>
    <a:ln w="9525">
      <a:solidFill>
        <a:srgbClr val="D9D9D9"/>
      </a:solidFill>
      <a:prstDash val="solid"/>
    </a:ln>
  </c:spPr>
</c:chartSpace>
</file>

<file path=xl/drawings/charts/chart2.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Fiscal-year-end cash and baseline borrowing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Cash and equivalents</c:v>
          </c:tx>
          <c:spPr>
            <a:solidFill>
              <a:srgbClr val="3987E5"/>
            </a:solidFill>
          </c:spPr>
          <c:invertIfNegative val="0"/>
          <c:cat>
            <c:strRef>
              <c:f>'Annual history'!$A$65:$A$69</c:f>
              <c:strCache>
                <c:ptCount val="5"/>
                <c:pt idx="0">
                  <c:v>FY2021</c:v>
                </c:pt>
                <c:pt idx="1">
                  <c:v>FY2022</c:v>
                </c:pt>
                <c:pt idx="2">
                  <c:v>FY2023</c:v>
                </c:pt>
                <c:pt idx="3">
                  <c:v>FY2024</c:v>
                </c:pt>
                <c:pt idx="4">
                  <c:v>FY2025</c:v>
                </c:pt>
              </c:strCache>
            </c:strRef>
          </c:cat>
          <c:val>
            <c:numRef>
              <c:f>'Annual history'!$B$65:$B$69</c:f>
              <c:numCache>
                <c:formatCode>General</c:formatCode>
                <c:ptCount val="5"/>
                <c:pt idx="0">
                  <c:v>3818500000</c:v>
                </c:pt>
                <c:pt idx="1">
                  <c:v>2067000000</c:v>
                </c:pt>
                <c:pt idx="2">
                  <c:v>2818600000</c:v>
                </c:pt>
                <c:pt idx="3">
                  <c:v>3268400000</c:v>
                </c:pt>
                <c:pt idx="4">
                  <c:v>7268000000</c:v>
                </c:pt>
              </c:numCache>
            </c:numRef>
          </c:val>
        </c:ser>
        <c:ser>
          <c:idx val="1"/>
          <c:order val="1"/>
          <c:tx>
            <c:v>Baseline borrowing</c:v>
          </c:tx>
          <c:spPr>
            <a:solidFill>
              <a:srgbClr val="D95926"/>
            </a:solidFill>
          </c:spPr>
          <c:invertIfNegative val="0"/>
          <c:cat>
            <c:strRef>
              <c:f>'Annual history'!$A$65:$A$69</c:f>
              <c:strCache>
                <c:ptCount val="5"/>
                <c:pt idx="0">
                  <c:v>FY2021</c:v>
                </c:pt>
                <c:pt idx="1">
                  <c:v>FY2022</c:v>
                </c:pt>
                <c:pt idx="2">
                  <c:v>FY2023</c:v>
                </c:pt>
                <c:pt idx="3">
                  <c:v>FY2024</c:v>
                </c:pt>
                <c:pt idx="4">
                  <c:v>FY2025</c:v>
                </c:pt>
              </c:strCache>
            </c:strRef>
          </c:cat>
          <c:val>
            <c:numRef>
              <c:f>'Annual history'!$C$65:$C$69</c:f>
              <c:numCache>
                <c:formatCode>General</c:formatCode>
                <c:ptCount val="5"/>
                <c:pt idx="0">
                  <c:v>16884700000</c:v>
                </c:pt>
                <c:pt idx="1">
                  <c:v>16238600000</c:v>
                </c:pt>
                <c:pt idx="2">
                  <c:v>25225300000</c:v>
                </c:pt>
                <c:pt idx="3">
                  <c:v>33644200000</c:v>
                </c:pt>
                <c:pt idx="4">
                  <c:v>42503000000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3.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capital spending and FCF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Operating cash flow</c:v>
          </c:tx>
          <c:spPr>
            <a:solidFill>
              <a:srgbClr val="3987E5"/>
            </a:solidFill>
          </c:spPr>
          <c:invertIfNegative val="0"/>
          <c:cat>
            <c:strRef>
              <c:f>'Annual history'!$A$74:$A$78</c:f>
              <c:strCache>
                <c:ptCount val="5"/>
                <c:pt idx="0">
                  <c:v>FY2021</c:v>
                </c:pt>
                <c:pt idx="1">
                  <c:v>FY2022</c:v>
                </c:pt>
                <c:pt idx="2">
                  <c:v>FY2023</c:v>
                </c:pt>
                <c:pt idx="3">
                  <c:v>FY2024</c:v>
                </c:pt>
                <c:pt idx="4">
                  <c:v>FY2025</c:v>
                </c:pt>
              </c:strCache>
            </c:strRef>
          </c:cat>
          <c:val>
            <c:numRef>
              <c:f>'Annual history'!$B$74:$B$78</c:f>
              <c:numCache>
                <c:formatCode>General</c:formatCode>
                <c:ptCount val="5"/>
                <c:pt idx="0">
                  <c:v>7365900000</c:v>
                </c:pt>
                <c:pt idx="1">
                  <c:v>7585700000</c:v>
                </c:pt>
                <c:pt idx="2">
                  <c:v>4240100000</c:v>
                </c:pt>
                <c:pt idx="3">
                  <c:v>8817900000</c:v>
                </c:pt>
                <c:pt idx="4">
                  <c:v>16813000000</c:v>
                </c:pt>
              </c:numCache>
            </c:numRef>
          </c:val>
        </c:ser>
        <c:ser>
          <c:idx val="1"/>
          <c:order val="1"/>
          <c:tx>
            <c:v>Capital spending (use of cash)</c:v>
          </c:tx>
          <c:spPr>
            <a:solidFill>
              <a:srgbClr val="9598A1"/>
            </a:solidFill>
          </c:spPr>
          <c:invertIfNegative val="0"/>
          <c:cat>
            <c:strRef>
              <c:f>'Annual history'!$A$74:$A$78</c:f>
              <c:strCache>
                <c:ptCount val="5"/>
                <c:pt idx="0">
                  <c:v>FY2021</c:v>
                </c:pt>
                <c:pt idx="1">
                  <c:v>FY2022</c:v>
                </c:pt>
                <c:pt idx="2">
                  <c:v>FY2023</c:v>
                </c:pt>
                <c:pt idx="3">
                  <c:v>FY2024</c:v>
                </c:pt>
                <c:pt idx="4">
                  <c:v>FY2025</c:v>
                </c:pt>
              </c:strCache>
            </c:strRef>
          </c:cat>
          <c:val>
            <c:numRef>
              <c:f>'Annual history'!$C$74:$C$78</c:f>
              <c:numCache>
                <c:formatCode>General</c:formatCode>
                <c:ptCount val="5"/>
                <c:pt idx="0">
                  <c:v>-1309800000</c:v>
                </c:pt>
                <c:pt idx="1">
                  <c:v>-1854300000</c:v>
                </c:pt>
                <c:pt idx="2">
                  <c:v>-3447600000</c:v>
                </c:pt>
                <c:pt idx="3">
                  <c:v>-5057800000</c:v>
                </c:pt>
                <c:pt idx="4">
                  <c:v>-7841000000</c:v>
                </c:pt>
              </c:numCache>
            </c:numRef>
          </c:val>
        </c:ser>
        <c:ser>
          <c:idx val="2"/>
          <c:order val="2"/>
          <c:tx>
            <c:v>Free cash flow</c:v>
          </c:tx>
          <c:spPr>
            <a:solidFill>
              <a:srgbClr val="D4A72C"/>
            </a:solidFill>
          </c:spPr>
          <c:invertIfNegative val="0"/>
          <c:cat>
            <c:strRef>
              <c:f>'Annual history'!$A$74:$A$78</c:f>
              <c:strCache>
                <c:ptCount val="5"/>
                <c:pt idx="0">
                  <c:v>FY2021</c:v>
                </c:pt>
                <c:pt idx="1">
                  <c:v>FY2022</c:v>
                </c:pt>
                <c:pt idx="2">
                  <c:v>FY2023</c:v>
                </c:pt>
                <c:pt idx="3">
                  <c:v>FY2024</c:v>
                </c:pt>
                <c:pt idx="4">
                  <c:v>FY2025</c:v>
                </c:pt>
              </c:strCache>
            </c:strRef>
          </c:cat>
          <c:val>
            <c:numRef>
              <c:f>'Annual history'!$D$74:$D$78</c:f>
              <c:numCache>
                <c:formatCode>General</c:formatCode>
                <c:ptCount val="5"/>
                <c:pt idx="0">
                  <c:v>6056100000</c:v>
                </c:pt>
                <c:pt idx="1">
                  <c:v>5731400000</c:v>
                </c:pt>
                <c:pt idx="2">
                  <c:v>792500000</c:v>
                </c:pt>
                <c:pt idx="3">
                  <c:v>3760100000</c:v>
                </c:pt>
                <c:pt idx="4">
                  <c:v>8972000000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4.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 year-end borrowing (%)</a:t>
            </a:r>
          </a:p>
        </c:rich>
      </c:tx>
      <c:overlay val="0"/>
      <c:txPr>
        <a:bodyPr anchorCtr="1"/>
        <a:lstStyle/>
        <a:p>
          <a:pPr>
            <a:defRPr sz="900">
              <a:latin typeface="Arial"/>
              <a:ea typeface="Arial"/>
              <a:cs typeface="Arial"/>
            </a:defRPr>
          </a:pPr>
        </a:p>
      </c:txPr>
    </c:title>
    <c:plotArea>
      <c:lineChart>
        <c:grouping val="standard"/>
        <c:varyColors val="0"/>
        <c:ser>
          <c:idx val="0"/>
          <c:order val="0"/>
          <c:tx>
            <c:v>Historical OCF / year-end borrowing</c:v>
          </c:tx>
          <c:spPr>
            <a:solidFill>
              <a:srgbClr val="3987E5"/>
            </a:solidFill>
          </c:spPr>
          <c:marker>
            <c:symbol val="none"/>
          </c:marker>
          <c:cat>
            <c:strRef>
              <c:f>'Annual history'!$A$91:$A$95</c:f>
              <c:strCache>
                <c:ptCount val="5"/>
                <c:pt idx="0">
                  <c:v>FY2021</c:v>
                </c:pt>
                <c:pt idx="1">
                  <c:v>FY2022</c:v>
                </c:pt>
                <c:pt idx="2">
                  <c:v>FY2023</c:v>
                </c:pt>
                <c:pt idx="3">
                  <c:v>FY2024</c:v>
                </c:pt>
                <c:pt idx="4">
                  <c:v>FY2025</c:v>
                </c:pt>
              </c:strCache>
            </c:strRef>
          </c:cat>
          <c:val>
            <c:numRef>
              <c:f>'Annual history'!$B$91:$B$95</c:f>
              <c:numCache>
                <c:formatCode>General</c:formatCode>
                <c:ptCount val="5"/>
                <c:pt idx="0">
                  <c:v>0.4362470165297577</c:v>
                </c:pt>
                <c:pt idx="1">
                  <c:v>0.4671400243863387</c:v>
                </c:pt>
                <c:pt idx="2">
                  <c:v>0.16808918030707265</c:v>
                </c:pt>
                <c:pt idx="3">
                  <c:v>0.26209272326285066</c:v>
                </c:pt>
                <c:pt idx="4">
                  <c:v>0.3955720772651342</c:v>
                </c:pt>
              </c:numCache>
            </c:numRef>
          </c:val>
          <c:smooth val="0"/>
        </c:ser>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crossAx val="48650112"/>
        <c:crossBetween val="between"/>
      </c:valAx>
    </c:plotArea>
    <c:plotVisOnly val="1"/>
    <c:dispBlanksAs val="gap"/>
  </c:chart>
  <c:spPr>
    <a:ln w="9525">
      <a:solidFill>
        <a:srgbClr val="D9D9D9"/>
      </a:solidFill>
      <a:prstDash val="solid"/>
    </a:ln>
  </c:spPr>
</c:chartSpace>
</file>

<file path=xl/drawings/charts/chart5.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What remained after capital spending?</a:t>
            </a:r>
          </a:p>
        </c:rich>
      </c:tx>
      <c:overlay val="0"/>
      <c:txPr>
        <a:bodyPr anchorCtr="1"/>
        <a:lstStyle/>
        <a:p>
          <a:pPr>
            <a:defRPr sz="900">
              <a:latin typeface="Arial"/>
              <a:ea typeface="Arial"/>
              <a:cs typeface="Arial"/>
            </a:defRPr>
          </a:pPr>
        </a:p>
      </c:txPr>
    </c:title>
    <c:plotArea>
      <c:barChart>
        <c:barDir val="col"/>
        <c:varyColors val="0"/>
        <c:ser>
          <c:idx val="0"/>
          <c:order val="0"/>
          <c:tx>
            <c:v>USD millions</c:v>
          </c:tx>
          <c:spPr>
            <a:solidFill>
              <a:srgbClr val="9598A1"/>
            </a:solidFill>
          </c:spPr>
          <c:invertIfNegative val="0"/>
          <c:cat>
            <c:strRef>
              <c:f>'Core charts'!$A$6:$A$8</c:f>
              <c:strCache>
                <c:ptCount val="3"/>
                <c:pt idx="0">
                  <c:v>Operating cash flow</c:v>
                </c:pt>
                <c:pt idx="1">
                  <c:v>Capital spending</c:v>
                </c:pt>
                <c:pt idx="2">
                  <c:v>Free cash flow</c:v>
                </c:pt>
              </c:strCache>
            </c:strRef>
          </c:cat>
          <c:val>
            <c:numRef>
              <c:f>'Core charts'!$B$6:$B$8</c:f>
              <c:numCache>
                <c:formatCode>General</c:formatCode>
                <c:ptCount val="3"/>
                <c:pt idx="0">
                  <c:v>28083000000</c:v>
                </c:pt>
                <c:pt idx="1">
                  <c:v>-9893000000</c:v>
                </c:pt>
                <c:pt idx="2">
                  <c:v>18190000000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6.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How did borrowing and cash change?</a:t>
            </a:r>
          </a:p>
        </c:rich>
      </c:tx>
      <c:overlay val="0"/>
      <c:txPr>
        <a:bodyPr anchorCtr="1"/>
        <a:lstStyle/>
        <a:p>
          <a:pPr>
            <a:defRPr sz="900">
              <a:latin typeface="Arial"/>
              <a:ea typeface="Arial"/>
              <a:cs typeface="Arial"/>
            </a:defRPr>
          </a:pPr>
        </a:p>
      </c:txPr>
    </c:title>
    <c:plotArea>
      <c:barChart>
        <c:barDir val="col"/>
        <c:varyColors val="0"/>
        <c:ser>
          <c:idx val="0"/>
          <c:order val="0"/>
          <c:tx>
            <c:v>Cash and equivalents</c:v>
          </c:tx>
          <c:spPr>
            <a:solidFill>
              <a:srgbClr val="3987E5"/>
            </a:solidFill>
          </c:spPr>
          <c:invertIfNegative val="0"/>
          <c:cat>
            <c:strRef>
              <c:f>'Core charts'!$A$25:$A$26</c:f>
              <c:strCache>
                <c:ptCount val="2"/>
                <c:pt idx="0">
                  <c:v>2025-12-31</c:v>
                </c:pt>
                <c:pt idx="1">
                  <c:v>2026-06-30</c:v>
                </c:pt>
              </c:strCache>
            </c:strRef>
          </c:cat>
          <c:val>
            <c:numRef>
              <c:f>'Core charts'!$B$25:$B$26</c:f>
              <c:numCache>
                <c:formatCode>General</c:formatCode>
                <c:ptCount val="2"/>
                <c:pt idx="0">
                  <c:v>7268000000</c:v>
                </c:pt>
                <c:pt idx="1">
                  <c:v>8950000000</c:v>
                </c:pt>
              </c:numCache>
            </c:numRef>
          </c:val>
        </c:ser>
        <c:ser>
          <c:idx val="1"/>
          <c:order val="1"/>
          <c:tx>
            <c:v>Baseline borrowing</c:v>
          </c:tx>
          <c:spPr>
            <a:solidFill>
              <a:srgbClr val="D95926"/>
            </a:solidFill>
          </c:spPr>
          <c:invertIfNegative val="0"/>
          <c:cat>
            <c:strRef>
              <c:f>'Core charts'!$A$25:$A$26</c:f>
              <c:strCache>
                <c:ptCount val="2"/>
                <c:pt idx="0">
                  <c:v>2025-12-31</c:v>
                </c:pt>
                <c:pt idx="1">
                  <c:v>2026-06-30</c:v>
                </c:pt>
              </c:strCache>
            </c:strRef>
          </c:cat>
          <c:val>
            <c:numRef>
              <c:f>'Core charts'!$C$25:$C$26</c:f>
              <c:numCache>
                <c:formatCode>General</c:formatCode>
                <c:ptCount val="2"/>
                <c:pt idx="0">
                  <c:v>42503000000</c:v>
                </c:pt>
                <c:pt idx="1">
                  <c:v>54908000000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7.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What added to or used cash? January–June 2026</a:t>
            </a:r>
          </a:p>
        </c:rich>
      </c:tx>
      <c:overlay val="0"/>
      <c:txPr>
        <a:bodyPr anchorCtr="1"/>
        <a:lstStyle/>
        <a:p>
          <a:pPr>
            <a:defRPr sz="900">
              <a:latin typeface="Arial"/>
              <a:ea typeface="Arial"/>
              <a:cs typeface="Arial"/>
            </a:defRPr>
          </a:pPr>
        </a:p>
      </c:txPr>
    </c:title>
    <c:plotArea>
      <c:barChart>
        <c:barDir val="col"/>
        <c:varyColors val="0"/>
        <c:ser>
          <c:idx val="0"/>
          <c:order val="0"/>
          <c:tx>
            <c:v>USD millions</c:v>
          </c:tx>
          <c:spPr>
            <a:solidFill>
              <a:srgbClr val="737985"/>
            </a:solidFill>
          </c:spPr>
          <c:invertIfNegative val="0"/>
          <c:cat>
            <c:strRef>
              <c:f>'Repayment review'!$F$28:$F$33</c:f>
              <c:strCache>
                <c:ptCount val="6"/>
                <c:pt idx="0">
                  <c:v>Operating cash flow</c:v>
                </c:pt>
                <c:pt idx="1">
                  <c:v>Cash PP&amp;E spending</c:v>
                </c:pt>
                <c:pt idx="2">
                  <c:v>Acquisitions + purchased IPR&amp;D</c:v>
                </c:pt>
                <c:pt idx="3">
                  <c:v>Dividends + buybacks</c:v>
                </c:pt>
                <c:pt idx="4">
                  <c:v>Net borrowing</c:v>
                </c:pt>
                <c:pt idx="5">
                  <c:v>Other cash flows including FX</c:v>
                </c:pt>
              </c:strCache>
            </c:strRef>
          </c:cat>
          <c:val>
            <c:numRef>
              <c:f>'Repayment review'!$G$28:$G$33</c:f>
              <c:numCache>
                <c:formatCode>General</c:formatCode>
                <c:ptCount val="6"/>
                <c:pt idx="0">
                  <c:v>16023000000</c:v>
                </c:pt>
                <c:pt idx="1">
                  <c:v>-5259000000</c:v>
                </c:pt>
                <c:pt idx="2">
                  <c:v>-13291000000</c:v>
                </c:pt>
                <c:pt idx="3">
                  <c:v>-7051000000</c:v>
                </c:pt>
                <c:pt idx="4">
                  <c:v>12602000000</c:v>
                </c:pt>
                <c:pt idx="5">
                  <c:v>-1342000000</c:v>
                </c:pt>
              </c:numCache>
            </c:numRef>
          </c:val>
        </c:ser>
        <c:axId val="48650112"/>
        <c:axId val="48672768"/>
      </c:barChart>
      <c:catAx>
        <c:axId val="48650112"/>
        <c:scaling>
          <c:orientation val="minMax"/>
        </c:scaling>
        <c:delete val="0"/>
        <c:axPos val="b"/>
        <c:numFmt formatCode="General"/>
        <c:majorTickMark val="none"/>
        <c:minorTickMark val="none"/>
        <c:tickLblPos val="low"/>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 (negative = cash used)</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plotVisOnly val="1"/>
    <c:dispBlanksAs val="gap"/>
  </c:chart>
  <c:spPr>
    <a:l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16</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725f20b2b0496c"/>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23</xdr:row>
      <xdr:rowOff>0</xdr:rowOff>
    </xdr:from>
    <xdr:to>
      <xdr:col>7</xdr:col>
      <xdr:colOff>0</xdr:colOff>
      <xdr:row>40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5cfbf421d94bc0"/>
        </a:graphicData>
      </a:graphic>
    </xdr:graphicFrame>
    <xdr:clientData/>
  </xdr:twoCellAnchor>
  <xdr:twoCellAnchor>
    <xdr:from>
      <xdr:col>0</xdr:col>
      <xdr:colOff>0</xdr:colOff>
      <xdr:row>41</xdr:row>
      <xdr:rowOff>0</xdr:rowOff>
    </xdr:from>
    <xdr:to>
      <xdr:col>7</xdr:col>
      <xdr:colOff>0</xdr:colOff>
      <xdr:row>58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efbf61653a4a76"/>
        </a:graphicData>
      </a:graphic>
    </xdr:graphicFrame>
    <xdr:clientData/>
  </xdr:twoCellAnchor>
  <xdr:twoCellAnchor>
    <xdr:from>
      <xdr:col>0</xdr:col>
      <xdr:colOff>0</xdr:colOff>
      <xdr:row>101</xdr:row>
      <xdr:rowOff>0</xdr:rowOff>
    </xdr:from>
    <xdr:to>
      <xdr:col>7</xdr:col>
      <xdr:colOff>0</xdr:colOff>
      <xdr:row>118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c91e80113d41bd"/>
        </a:graphicData>
      </a:graphic>
    </xdr:graphicFrame>
    <xdr:clientData/>
  </xdr:twoCellAnchor>
</xdr:wsDr>
</file>

<file path=xl/drawings/drawing3.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519839a1f64787"/>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5330289b9544ef"/>
        </a:graphicData>
      </a:graphic>
    </xdr:graphicFrame>
    <xdr:clientData/>
  </xdr:twoCellAnchor>
</xdr:wsDr>
</file>

<file path=xl/drawings/drawing4.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c7daf88355b462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8a3a5c51258d4eb3" /></Relationships>
</file>

<file path=xl/worksheets/_rels/sheet5.xml.rels>&#65279;<?xml version="1.0" encoding="utf-8"?><Relationships xmlns="http://schemas.openxmlformats.org/package/2006/relationships"><Relationship Type="http://schemas.openxmlformats.org/officeDocument/2006/relationships/drawing" Target="/xl/drawings/drawing2.xml" Id="R28c2a66a571b4d79" /></Relationships>
</file>

<file path=xl/worksheets/_rels/sheet6.xml.rels>&#65279;<?xml version="1.0" encoding="utf-8"?><Relationships xmlns="http://schemas.openxmlformats.org/package/2006/relationships"><Relationship Type="http://schemas.openxmlformats.org/officeDocument/2006/relationships/drawing" Target="/xl/drawings/drawing3.xml" Id="R83d7ca54f0894c51" /></Relationships>
</file>

<file path=xl/worksheets/_rels/sheet7.xml.rels>&#65279;<?xml version="1.0" encoding="utf-8"?><Relationships xmlns="http://schemas.openxmlformats.org/package/2006/relationships"><Relationship Type="http://schemas.openxmlformats.org/officeDocument/2006/relationships/drawing" Target="/xl/drawings/drawing4.xml" Id="Rdc5203a8305d41f7" /></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www.sec.gov/Archives/edgar/data/59478/000005947826000081/lly-20260630.htm" TargetMode="External"/><Relationship Id="rIdSource3" Type="http://schemas.openxmlformats.org/officeDocument/2006/relationships/hyperlink" Target="https://www.sec.gov/Archives/edgar/data/59478/000005947826000081/lly-20260630.htm"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www.sec.gov/Archives/edgar/data/59478/000005947826000081/lly-20260630.htm" TargetMode="External"/><Relationship Id="rIdSource6" Type="http://schemas.openxmlformats.org/officeDocument/2006/relationships/hyperlink" Target="https://www.sec.gov/Archives/edgar/data/59478/000005947826000013/lly-20251231.htm" TargetMode="External"/><Relationship Id="rIdSource7" Type="http://schemas.openxmlformats.org/officeDocument/2006/relationships/hyperlink" Target="https://www.sec.gov/Archives/edgar/data/59478/000005947826000081/lly-20260630.htm" TargetMode="External"/><Relationship Id="rIdSource8" Type="http://schemas.openxmlformats.org/officeDocument/2006/relationships/hyperlink" Target="https://www.sec.gov/Archives/edgar/data/59478/000005947826000081/lly-20260630.htm" TargetMode="External"/><Relationship Id="rIdSource9" Type="http://schemas.openxmlformats.org/officeDocument/2006/relationships/hyperlink" Target="https://www.sec.gov/Archives/edgar/data/59478/000005947826000013/lly-20251231.htm" TargetMode="External"/><Relationship Id="rIdSource10" Type="http://schemas.openxmlformats.org/officeDocument/2006/relationships/hyperlink" Target="https://www.sec.gov/Archives/edgar/data/59478/000005947826000081/lly-20260630.htm" TargetMode="External"/><Relationship Id="rIdSource11" Type="http://schemas.openxmlformats.org/officeDocument/2006/relationships/hyperlink" Target="https://www.sec.gov/Archives/edgar/data/59478/000005947826000081/lly-20260630.htm" TargetMode="External"/><Relationship Id="rIdSource12" Type="http://schemas.openxmlformats.org/officeDocument/2006/relationships/hyperlink" Target="https://www.sec.gov/Archives/edgar/data/59478/000005947826000081/lly-20260630.htm" TargetMode="External"/><Relationship Id="rIdSource13" Type="http://schemas.openxmlformats.org/officeDocument/2006/relationships/hyperlink" Target="https://www.sec.gov/Archives/edgar/data/59478/000005947826000081/lly-20260630.htm" TargetMode="External"/><Relationship Id="rIdSource14" Type="http://schemas.openxmlformats.org/officeDocument/2006/relationships/hyperlink" Target="https://www.sec.gov/Archives/edgar/data/59478/000005947826000081/lly-20260630.htm" TargetMode="External"/><Relationship Id="rIdSource15" Type="http://schemas.openxmlformats.org/officeDocument/2006/relationships/hyperlink" Target="https://www.sec.gov/Archives/edgar/data/59478/000005947826000081/lly-20260630.htm" TargetMode="External"/><Relationship Id="rIdSource16" Type="http://schemas.openxmlformats.org/officeDocument/2006/relationships/hyperlink" Target="https://www.sec.gov/Archives/edgar/data/59478/000005947826000081/lly-20260630.htm" TargetMode="External"/><Relationship Id="rIdSource17" Type="http://schemas.openxmlformats.org/officeDocument/2006/relationships/hyperlink" Target="https://www.sec.gov/Archives/edgar/data/59478/000005947826000081/lly-20260630.htm" TargetMode="External"/><Relationship Id="rIdSource18" Type="http://schemas.openxmlformats.org/officeDocument/2006/relationships/hyperlink" Target="https://www.sec.gov/Archives/edgar/data/59478/000005947826000081/lly-20260630.htm" TargetMode="External"/><Relationship Id="rIdSource19" Type="http://schemas.openxmlformats.org/officeDocument/2006/relationships/hyperlink" Target="https://www.sec.gov/Archives/edgar/data/59478/000005947826000081/lly-20260630.htm" TargetMode="External"/><Relationship Id="rIdSource20" Type="http://schemas.openxmlformats.org/officeDocument/2006/relationships/hyperlink" Target="https://www.sec.gov/Archives/edgar/data/59478/000005947826000081/lly-20260630.htm" TargetMode="External"/><Relationship Id="rIdSource21" Type="http://schemas.openxmlformats.org/officeDocument/2006/relationships/hyperlink" Target="https://www.sec.gov/Archives/edgar/data/59478/000005947826000081/lly-20260630.htm" TargetMode="External"/><Relationship Id="rIdSource22" Type="http://schemas.openxmlformats.org/officeDocument/2006/relationships/hyperlink" Target="https://www.sec.gov/Archives/edgar/data/59478/000005947826000081/lly-20260630.htm" TargetMode="External"/><Relationship Id="rIdSource23" Type="http://schemas.openxmlformats.org/officeDocument/2006/relationships/hyperlink" Target="https://www.sec.gov/Archives/edgar/data/59478/000005947826000081/lly-20260630.htm" TargetMode="External"/><Relationship Id="rIdSource24" Type="http://schemas.openxmlformats.org/officeDocument/2006/relationships/hyperlink" Target="https://www.sec.gov/Archives/edgar/data/59478/000005947826000081/lly-20260630.htm" TargetMode="External"/><Relationship Id="rIdSource25" Type="http://schemas.openxmlformats.org/officeDocument/2006/relationships/hyperlink" Target="https://www.sec.gov/Archives/edgar/data/59478/000005947826000081/lly-20260630.htm" TargetMode="External"/><Relationship Id="rIdSource26" Type="http://schemas.openxmlformats.org/officeDocument/2006/relationships/hyperlink" Target="https://www.sec.gov/Archives/edgar/data/59478/000005947826000081/lly-20260630.htm" TargetMode="External"/><Relationship Id="rIdSource27" Type="http://schemas.openxmlformats.org/officeDocument/2006/relationships/hyperlink" Target="https://www.sec.gov/Archives/edgar/data/59478/000005947826000081/lly-20260630.htm" TargetMode="External"/><Relationship Id="rIdSource28" Type="http://schemas.openxmlformats.org/officeDocument/2006/relationships/hyperlink" Target="https://www.sec.gov/Archives/edgar/data/59478/000005947826000081/lly-20260630.htm" TargetMode="External"/><Relationship Id="rIdSource29" Type="http://schemas.openxmlformats.org/officeDocument/2006/relationships/hyperlink" Target="https://www.sec.gov/Archives/edgar/data/59478/000005947826000081/lly-20260630.htm" TargetMode="External"/><Relationship Id="rIdSource30" Type="http://schemas.openxmlformats.org/officeDocument/2006/relationships/hyperlink" Target="https://www.sec.gov/Archives/edgar/data/59478/000005947826000081/lly-20260630.htm" TargetMode="External"/><Relationship Id="rIdSource31" Type="http://schemas.openxmlformats.org/officeDocument/2006/relationships/hyperlink" Target="https://www.sec.gov/Archives/edgar/data/59478/000005947826000081/lly-20260630.htm" TargetMode="External"/><Relationship Id="rIdSource32" Type="http://schemas.openxmlformats.org/officeDocument/2006/relationships/hyperlink" Target="https://www.sec.gov/Archives/edgar/data/59478/000005947826000081/lly-20260630.htm" TargetMode="External"/><Relationship Id="rIdSource33" Type="http://schemas.openxmlformats.org/officeDocument/2006/relationships/hyperlink" Target="https://www.sec.gov/Archives/edgar/data/59478/000005947826000081/lly-20260630.htm" TargetMode="External"/><Relationship Id="rIdSource34" Type="http://schemas.openxmlformats.org/officeDocument/2006/relationships/hyperlink" Target="https://www.sec.gov/Archives/edgar/data/59478/000005947826000081/lly-20260630.htm" TargetMode="External"/><Relationship Id="rIdSource35" Type="http://schemas.openxmlformats.org/officeDocument/2006/relationships/hyperlink" Target="https://www.sec.gov/Archives/edgar/data/59478/000005947826000081/lly-20260630.htm" TargetMode="External"/><Relationship Id="rIdSource36" Type="http://schemas.openxmlformats.org/officeDocument/2006/relationships/hyperlink" Target="https://www.sec.gov/Archives/edgar/data/59478/000005947826000013/lly-20251231.htm" TargetMode="External"/><Relationship Id="rIdSource37" Type="http://schemas.openxmlformats.org/officeDocument/2006/relationships/hyperlink" Target="https://www.sec.gov/Archives/edgar/data/59478/000005947826000013/lly-20251231.htm" TargetMode="External"/><Relationship Id="rIdSource38" Type="http://schemas.openxmlformats.org/officeDocument/2006/relationships/hyperlink" Target="https://www.sec.gov/Archives/edgar/data/59478/000005947826000013/lly-20251231.htm" TargetMode="External"/><Relationship Id="rIdSource39" Type="http://schemas.openxmlformats.org/officeDocument/2006/relationships/hyperlink" Target="https://www.sec.gov/Archives/edgar/data/59478/000005947826000013/lly-20251231.htm" TargetMode="External"/><Relationship Id="rIdSource40" Type="http://schemas.openxmlformats.org/officeDocument/2006/relationships/hyperlink" Target="https://www.sec.gov/Archives/edgar/data/59478/000005947826000013/lly-20251231.htm" TargetMode="External"/><Relationship Id="rIdSource41" Type="http://schemas.openxmlformats.org/officeDocument/2006/relationships/hyperlink" Target="https://www.sec.gov/Archives/edgar/data/59478/000005947826000013/lly-20251231.htm" TargetMode="External"/><Relationship Id="rIdSource42" Type="http://schemas.openxmlformats.org/officeDocument/2006/relationships/hyperlink" Target="https://www.sec.gov/Archives/edgar/data/59478/000005947826000013/lly-20251231.htm" TargetMode="External"/><Relationship Id="rIdSource43" Type="http://schemas.openxmlformats.org/officeDocument/2006/relationships/hyperlink" Target="https://www.sec.gov/Archives/edgar/data/59478/000005947826000013/lly-20251231.htm" TargetMode="External"/><Relationship Id="rIdSource44" Type="http://schemas.openxmlformats.org/officeDocument/2006/relationships/hyperlink" Target="https://www.sec.gov/Archives/edgar/data/59478/000005947826000013/lly-20251231.htm" TargetMode="External"/><Relationship Id="rIdSource45" Type="http://schemas.openxmlformats.org/officeDocument/2006/relationships/hyperlink" Target="https://www.sec.gov/Archives/edgar/data/59478/000005947826000013/lly-20251231.htm" TargetMode="External"/><Relationship Id="rIdSource46" Type="http://schemas.openxmlformats.org/officeDocument/2006/relationships/hyperlink" Target="https://www.sec.gov/Archives/edgar/data/59478/000005947826000013/lly-20251231.htm" TargetMode="External"/><Relationship Id="rIdSource47" Type="http://schemas.openxmlformats.org/officeDocument/2006/relationships/hyperlink" Target="https://www.sec.gov/Archives/edgar/data/59478/000005947826000013/lly-20251231.htm" TargetMode="External"/><Relationship Id="rIdSource48" Type="http://schemas.openxmlformats.org/officeDocument/2006/relationships/hyperlink" Target="https://www.sec.gov/Archives/edgar/data/59478/000005947826000013/lly-20251231.htm" TargetMode="External"/><Relationship Id="rIdSource49" Type="http://schemas.openxmlformats.org/officeDocument/2006/relationships/hyperlink" Target="https://www.sec.gov/Archives/edgar/data/59478/000005947826000013/lly-20251231.htm" TargetMode="External"/><Relationship Id="rIdSource50" Type="http://schemas.openxmlformats.org/officeDocument/2006/relationships/hyperlink" Target="https://www.sec.gov/Archives/edgar/data/59478/000005947826000013/lly-20251231.htm" TargetMode="External"/><Relationship Id="rIdSource51" Type="http://schemas.openxmlformats.org/officeDocument/2006/relationships/hyperlink" Target="https://www.sec.gov/Archives/edgar/data/59478/000005947826000081/lly-20260630.htm" TargetMode="External"/><Relationship Id="rIdSource52" Type="http://schemas.openxmlformats.org/officeDocument/2006/relationships/hyperlink" Target="https://www.sec.gov/Archives/edgar/data/59478/000005947826000081/lly-20260630.htm" TargetMode="External"/><Relationship Id="rIdSource53" Type="http://schemas.openxmlformats.org/officeDocument/2006/relationships/hyperlink" Target="https://www.sec.gov/Archives/edgar/data/59478/000005947826000081/lly-20260630.htm" TargetMode="External"/><Relationship Id="rIdSource54" Type="http://schemas.openxmlformats.org/officeDocument/2006/relationships/hyperlink" Target="https://www.sec.gov/Archives/edgar/data/59478/000005947826000081/lly-20260630.htm" TargetMode="External"/><Relationship Id="rIdSource55" Type="http://schemas.openxmlformats.org/officeDocument/2006/relationships/hyperlink" Target="https://www.sec.gov/Archives/edgar/data/59478/000005947826000081/lly-20260630.htm" TargetMode="External"/><Relationship Id="rIdSource56" Type="http://schemas.openxmlformats.org/officeDocument/2006/relationships/hyperlink" Target="https://www.sec.gov/Archives/edgar/data/59478/000005947826000081/lly-20260630.htm" TargetMode="External"/><Relationship Id="rIdSource57" Type="http://schemas.openxmlformats.org/officeDocument/2006/relationships/hyperlink" Target="https://www.sec.gov/Archives/edgar/data/59478/000005947826000081/lly-20260630.htm" TargetMode="External"/><Relationship Id="rIdSource58" Type="http://schemas.openxmlformats.org/officeDocument/2006/relationships/hyperlink" Target="https://www.sec.gov/Archives/edgar/data/59478/000005947826000081/lly-20260630.htm" TargetMode="External"/><Relationship Id="rIdSource59" Type="http://schemas.openxmlformats.org/officeDocument/2006/relationships/hyperlink" Target="https://www.sec.gov/Archives/edgar/data/59478/000005947826000013/lly-20251231.htm" TargetMode="External"/><Relationship Id="rIdSource60" Type="http://schemas.openxmlformats.org/officeDocument/2006/relationships/hyperlink" Target="https://www.sec.gov/Archives/edgar/data/59478/000005947826000077/q226lillysalesandearningsp.htm" TargetMode="External"/><Relationship Id="rIdSource61" Type="http://schemas.openxmlformats.org/officeDocument/2006/relationships/hyperlink" Target="https://www.sec.gov/Archives/edgar/data/59478/000005947826000013/lly-20251231.htm" TargetMode="External"/><Relationship Id="rIdSource62" Type="http://schemas.openxmlformats.org/officeDocument/2006/relationships/hyperlink" Target="https://www.sec.gov/Archives/edgar/data/59478/000005947826000013/lly-20251231.htm" TargetMode="External"/><Relationship Id="rIdSource63" Type="http://schemas.openxmlformats.org/officeDocument/2006/relationships/hyperlink" Target="https://www.sec.gov/Archives/edgar/data/59478/000005947826000013/lly-20251231.htm" TargetMode="External"/><Relationship Id="rIdSource64" Type="http://schemas.openxmlformats.org/officeDocument/2006/relationships/hyperlink" Target="https://www.sec.gov/Archives/edgar/data/59478/000005947826000013/lly-20251231.htm" TargetMode="External"/><Relationship Id="rIdSource65" Type="http://schemas.openxmlformats.org/officeDocument/2006/relationships/hyperlink" Target="https://www.sec.gov/Archives/edgar/data/59478/000005947826000013/lly-20251231.htm" TargetMode="External"/><Relationship Id="rIdSource66" Type="http://schemas.openxmlformats.org/officeDocument/2006/relationships/hyperlink" Target="https://www.sec.gov/Archives/edgar/data/59478/000005947826000013/lly-20251231.htm" TargetMode="External"/><Relationship Id="rIdSource67" Type="http://schemas.openxmlformats.org/officeDocument/2006/relationships/hyperlink" Target="https://www.sec.gov/Archives/edgar/data/59478/000005947826000013/lly-20251231.htm" TargetMode="External"/><Relationship Id="rIdSource68" Type="http://schemas.openxmlformats.org/officeDocument/2006/relationships/hyperlink" Target="https://www.sec.gov/Archives/edgar/data/59478/000005947826000013/lly-20251231.htm" TargetMode="External"/><Relationship Id="rIdSource69" Type="http://schemas.openxmlformats.org/officeDocument/2006/relationships/hyperlink" Target="https://www.sec.gov/Archives/edgar/data/59478/000005947826000013/lly-20251231.htm" TargetMode="External"/><Relationship Id="rIdSource70" Type="http://schemas.openxmlformats.org/officeDocument/2006/relationships/hyperlink" Target="https://www.sec.gov/Archives/edgar/data/59478/000005947826000081/lly-20260630.htm" TargetMode="External"/><Relationship Id="rIdSource71" Type="http://schemas.openxmlformats.org/officeDocument/2006/relationships/hyperlink" Target="https://www.sec.gov/Archives/edgar/data/59478/000005947826000081/lly-20260630.htm" TargetMode="External"/><Relationship Id="rIdSource72" Type="http://schemas.openxmlformats.org/officeDocument/2006/relationships/hyperlink" Target="https://www.sec.gov/Archives/edgar/data/59478/000005947826000081/lly-20260630.htm" TargetMode="External"/><Relationship Id="rIdSource73" Type="http://schemas.openxmlformats.org/officeDocument/2006/relationships/hyperlink" Target="https://www.sec.gov/Archives/edgar/data/59478/000005947826000081/lly-20260630.htm" TargetMode="External"/><Relationship Id="rIdSource74" Type="http://schemas.openxmlformats.org/officeDocument/2006/relationships/hyperlink" Target="https://www.sec.gov/Archives/edgar/data/59478/000005947826000081/lly-20260630.htm" TargetMode="External"/><Relationship Id="rIdSource75" Type="http://schemas.openxmlformats.org/officeDocument/2006/relationships/hyperlink" Target="https://www.sec.gov/Archives/edgar/data/59478/000005947826000081/lly-20260630.htm" TargetMode="External"/><Relationship Id="rIdSource76" Type="http://schemas.openxmlformats.org/officeDocument/2006/relationships/hyperlink" Target="https://www.sec.gov/Archives/edgar/data/59478/000005947826000081/lly-20260630.htm" TargetMode="External"/><Relationship Id="rIdSource77" Type="http://schemas.openxmlformats.org/officeDocument/2006/relationships/hyperlink" Target="https://www.sec.gov/Archives/edgar/data/59478/000005947826000081/lly-20260630.htm" TargetMode="External"/><Relationship Id="rIdSource78" Type="http://schemas.openxmlformats.org/officeDocument/2006/relationships/hyperlink" Target="https://www.sec.gov/Archives/edgar/data/59478/000005947826000081/lly-20260630.htm" TargetMode="External"/><Relationship Id="rIdSource79" Type="http://schemas.openxmlformats.org/officeDocument/2006/relationships/hyperlink" Target="https://www.sec.gov/Archives/edgar/data/59478/000005947826000081/lly-20260630.htm" TargetMode="External"/><Relationship Id="rIdSource80" Type="http://schemas.openxmlformats.org/officeDocument/2006/relationships/hyperlink" Target="https://www.sec.gov/Archives/edgar/data/59478/000005947826000081/lly-20260630.htm" TargetMode="External"/><Relationship Id="rIdSource81" Type="http://schemas.openxmlformats.org/officeDocument/2006/relationships/hyperlink" Target="https://www.sec.gov/Archives/edgar/data/59478/000005947826000081/lly-20260630.htm" TargetMode="External"/><Relationship Id="rIdSource82" Type="http://schemas.openxmlformats.org/officeDocument/2006/relationships/hyperlink" Target="https://www.sec.gov/Archives/edgar/data/59478/000005947826000081/lly-20260630.htm" TargetMode="External"/><Relationship Id="rIdSource83" Type="http://schemas.openxmlformats.org/officeDocument/2006/relationships/hyperlink" Target="https://www.sec.gov/Archives/edgar/data/59478/000005947826000081/lly-20260630.htm" TargetMode="External"/><Relationship Id="rIdSource84" Type="http://schemas.openxmlformats.org/officeDocument/2006/relationships/hyperlink" Target="https://www.sec.gov/Archives/edgar/data/59478/000005947826000081/lly-20260630.htm" TargetMode="External"/><Relationship Id="rIdSource85" Type="http://schemas.openxmlformats.org/officeDocument/2006/relationships/hyperlink" Target="https://www.sec.gov/Archives/edgar/data/59478/000005947826000081/lly-20260630.htm" TargetMode="External"/><Relationship Id="rIdSource86" Type="http://schemas.openxmlformats.org/officeDocument/2006/relationships/hyperlink" Target="https://www.sec.gov/Archives/edgar/data/59478/000005947826000081/lly-20260630.htm" TargetMode="External"/><Relationship Id="rIdSource87" Type="http://schemas.openxmlformats.org/officeDocument/2006/relationships/hyperlink" Target="https://www.sec.gov/Archives/edgar/data/59478/000005947826000081/lly-20260630.htm" TargetMode="External"/><Relationship Id="rIdSource88" Type="http://schemas.openxmlformats.org/officeDocument/2006/relationships/hyperlink" Target="https://www.sec.gov/Archives/edgar/data/59478/000119312526232707/d148580dex44.htm" TargetMode="External"/><Relationship Id="rIdSource89" Type="http://schemas.openxmlformats.org/officeDocument/2006/relationships/hyperlink" Target="https://www.sec.gov/Archives/edgar/data/59478/000119312526232707/d148580dex44.htm" TargetMode="External"/><Relationship Id="rIdSource90" Type="http://schemas.openxmlformats.org/officeDocument/2006/relationships/hyperlink" Target="https://www.sec.gov/Archives/edgar/data/59478/000119312526232707/d148580dex43.htm" TargetMode="External"/><Relationship Id="rIdSource91" Type="http://schemas.openxmlformats.org/officeDocument/2006/relationships/hyperlink" Target="https://www.sec.gov/Archives/edgar/data/59478/000119312526232707/d148580dex43.htm" TargetMode="External"/><Relationship Id="rIdSource92" Type="http://schemas.openxmlformats.org/officeDocument/2006/relationships/hyperlink" Target="https://www.sec.gov/Archives/edgar/data/59478/000119312526232707/d148580dex43.htm" TargetMode="External"/><Relationship Id="rIdSource93" Type="http://schemas.openxmlformats.org/officeDocument/2006/relationships/hyperlink" Target="https://www.sec.gov/Archives/edgar/data/59478/000119312526232707/d148580dex43.htm" TargetMode="External"/><Relationship Id="rIdSource94" Type="http://schemas.openxmlformats.org/officeDocument/2006/relationships/hyperlink" Target="https://www.sec.gov/Archives/edgar/data/59478/000119312526232707/d148580dex43.htm" TargetMode="External"/><Relationship Id="rIdSource95" Type="http://schemas.openxmlformats.org/officeDocument/2006/relationships/hyperlink" Target="https://www.sec.gov/Archives/edgar/data/59478/000119312526232707/d148580dex43.htm" TargetMode="External"/><Relationship Id="rIdSource96" Type="http://schemas.openxmlformats.org/officeDocument/2006/relationships/hyperlink" Target="https://www.sec.gov/Archives/edgar/data/59478/000119312526232707/d148580d8k.htm" TargetMode="External"/><Relationship Id="rIdSource97" Type="http://schemas.openxmlformats.org/officeDocument/2006/relationships/hyperlink" Target="https://www.sec.gov/Archives/edgar/data/59478/000005947826000081/lly-20260630.htm" TargetMode="External"/><Relationship Id="rIdSource98" Type="http://schemas.openxmlformats.org/officeDocument/2006/relationships/hyperlink" Target="https://www.sec.gov/Archives/edgar/data/59478/000005947826000081/lly-20260630.htm" TargetMode="External"/><Relationship Id="rIdSource99" Type="http://schemas.openxmlformats.org/officeDocument/2006/relationships/hyperlink" Target="https://www.sec.gov/Archives/edgar/data/59478/000005947826000013/lly-20251231.htm" TargetMode="External"/><Relationship Id="rIdSource100" Type="http://schemas.openxmlformats.org/officeDocument/2006/relationships/hyperlink" Target="https://www.sec.gov/Archives/edgar/data/59478/000005947826000081/lly-20260630.htm" TargetMode="External"/><Relationship Id="rIdSource101" Type="http://schemas.openxmlformats.org/officeDocument/2006/relationships/hyperlink" Target="https://www.sec.gov/Archives/edgar/data/59478/000005947826000077/q226lillysalesandearningsp.htm" TargetMode="External"/><Relationship Id="rIdSource102" Type="http://schemas.openxmlformats.org/officeDocument/2006/relationships/hyperlink" Target="https://www.sec.gov/Archives/edgar/data/59478/000005947826000081/lly-20260630.htm" TargetMode="External"/><Relationship Id="rIdSource103" Type="http://schemas.openxmlformats.org/officeDocument/2006/relationships/hyperlink" Target="https://www.sec.gov/Archives/edgar/data/59478/000005947826000013/lly-20251231.htm" TargetMode="External"/><Relationship Id="rIdSource104" Type="http://schemas.openxmlformats.org/officeDocument/2006/relationships/hyperlink" Target="https://www.sec.gov/Archives/edgar/data/59478/000005947826000077/q226lillysalesandearningsp.htm" TargetMode="External"/><Relationship Id="rIdSource105" Type="http://schemas.openxmlformats.org/officeDocument/2006/relationships/hyperlink" Target="https://www.sec.gov/Archives/edgar/data/59478/000005947826000081/lly-20260630.htm" TargetMode="External"/><Relationship Id="rIdSource106" Type="http://schemas.openxmlformats.org/officeDocument/2006/relationships/hyperlink" Target="https://www.sec.gov/Archives/edgar/data/59478/000005947826000013/lly-20251231.htm" TargetMode="External"/><Relationship Id="rIdSource107" Type="http://schemas.openxmlformats.org/officeDocument/2006/relationships/hyperlink" Target="https://www.sec.gov/Archives/edgar/data/59478/000005947826000081/lly-20260630.htm" TargetMode="External"/><Relationship Id="rIdSource108" Type="http://schemas.openxmlformats.org/officeDocument/2006/relationships/hyperlink" Target="https://www.sec.gov/Archives/edgar/data/59478/000005947826000081/lly-20260630.htm" TargetMode="External"/><Relationship Id="rIdSource109" Type="http://schemas.openxmlformats.org/officeDocument/2006/relationships/hyperlink" Target="https://www.sec.gov/Archives/edgar/data/59478/000005947826000081/lly-20260630.htm" TargetMode="External"/><Relationship Id="rIdSource110" Type="http://schemas.openxmlformats.org/officeDocument/2006/relationships/hyperlink" Target="https://www.sec.gov/Archives/edgar/data/59478/000005947826000013/lly-20251231.htm" TargetMode="External"/><Relationship Id="rIdSource111" Type="http://schemas.openxmlformats.org/officeDocument/2006/relationships/hyperlink" Target="https://www.sec.gov/Archives/edgar/data/59478/000005947826000013/lly-20251231.htm" TargetMode="External"/><Relationship Id="rIdSource112" Type="http://schemas.openxmlformats.org/officeDocument/2006/relationships/hyperlink" Target="https://www.sec.gov/Archives/edgar/data/59478/000005947826000081/lly-20260630.htm" TargetMode="External"/><Relationship Id="rIdSource113" Type="http://schemas.openxmlformats.org/officeDocument/2006/relationships/hyperlink" Target="https://www.sec.gov/Archives/edgar/data/59478/000005947826000081/lly-20260630.htm" TargetMode="External"/><Relationship Id="rIdSource114" Type="http://schemas.openxmlformats.org/officeDocument/2006/relationships/hyperlink" Target="https://www.sec.gov/Archives/edgar/data/59478/000005947826000081/lly-20260630.htm" TargetMode="External"/><Relationship Id="rIdSource115" Type="http://schemas.openxmlformats.org/officeDocument/2006/relationships/hyperlink" Target="https://www.sec.gov/Archives/edgar/data/59478/000005947826000081/lly-20260630.htm" TargetMode="External"/><Relationship Id="rIdSource116" Type="http://schemas.openxmlformats.org/officeDocument/2006/relationships/hyperlink" Target="https://www.sec.gov/Archives/edgar/data/59478/000005947826000081/lly-20260630.htm" TargetMode="External"/><Relationship Id="rIdSource117" Type="http://schemas.openxmlformats.org/officeDocument/2006/relationships/hyperlink" Target="https://www.sec.gov/Archives/edgar/data/59478/000005947826000081/lly-20260630.htm" TargetMode="External"/><Relationship Id="rIdSource118" Type="http://schemas.openxmlformats.org/officeDocument/2006/relationships/hyperlink" Target="https://www.sec.gov/Archives/edgar/data/59478/000005947826000013/lly-20251231.htm" TargetMode="External"/><Relationship Id="rIdSource119" Type="http://schemas.openxmlformats.org/officeDocument/2006/relationships/hyperlink" Target="https://www.sec.gov/Archives/edgar/data/59478/000005947826000013/lly-20251231.htm" TargetMode="External"/><Relationship Id="rIdSource120" Type="http://schemas.openxmlformats.org/officeDocument/2006/relationships/hyperlink" Target="https://www.sec.gov/Archives/edgar/data/59478/000005947826000013/lly-20251231.htm" TargetMode="External"/><Relationship Id="rIdSource121" Type="http://schemas.openxmlformats.org/officeDocument/2006/relationships/hyperlink" Target="https://www.sec.gov/Archives/edgar/data/59478/000005947826000013/lly-20251231.htm" TargetMode="External"/><Relationship Id="rIdSource122" Type="http://schemas.openxmlformats.org/officeDocument/2006/relationships/hyperlink" Target="https://www.sec.gov/Archives/edgar/data/59478/000005947826000013/lly-20251231.htm" TargetMode="External"/><Relationship Id="rIdSource123" Type="http://schemas.openxmlformats.org/officeDocument/2006/relationships/hyperlink" Target="https://www.sec.gov/Archives/edgar/data/59478/000005947826000013/lly-20251231.htm" TargetMode="External"/><Relationship Id="rIdSource124" Type="http://schemas.openxmlformats.org/officeDocument/2006/relationships/hyperlink" Target="https://www.sec.gov/Archives/edgar/data/59478/000005947826000013/lly-20251231.htm" TargetMode="External"/><Relationship Id="rIdSource125" Type="http://schemas.openxmlformats.org/officeDocument/2006/relationships/hyperlink" Target="https://www.sec.gov/Archives/edgar/data/59478/000005947822000068/lly-20211231.htm" TargetMode="External"/><Relationship Id="rIdSource126" Type="http://schemas.openxmlformats.org/officeDocument/2006/relationships/hyperlink" Target="https://www.sec.gov/Archives/edgar/data/59478/000005947823000082/lly-20221231.htm" TargetMode="External"/><Relationship Id="rIdSource127" Type="http://schemas.openxmlformats.org/officeDocument/2006/relationships/hyperlink" Target="https://www.sec.gov/Archives/edgar/data/59478/000005947824000065/lly-20231231.htm" TargetMode="External"/><Relationship Id="rIdSource128" Type="http://schemas.openxmlformats.org/officeDocument/2006/relationships/hyperlink" Target="https://www.sec.gov/Archives/edgar/data/59478/000005947825000067/lly-20241231.htm" TargetMode="External"/><Relationship Id="rIdSource129" Type="http://schemas.openxmlformats.org/officeDocument/2006/relationships/hyperlink" Target="https://www.sec.gov/Archives/edgar/data/59478/000005947826000013/lly-20251231.htm" TargetMode="External"/><Relationship Id="rIdSource130" Type="http://schemas.openxmlformats.org/officeDocument/2006/relationships/hyperlink" Target="https://www.sec.gov/Archives/edgar/data/59478/000005947822000068/lly-20211231.htm" TargetMode="External"/><Relationship Id="rIdSource131" Type="http://schemas.openxmlformats.org/officeDocument/2006/relationships/hyperlink" Target="https://www.sec.gov/Archives/edgar/data/59478/000005947822000068/lly-20211231.htm" TargetMode="External"/><Relationship Id="rIdSource132" Type="http://schemas.openxmlformats.org/officeDocument/2006/relationships/hyperlink" Target="https://www.sec.gov/Archives/edgar/data/59478/000005947823000082/lly-20221231.htm" TargetMode="External"/><Relationship Id="rIdSource133" Type="http://schemas.openxmlformats.org/officeDocument/2006/relationships/hyperlink" Target="https://www.sec.gov/Archives/edgar/data/59478/000005947823000082/lly-20221231.htm" TargetMode="External"/><Relationship Id="rIdSource134" Type="http://schemas.openxmlformats.org/officeDocument/2006/relationships/hyperlink" Target="https://www.sec.gov/Archives/edgar/data/59478/000005947824000065/lly-20231231.htm" TargetMode="External"/><Relationship Id="rIdSource135" Type="http://schemas.openxmlformats.org/officeDocument/2006/relationships/hyperlink" Target="https://www.sec.gov/Archives/edgar/data/59478/000005947824000065/lly-20231231.htm" TargetMode="External"/><Relationship Id="rIdSource136" Type="http://schemas.openxmlformats.org/officeDocument/2006/relationships/hyperlink" Target="https://www.sec.gov/Archives/edgar/data/59478/000005947825000067/lly-20241231.htm" TargetMode="External"/><Relationship Id="rIdSource137" Type="http://schemas.openxmlformats.org/officeDocument/2006/relationships/hyperlink" Target="https://www.sec.gov/Archives/edgar/data/59478/000005947825000067/lly-20241231.htm" TargetMode="External"/><Relationship Id="rIdSource138" Type="http://schemas.openxmlformats.org/officeDocument/2006/relationships/hyperlink" Target="https://www.sec.gov/Archives/edgar/data/59478/000005947826000013/lly-20251231.htm" TargetMode="External"/><Relationship Id="rIdSource139" Type="http://schemas.openxmlformats.org/officeDocument/2006/relationships/hyperlink" Target="https://www.sec.gov/Archives/edgar/data/59478/000005947826000013/lly-20251231.htm" TargetMode="External"/><Relationship Id="rIdSource140" Type="http://schemas.openxmlformats.org/officeDocument/2006/relationships/hyperlink" Target="https://www.sec.gov/Archives/edgar/data/59478/000005947824000065/lly-20231231.htm" TargetMode="External"/><Relationship Id="rIdSource141" Type="http://schemas.openxmlformats.org/officeDocument/2006/relationships/hyperlink" Target="https://www.sec.gov/Archives/edgar/data/59478/000005947824000065/lly-20231231.htm" TargetMode="External"/><Relationship Id="rIdSource142" Type="http://schemas.openxmlformats.org/officeDocument/2006/relationships/hyperlink" Target="https://www.sec.gov/Archives/edgar/data/59478/000005947824000065/lly-20231231.htm" TargetMode="External"/><Relationship Id="rIdSource143" Type="http://schemas.openxmlformats.org/officeDocument/2006/relationships/hyperlink" Target="https://www.sec.gov/Archives/edgar/data/59478/000005947825000067/lly-20241231.htm" TargetMode="External"/><Relationship Id="rIdSource144" Type="http://schemas.openxmlformats.org/officeDocument/2006/relationships/hyperlink" Target="https://www.sec.gov/Archives/edgar/data/59478/000005947826000013/lly-20251231.htm" TargetMode="External"/><Relationship Id="rIdSource145" Type="http://schemas.openxmlformats.org/officeDocument/2006/relationships/hyperlink" Target="https://www.sec.gov/Archives/edgar/data/59478/000005947824000065/lly-20231231.htm" TargetMode="External"/><Relationship Id="rIdSource146" Type="http://schemas.openxmlformats.org/officeDocument/2006/relationships/hyperlink" Target="https://www.sec.gov/Archives/edgar/data/59478/000005947824000065/lly-20231231.htm" TargetMode="External"/><Relationship Id="rIdSource147" Type="http://schemas.openxmlformats.org/officeDocument/2006/relationships/hyperlink" Target="https://www.sec.gov/Archives/edgar/data/59478/000005947824000065/lly-20231231.htm" TargetMode="External"/><Relationship Id="rIdSource148" Type="http://schemas.openxmlformats.org/officeDocument/2006/relationships/hyperlink" Target="https://www.sec.gov/Archives/edgar/data/59478/000005947825000067/lly-20241231.htm" TargetMode="External"/><Relationship Id="rIdSource149" Type="http://schemas.openxmlformats.org/officeDocument/2006/relationships/hyperlink" Target="https://www.sec.gov/Archives/edgar/data/59478/000005947826000013/lly-20251231.htm" TargetMode="External"/></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github.com/jackconnolly1000-ux/sec-filing-research-terminal/blob/main/docs/pilot_cashflow_reconciliation.md" TargetMode="External"/><Relationship Id="rIdSource3" Type="http://schemas.openxmlformats.org/officeDocument/2006/relationships/hyperlink" Target="https://github.com/jackconnolly1000-ux/sec-filing-research-terminal/blob/main/docs/pilot_evidence_lly.md"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github.com/jackconnolly1000-ux/sec-filing-research-terminal/blob/main/docs/lly_liquidity_review.md" TargetMode="External"/><Relationship Id="rIdSource6" Type="http://schemas.openxmlformats.org/officeDocument/2006/relationships/hyperlink" Target="https://www.sec.gov/Archives/edgar/data/59478/000005947826000077/q226lillysalesandearningsp.htm" TargetMode="External"/><Relationship Id="rIdSource7" Type="http://schemas.openxmlformats.org/officeDocument/2006/relationships/hyperlink" Target="https://data.sec.gov/submissions/CIK0000059478.json" TargetMode="External"/><Relationship Id="rIdSource8" Type="http://schemas.openxmlformats.org/officeDocument/2006/relationships/hyperlink" Target="https://github.com/jackconnolly1000-ux/sec-filing-research-terminal/blob/main/docs/lly_financing_audit.md" TargetMode="External"/><Relationship Id="rIdSource9" Type="http://schemas.openxmlformats.org/officeDocument/2006/relationships/hyperlink" Target="https://github.com/jackconnolly1000-ux/sec-filing-research-terminal/blob/main/docs/lly_interest_coverage.md" TargetMode="External"/><Relationship Id="rIdSource10" Type="http://schemas.openxmlformats.org/officeDocument/2006/relationships/hyperlink" Target="https://github.com/jackconnolly1000-ux/sec-filing-research-terminal/blob/main/docs/ratio_reconciliation.md" TargetMode="External"/><Relationship Id="rIdSource11" Type="http://schemas.openxmlformats.org/officeDocument/2006/relationships/hyperlink" Target="https://github.com/jackconnolly1000-ux/sec-filing-research-terminal/blob/main/docs/borrowing_lease_presentation.md" TargetMode="External"/><Relationship Id="rIdSource12" Type="http://schemas.openxmlformats.org/officeDocument/2006/relationships/hyperlink" Target="https://github.com/jackconnolly1000-ux/sec-filing-research-terminal/blob/main/docs/company_history.md" TargetMode="External"/><Relationship Id="rIdSource13" Type="http://schemas.openxmlformats.org/officeDocument/2006/relationships/hyperlink" Target="https://github.com/jackconnolly1000-ux/sec-filing-research-terminal/blob/main/docs/annual_history.md" TargetMode="External"/><Relationship Id="rIdSource14" Type="http://schemas.openxmlformats.org/officeDocument/2006/relationships/hyperlink" Target="https://github.com/jackconnolly1000-ux/sec-filing-research-terminal/blob/main/docs/annual_history.md" TargetMode="External"/><Relationship Id="rIdSource15" Type="http://schemas.openxmlformats.org/officeDocument/2006/relationships/hyperlink" Target="https://github.com/jackconnolly1000-ux/sec-filing-research-terminal/blob/main/docs/core_charts.md" TargetMode="External"/><Relationship Id="rIdSource1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19">
      <x:c r="A19" s="1"/>
      <x:c r="B19" s="1"/>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Annual history</x:v>
      </x:c>
      <x:c r="B25" s="16" t="str">
        <x:v>Five completed fiscal years, sourced inputs and FCF formulas; annual history is separate from the latest TTM.</x:v>
      </x:c>
    </x:row>
    <x:row r="26" ht="44" customHeight="1">
      <x:c r="A26" s="15" t="str">
        <x:v>Core charts</x:v>
      </x:c>
      <x:c r="B26" s="16" t="str">
        <x:v>What remained after capital spending, and how checked cash/borrowing balances changed.</x:v>
      </x:c>
    </x:row>
    <x:row r="27" ht="44" customHeight="1">
      <x:c r="A27" s="15" t="str">
        <x:v>Repayment review</x:v>
      </x:c>
      <x:c r="B27" s="16" t="str">
        <x:v>H1 cash uses, conditional commitments, credit evidence and selected May issuance maturities.</x:v>
      </x:c>
    </x:row>
    <x:row r="28" ht="44" customHeight="1">
      <x:c r="A28" s="15" t="str">
        <x:v>Data</x:v>
      </x:c>
      <x:c r="B28" s="16" t="str">
        <x:v>Reported inputs with filing dates, accessions, tags, contexts and source URLs; separate evidence blocks.</x:v>
      </x:c>
    </x:row>
    <x:row r="29" ht="44" customHeight="1">
      <x:c r="A29" s="17" t="str">
        <x:v>About</x:v>
      </x:c>
      <x:c r="B29" s="18" t="str">
        <x:v>Definitions, source scope, missing values, colors and methodology references.</x:v>
      </x:c>
    </x:row>
    <x:row r="30">
      <x:c r="A30" s="1"/>
      <x:c r="B30" s="1"/>
    </x:row>
    <x:row r="31" ht="55" customHeight="1">
      <x:c r="A31" s="72" t="str">
        <x:v>Units and dates</x:v>
      </x:c>
      <x:c r="B31" s="74" t="str">
        <x:v>Amounts are stored as whole USD and displayed in millions unless marked x or %. Balance sheets are instants; FY and later TTM are overlapping twelve-month windows.</x:v>
      </x:c>
    </x:row>
    <x:row r="32" ht="55" customHeight="1">
      <x:c r="A32" s="25" t="str">
        <x:v>Colors</x:v>
      </x:c>
      <x:c r="B32" s="16" t="str">
        <x:v>Blue numeric cells are reported inputs; green formulas reference other sheets; black formulas calculate within a sheet. Green does not mean favorable or recurring cash.</x:v>
      </x:c>
    </x:row>
    <x:row r="33" ht="55" customHeight="1">
      <x:c r="A33" s="25" t="str">
        <x:v>Evidence and uncertainty</x:v>
      </x:c>
      <x:c r="B33" s="16" t="str">
        <x:v>Data contains source URLs and filing metadata. Select a source URL to open it in a browser. Unavailable is never zero; capacity and later events do not update balance-sheet cash or borrowing.</x:v>
      </x:c>
    </x:row>
    <x:row r="34" ht="55" customHeight="1">
      <x:c r="A34" s="26" t="str">
        <x:v>Reading the charts</x:v>
      </x:c>
      <x:c r="B34" s="18" t="str">
        <x:v>FCF is OCF less capital spending, not another cash flow to add. Vistra FY2025 borrowing uses its checked annual presentation.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c r="F1" s="1"/>
      <x:c r="G1" s="1"/>
      <x:c r="H1" s="1"/>
      <x:c r="I1" s="1"/>
    </x:row>
    <x:row r="2" ht="25" customHeight="1">
      <x:c r="A2" s="7" t="str">
        <x:v>Eli Lilly and Company borrowing and leases</x:v>
      </x:c>
      <x:c r="B2" s="4"/>
      <x:c r="C2" s="4"/>
      <x:c r="D2" s="4"/>
      <x:c r="E2" s="4"/>
      <x:c r="F2" s="1"/>
      <x:c r="G2" s="1"/>
      <x:c r="H2" s="1"/>
      <x:c r="I2" s="1"/>
    </x:row>
    <x:row r="3" ht="25" customHeight="1">
      <x:c r="A3" s="8" t="str">
        <x:v>Amounts in USD millions. Each balance retains its own date. Baseline borrowing excludes leases.</x:v>
      </x:c>
      <x:c r="B3" s="4"/>
      <x:c r="C3" s="4"/>
      <x:c r="D3" s="4"/>
      <x:c r="E3" s="4"/>
      <x:c r="F3" s="1"/>
      <x:c r="G3" s="1"/>
      <x:c r="H3" s="1"/>
      <x:c r="I3" s="1"/>
    </x:row>
    <x:row r="4" ht="12" customHeight="1">
      <x:c r="A4" s="4"/>
      <x:c r="B4" s="4"/>
      <x:c r="C4" s="4"/>
      <x:c r="D4" s="4"/>
      <x:c r="E4" s="4"/>
      <x:c r="F4" s="1"/>
      <x:c r="G4" s="1"/>
      <x:c r="H4" s="1"/>
      <x:c r="I4" s="1"/>
    </x:row>
    <x:row r="5" ht="28" customHeight="1">
      <x:c r="A5" s="13" t="str">
        <x:v>Borrowing component</x:v>
      </x:c>
      <x:c r="B5" s="96" t="str">
        <x:v>USD millions</x:v>
      </x:c>
      <x:c r="C5" s="96" t="str">
        <x:v>As of</x:v>
      </x:c>
      <x:c r="D5" s="96" t="str">
        <x:v>Source / filing</x:v>
      </x:c>
      <x:c r="E5" s="14" t="str">
        <x:v>Basis</x:v>
      </x:c>
      <x:c r="F5" s="1"/>
      <x:c r="G5" s="1"/>
      <x:c r="H5" s="1"/>
      <x:c r="I5" s="1"/>
    </x:row>
    <x:row r="6" ht="42" customHeight="1">
      <x:c r="A6" s="25" t="str">
        <x:v>Current borrowing — short-term debt and current maturities</x:v>
      </x:c>
      <x:c r="B6" s="125" t="n">
        <x:f>IF(ISNUMBER('Data'!B120),'Data'!B120,NA())</x:f>
        <x:v>7050000000</x:v>
      </x:c>
      <x:c r="C6" s="76" t="d">
        <x:v>2026-06-30T00:00:00.000Z</x:v>
      </x:c>
      <x:c r="D6" s="107" t="str">
        <x:v>10-Q balance sheet, p. 7; filed 2026-08-05</x:v>
      </x:c>
      <x:c r="E6" s="16" t="str">
        <x:v>Short-term borrowings and current maturities of long-term debt</x:v>
      </x:c>
      <x:c r="F6" s="1"/>
      <x:c r="G6" s="1"/>
      <x:c r="H6" s="1"/>
      <x:c r="I6" s="1"/>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c r="F7" s="1"/>
      <x:c r="G7" s="1"/>
      <x:c r="H7" s="1"/>
      <x:c r="I7" s="1"/>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c r="F8" s="1"/>
      <x:c r="G8" s="1"/>
      <x:c r="H8" s="1"/>
      <x:c r="I8" s="1"/>
    </x:row>
    <x:row r="9" ht="12" customHeight="1">
      <x:c r="A9" s="4"/>
      <x:c r="B9" s="55"/>
      <x:c r="C9" s="56"/>
      <x:c r="D9" s="4"/>
      <x:c r="E9" s="4"/>
      <x:c r="F9" s="1"/>
      <x:c r="G9" s="1"/>
      <x:c r="H9" s="1"/>
      <x:c r="I9" s="1"/>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c r="F10" s="1"/>
      <x:c r="G10" s="1"/>
      <x:c r="H10" s="1"/>
      <x:c r="I10" s="1"/>
    </x:row>
    <x:row r="11" ht="12" customHeight="1">
      <x:c r="A11" s="4"/>
      <x:c r="B11" s="55"/>
      <x:c r="C11" s="56"/>
      <x:c r="D11" s="4"/>
      <x:c r="E11" s="4"/>
      <x:c r="F11" s="1"/>
      <x:c r="G11" s="1"/>
      <x:c r="H11" s="1"/>
      <x:c r="I11" s="1"/>
    </x:row>
    <x:row r="12" ht="12" customHeight="1">
      <x:c r="A12" s="4"/>
      <x:c r="B12" s="55"/>
      <x:c r="C12" s="56"/>
      <x:c r="D12" s="4"/>
      <x:c r="E12" s="4"/>
      <x:c r="F12" s="1"/>
      <x:c r="G12" s="1"/>
      <x:c r="H12" s="1"/>
      <x:c r="I12" s="1"/>
    </x:row>
    <x:row r="13" ht="28" customHeight="1">
      <x:c r="A13" s="13" t="str">
        <x:v>Lease liability / commitment</x:v>
      </x:c>
      <x:c r="B13" s="128" t="str">
        <x:v>USD millions</x:v>
      </x:c>
      <x:c r="C13" s="185" t="str">
        <x:v>As of</x:v>
      </x:c>
      <x:c r="D13" s="96" t="str">
        <x:v>Source / filing</x:v>
      </x:c>
      <x:c r="E13" s="14" t="str">
        <x:v>Basis / Unavailable reason</x:v>
      </x:c>
      <x:c r="F13" s="1"/>
      <x:c r="G13" s="1"/>
      <x:c r="H13" s="1"/>
      <x:c r="I13" s="1"/>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c r="F14" s="1"/>
      <x:c r="G14" s="1"/>
      <x:c r="H14" s="1"/>
      <x:c r="I14" s="1"/>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c r="F15" s="1"/>
      <x:c r="G15" s="1"/>
      <x:c r="H15" s="1"/>
      <x:c r="I15" s="1"/>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c r="F16" s="1"/>
      <x:c r="G16" s="1"/>
      <x:c r="H16" s="1"/>
      <x:c r="I16" s="1"/>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c r="F17" s="1"/>
      <x:c r="G17" s="1"/>
      <x:c r="H17" s="1"/>
      <x:c r="I17" s="1"/>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c r="F18" s="1"/>
      <x:c r="G18" s="1"/>
      <x:c r="H18" s="1"/>
      <x:c r="I18" s="1"/>
    </x:row>
    <x:row r="19" ht="12" customHeight="1">
      <x:c r="A19" s="4"/>
      <x:c r="B19" s="55"/>
      <x:c r="C19" s="56"/>
      <x:c r="D19" s="4"/>
      <x:c r="E19" s="4"/>
      <x:c r="F19" s="1"/>
      <x:c r="G19" s="1"/>
      <x:c r="H19" s="1"/>
      <x:c r="I19" s="1"/>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c r="F20" s="1"/>
      <x:c r="G20" s="1"/>
      <x:c r="H20" s="1"/>
      <x:c r="I20" s="1"/>
    </x:row>
    <x:row r="21">
      <x:c r="A21" s="1"/>
      <x:c r="B21" s="1"/>
      <x:c r="C21" s="1"/>
      <x:c r="D21" s="1"/>
      <x:c r="E21" s="1"/>
      <x:c r="F21" s="1"/>
      <x:c r="G21" s="1"/>
      <x:c r="H21" s="1"/>
      <x:c r="I21" s="1"/>
    </x:row>
    <x:row r="22">
      <x:c r="A22" s="1"/>
      <x:c r="B22" s="1"/>
      <x:c r="C22" s="1"/>
      <x:c r="D22" s="1"/>
      <x:c r="E22" s="1"/>
      <x:c r="F22" s="1"/>
      <x:c r="G22" s="1"/>
      <x:c r="H22" s="1"/>
      <x:c r="I22" s="1"/>
    </x:row>
    <x:row r="23">
      <x:c r="A23" s="1"/>
      <x:c r="B23" s="1"/>
      <x:c r="C23" s="1"/>
      <x:c r="D23" s="1"/>
      <x:c r="E23" s="1"/>
      <x:c r="F23" s="1"/>
      <x:c r="G23" s="1"/>
      <x:c r="H23" s="1"/>
      <x:c r="I23" s="1"/>
    </x:row>
    <x:row r="24">
      <x:c r="A24" s="1"/>
      <x:c r="B24" s="1"/>
      <x:c r="C24" s="1"/>
      <x:c r="D24" s="1"/>
      <x:c r="E24" s="1"/>
      <x:c r="F24" s="1"/>
      <x:c r="G24" s="1"/>
      <x:c r="H24" s="1"/>
      <x:c r="I24" s="1"/>
    </x:row>
    <x:row r="25">
      <x:c r="A25" s="1"/>
      <x:c r="B25" s="1"/>
      <x:c r="C25" s="1"/>
      <x:c r="D25" s="1"/>
      <x:c r="E25" s="1"/>
      <x:c r="F25" s="1"/>
      <x:c r="G25" s="1"/>
      <x:c r="H25" s="1"/>
      <x:c r="I25" s="1"/>
    </x:row>
    <x:row r="26">
      <x:c r="A26" s="1"/>
      <x:c r="B26" s="1"/>
      <x:c r="C26" s="1"/>
      <x:c r="D26" s="1"/>
      <x:c r="E26" s="1"/>
      <x:c r="F26" s="1"/>
      <x:c r="G26" s="1"/>
      <x:c r="H26" s="1"/>
      <x:c r="I26" s="1"/>
    </x:row>
    <x:row r="27" ht="44" customHeight="1">
      <x:c r="A27" s="5" t="str">
        <x:v>Short-term funding structure — included in baseline borrowing</x:v>
      </x:c>
      <x:c r="B27" s="4"/>
      <x:c r="C27" s="4"/>
      <x:c r="D27" s="4"/>
      <x:c r="E27" s="4"/>
      <x:c r="F27" s="1"/>
      <x:c r="G27" s="1"/>
      <x:c r="H27" s="1"/>
      <x:c r="I27" s="1"/>
    </x:row>
    <x:row r="28" ht="44" customHeight="1">
      <x:c r="A28" s="13" t="str">
        <x:v>Item</x:v>
      </x:c>
      <x:c r="B28" s="96" t="str">
        <x:v>USD millions</x:v>
      </x:c>
      <x:c r="C28" s="96" t="str">
        <x:v>As of</x:v>
      </x:c>
      <x:c r="D28" s="96" t="str">
        <x:v>Status</x:v>
      </x:c>
      <x:c r="E28" s="14" t="str">
        <x:v>Basis / source</x:v>
      </x:c>
      <x:c r="F28" s="1"/>
      <x:c r="G28" s="1"/>
      <x:c r="H28" s="1"/>
      <x:c r="I28" s="1"/>
    </x:row>
    <x:row r="29" ht="44" customHeight="1">
      <x:c r="A29" s="25" t="str">
        <x:v>Commercial paper, carrying value</x:v>
      </x:c>
      <x:c r="B29" s="125" t="n">
        <x:f>IF(ISNUMBER('Data'!B127),'Data'!B127,NA())</x:f>
        <x:v>5284000000</x:v>
      </x:c>
      <x:c r="C29" s="76" t="d">
        <x:v>2026-06-30T00:00:00.000Z</x:v>
      </x:c>
      <x:c r="D29" s="107" t="str">
        <x:v>Reported</x:v>
      </x:c>
      <x:c r="E29" s="16" t="str">
        <x:v>Included in current borrowing; not added again.</x:v>
      </x:c>
      <x:c r="F29" s="1"/>
      <x:c r="G29" s="1"/>
      <x:c r="H29" s="1"/>
      <x:c r="I29" s="1"/>
    </x:row>
    <x:row r="30" ht="44" customHeight="1">
      <x:c r="A30" s="25" t="str">
        <x:v>Current long-term borrowing</x:v>
      </x:c>
      <x:c r="B30" s="125" t="n">
        <x:f>B6-B29</x:f>
        <x:v>1766000000</x:v>
      </x:c>
      <x:c r="C30" s="76" t="d">
        <x:v>2026-06-30T00:00:00.000Z</x:v>
      </x:c>
      <x:c r="D30" s="107" t="str">
        <x:v>Derived</x:v>
      </x:c>
      <x:c r="E30" s="16" t="str">
        <x:v>7,050M current borrowing less 5,284M commercial paper; carrying amount, not dated principal.</x:v>
      </x:c>
      <x:c r="F30" s="1"/>
      <x:c r="G30" s="1"/>
      <x:c r="H30" s="1"/>
      <x:c r="I30" s="1"/>
    </x:row>
    <x:row r="31" ht="44" customHeight="1">
      <x:c r="A31" s="25" t="str">
        <x:v>Current borrowing total</x:v>
      </x:c>
      <x:c r="B31" s="125" t="n">
        <x:f>IF(ISNUMBER('Data'!B128),'Data'!B128,NA())</x:f>
        <x:v>7050000000</x:v>
      </x:c>
      <x:c r="C31" s="76" t="d">
        <x:v>2026-06-30T00:00:00.000Z</x:v>
      </x:c>
      <x:c r="D31" s="107" t="str">
        <x:v>Reported</x:v>
      </x:c>
      <x:c r="E31" s="16" t="str">
        <x:v>Breakdown above reconciles to the existing balance-sheet line.</x:v>
      </x:c>
      <x:c r="F31" s="1"/>
      <x:c r="G31" s="1"/>
      <x:c r="H31" s="1"/>
      <x:c r="I31" s="1"/>
    </x:row>
    <x:row r="32" ht="44" customHeight="1">
      <x:c r="A32" s="26"/>
      <x:c r="B32" s="129"/>
      <x:c r="C32" s="80"/>
      <x:c r="D32" s="109"/>
      <x:c r="E32" s="18"/>
      <x:c r="F32" s="1"/>
      <x:c r="G32" s="1"/>
      <x:c r="H32" s="1"/>
      <x:c r="I32" s="1"/>
    </x:row>
    <x:row r="33" ht="44" customHeight="1">
      <x:c r="A33" s="4"/>
      <x:c r="B33" s="4"/>
      <x:c r="C33" s="4"/>
      <x:c r="D33" s="4"/>
      <x:c r="E33" s="4"/>
      <x:c r="F33" s="1"/>
      <x:c r="G33" s="1"/>
      <x:c r="H33" s="1"/>
      <x:c r="I33" s="1"/>
    </x:row>
    <x:row r="34" ht="200" customHeight="1">
      <x:c r="A34" s="4" t="str">
        <x:v>Funding structure</x:v>
      </x:c>
      <x:c r="B34" s="4"/>
      <x:c r="C34" s="4"/>
      <x:c r="D34" s="4"/>
      <x:c r="E34" s="4" t="str">
        <x:v>Current borrowing is not missing. At June 30, 2026, Lilly reported $7.050B of short-term borrowings and current maturities combined. Its carrying-value disclosure identifies $5.284B of commercial paper; $1.766B is derived current long-term borrowing, not a separately reported principal-payment schedule. Both are already included in $54.908B baseline borrowing. June unused commitments of $10.1B are separate from debt; $10B supports CP and is not an independent additional funding pool. Post-expiry drawable capacity remains Unavailable.</x:v>
      </x:c>
      <x:c r="F34" s="1"/>
      <x:c r="G34" s="1"/>
      <x:c r="H34" s="1"/>
      <x:c r="I34" s="1"/>
    </x:row>
    <x:row r="35" ht="44" customHeight="1">
      <x:c r="A35" s="4"/>
      <x:c r="B35" s="4"/>
      <x:c r="C35" s="4"/>
      <x:c r="D35" s="4"/>
      <x:c r="E35" s="4"/>
      <x:c r="F35" s="1"/>
      <x:c r="G35" s="1"/>
      <x:c r="H35" s="1"/>
      <x:c r="I35" s="1"/>
    </x:row>
    <x:row r="36" ht="44" customHeight="1">
      <x:c r="A36" s="4"/>
      <x:c r="B36" s="4"/>
      <x:c r="C36" s="4"/>
      <x:c r="D36" s="4"/>
      <x:c r="E36" s="4"/>
      <x:c r="F36" s="1"/>
      <x:c r="G36" s="1"/>
      <x:c r="H36" s="1"/>
      <x:c r="I36" s="1"/>
    </x:row>
    <x:row r="37" ht="44" customHeight="1">
      <x:c r="A37" s="4"/>
      <x:c r="B37" s="4"/>
      <x:c r="C37" s="4"/>
      <x:c r="D37" s="4"/>
      <x:c r="E37" s="4"/>
      <x:c r="F37" s="1"/>
      <x:c r="G37" s="1"/>
      <x:c r="H37" s="1"/>
      <x:c r="I37" s="1"/>
    </x:row>
    <x:row r="38" ht="44" customHeight="1">
      <x:c r="A38" s="4"/>
      <x:c r="B38" s="4"/>
      <x:c r="C38" s="4"/>
      <x:c r="D38" s="4"/>
      <x:c r="E38" s="4"/>
      <x:c r="F38" s="1"/>
      <x:c r="G38" s="1"/>
      <x:c r="H38" s="1"/>
      <x:c r="I38" s="1"/>
    </x:row>
    <x:row r="39" ht="44" customHeight="1">
      <x:c r="A39" s="4"/>
      <x:c r="B39" s="4"/>
      <x:c r="C39" s="4"/>
      <x:c r="D39" s="4"/>
      <x:c r="E39" s="4"/>
      <x:c r="F39" s="1"/>
      <x:c r="G39" s="1"/>
      <x:c r="H39" s="1"/>
      <x:c r="I39" s="1"/>
    </x:row>
    <x:row r="40" ht="44" customHeight="1">
      <x:c r="A40" s="4"/>
      <x:c r="B40" s="4"/>
      <x:c r="C40" s="4"/>
      <x:c r="D40" s="4"/>
      <x:c r="E40" s="4"/>
      <x:c r="F40" s="1"/>
      <x:c r="G40" s="1"/>
      <x:c r="H40" s="1"/>
      <x:c r="I40" s="1"/>
    </x:row>
    <x:row r="41" ht="44" customHeight="1">
      <x:c r="A41" s="4"/>
      <x:c r="B41" s="4"/>
      <x:c r="C41" s="4"/>
      <x:c r="D41" s="4"/>
      <x:c r="E41" s="4"/>
      <x:c r="F41" s="1"/>
      <x:c r="G41" s="1"/>
      <x:c r="H41" s="1"/>
      <x:c r="I41" s="1"/>
    </x:row>
    <x:row r="42" ht="44" customHeight="1">
      <x:c r="A42" s="4"/>
      <x:c r="B42" s="4"/>
      <x:c r="C42" s="4"/>
      <x:c r="D42" s="4"/>
      <x:c r="E42" s="4"/>
      <x:c r="F42" s="1"/>
      <x:c r="G42" s="1"/>
      <x:c r="H42" s="1"/>
      <x:c r="I42" s="1"/>
    </x:row>
    <x:row r="43" ht="44" customHeight="1">
      <x:c r="A43" s="4"/>
      <x:c r="B43" s="4"/>
      <x:c r="C43" s="4"/>
      <x:c r="D43" s="4"/>
      <x:c r="E43" s="4"/>
      <x:c r="F43" s="1"/>
      <x:c r="G43" s="1"/>
      <x:c r="H43" s="1"/>
      <x:c r="I43" s="1"/>
    </x:row>
    <x:row r="44" ht="44" customHeight="1">
      <x:c r="A44" s="13" t="str">
        <x:v>Liability classification</x:v>
      </x:c>
      <x:c r="B44" s="96" t="str">
        <x:v>USD millions</x:v>
      </x:c>
      <x:c r="C44" s="96" t="str">
        <x:v>As of</x:v>
      </x:c>
      <x:c r="D44" s="96" t="str">
        <x:v>Status</x:v>
      </x:c>
      <x:c r="E44" s="14" t="str">
        <x:v>Source / basis</x:v>
      </x:c>
      <x:c r="F44" s="1"/>
      <x:c r="G44" s="1" t="str">
        <x:v>As of</x:v>
      </x:c>
      <x:c r="H44" s="1" t="str">
        <x:v>Current liabilities</x:v>
      </x:c>
      <x:c r="I44" s="1" t="str">
        <x:v>Noncurrent liabilities</x:v>
      </x:c>
    </x:row>
    <x:row r="45" ht="44" customHeight="1">
      <x:c r="A45" s="25" t="str">
        <x:v>Current liabilities</x:v>
      </x:c>
      <x:c r="B45" s="125" t="n">
        <x:f>IF(ISNUMBER('Data'!B129),'Data'!B129,NA())</x:f>
        <x:v>47741000000</x:v>
      </x:c>
      <x:c r="C45" s="76" t="d">
        <x:v>2026-06-30T00:00:00.000Z</x:v>
      </x:c>
      <x:c r="D45" s="107" t="str">
        <x:v>Reported</x:v>
      </x:c>
      <x:c r="E45" s="16" t="str">
        <x:v>Balance sheet, p. 7</x:v>
      </x:c>
      <x:c r="F45" s="1"/>
      <x:c r="G45" s="38" t="str">
        <x:v>2026-06-30</x:v>
      </x:c>
      <x:c r="H45" s="37" t="n">
        <x:f>B45</x:f>
        <x:v>47741000000</x:v>
      </x:c>
      <x:c r="I45" s="37" t="n">
        <x:f>B46</x:f>
        <x:v>60663000000</x:v>
      </x:c>
    </x:row>
    <x:row r="46" ht="44" customHeight="1">
      <x:c r="A46" s="25" t="str">
        <x:v>Noncurrent liabilities</x:v>
      </x:c>
      <x:c r="B46" s="125" t="n">
        <x:f>IF(ISNUMBER('Data'!B130),'Data'!B130,NA())</x:f>
        <x:v>60663000000</x:v>
      </x:c>
      <x:c r="C46" s="76" t="d">
        <x:v>2026-06-30T00:00:00.000Z</x:v>
      </x:c>
      <x:c r="D46" s="107" t="str">
        <x:v>Reported</x:v>
      </x:c>
      <x:c r="E46" s="16" t="str">
        <x:v>Balance sheet, p. 7</x:v>
      </x:c>
      <x:c r="F46" s="1"/>
      <x:c r="G46" s="1"/>
      <x:c r="H46" s="1"/>
      <x:c r="I46" s="1"/>
    </x:row>
    <x:row r="47" ht="44" customHeight="1">
      <x:c r="A47" s="26" t="str">
        <x:v>Total liabilities</x:v>
      </x:c>
      <x:c r="B47" s="131" t="n">
        <x:f>SUM(B45:B46)</x:f>
        <x:v>108404000000</x:v>
      </x:c>
      <x:c r="C47" s="80" t="d">
        <x:v>2026-06-30T00:00:00.000Z</x:v>
      </x:c>
      <x:c r="D47" s="109" t="str">
        <x:v>Derived</x:v>
      </x:c>
      <x:c r="E47" s="18" t="str">
        <x:v>Current plus noncurrent; includes borrowing and recognized leases. Do not add them again.</x:v>
      </x:c>
      <x:c r="F47" s="1"/>
      <x:c r="G47" s="1"/>
      <x:c r="H47" s="1"/>
      <x:c r="I47" s="1"/>
    </x:row>
  </x:sheetData>
  <x:pageMargins left="0.7" right="0.7" top="0.75" bottom="0.75" header="0.3" footer="0.3"/>
  <x:drawing xmlns:r="http://schemas.openxmlformats.org/officeDocument/2006/relationships" r:id="R8a3a5c51258d4eb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except ratios (x) and percentages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IF(ISNUMBER('Data'!B134),'Data'!B134,NA())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IF(ISNUMBER('Data'!B137),'Data'!B137,NA())+IF(ISNUMBER('Data'!B138),'Data'!B138,NA())</x:f>
        <x:v>42503000000</x:v>
      </x:c>
      <x:c r="C7" s="125" t="n">
        <x:f>'Debt and liquidity'!B7</x:f>
        <x:v>54908000000</x:v>
      </x:c>
      <x:c r="D7" s="16"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IF(IF(ISNUMBER('Data'!B136),'Data'!B136,NA())&gt;0,IF(ISNUMBER('Data'!B135),'Data'!B135,NA())/IF(ISNUMBER('Data'!B136),'Data'!B136,NA()),NA())</x:f>
        <x:v>1.5791132054047916</x:v>
      </x:c>
      <x:c r="C9" s="162" t="n">
        <x:f>'Debt and liquidity'!B9</x:f>
        <x:v>1.3546427598919168</x:v>
      </x:c>
      <x:c r="D9" s="16" t="str">
        <x:v>Total current assets / total current liabilities from one balance sheet. Liabilities include more than borrowing; assets include more than cash.</x:v>
      </x:c>
    </x:row>
    <x:row r="10" ht="49" customHeight="1">
      <x:c r="A10" s="25" t="str">
        <x:v>Operating cash flow</x:v>
      </x:c>
      <x:c r="B10" s="125" t="n">
        <x:f>IF(ISNUMBER('Data'!B139),'Data'!B139,NA())</x:f>
        <x:v>16813000000</x:v>
      </x:c>
      <x:c r="C10" s="125" t="n">
        <x:f>'Debt and liquidity'!B10</x:f>
        <x:v>28083000000</x:v>
      </x:c>
      <x:c r="D10" s="16" t="str">
        <x:v>Annual column: reported fiscal-year OCF. Latest column only: Reported historical OCF; recurrence is not established. Uses FY + current YTD - prior YTD.</x:v>
      </x:c>
    </x:row>
    <x:row r="11" ht="45" customHeight="1">
      <x:c r="A11" s="25" t="str">
        <x:v>Purchases of property and equipment</x:v>
      </x:c>
      <x:c r="B11" s="125" t="n">
        <x:f>IF(ISNUMBER('Data'!B140),'Data'!B140,NA())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flow / borrowing at each period end. Annual column uses FY; latest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flow / borrowing at each period end. Annual column uses FY; latest column uses TTM. Not repayment coverage.</x:v>
      </x:c>
    </x:row>
    <x:row r="15" ht="49"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Annual interest is reported net of capitalized interest; the later TTM includes interim expense whose capitalization basis is unstated. Amounts remain as reported.</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4" hidden="0" customWidth="1"/>
    <x:col min="2" max="2" width="22" hidden="0" customWidth="1"/>
    <x:col min="3" max="3" width="22" hidden="0" customWidth="1"/>
    <x:col min="4" max="4" width="22" hidden="0" customWidth="1"/>
    <x:col min="5" max="5" width="22" hidden="0" customWidth="1"/>
    <x:col min="6" max="6" width="22" hidden="0" customWidth="1"/>
  </x:cols>
  <x:sheetData>
    <x:row r="1" ht="27" customHeight="1">
      <x:c r="A1" s="3"/>
      <x:c r="B1" s="3"/>
      <x:c r="C1" s="3"/>
      <x:c r="D1" s="3"/>
      <x:c r="E1" s="3"/>
      <x:c r="F1" s="3"/>
    </x:row>
    <x:row r="2" ht="27" customHeight="1">
      <x:c r="A2" s="229" t="str">
        <x:v>LLY annual history</x:v>
      </x:c>
      <x:c r="B2" s="3"/>
      <x:c r="C2" s="3"/>
      <x:c r="D2" s="3"/>
      <x:c r="E2" s="3"/>
      <x:c r="F2" s="3"/>
    </x:row>
    <x:row r="3" ht="27" customHeight="1">
      <x:c r="A3" s="3" t="str">
        <x:v>USD millions. Five completed fiscal years; the latest TTM is separate.</x:v>
      </x:c>
      <x:c r="B3" s="3"/>
      <x:c r="C3" s="3"/>
      <x:c r="D3" s="3"/>
      <x:c r="E3" s="3"/>
      <x:c r="F3" s="3"/>
    </x:row>
    <x:row r="4" ht="27" customHeight="1">
      <x:c r="A4" s="3"/>
      <x:c r="B4" s="50" t="d">
        <x:v>2021-12-31T00:00:00.000Z</x:v>
      </x:c>
      <x:c r="C4" s="50" t="d">
        <x:v>2022-12-31T00:00:00.000Z</x:v>
      </x:c>
      <x:c r="D4" s="50" t="d">
        <x:v>2023-12-31T00:00:00.000Z</x:v>
      </x:c>
      <x:c r="E4" s="50" t="d">
        <x:v>2024-12-31T00:00:00.000Z</x:v>
      </x:c>
      <x:c r="F4" s="50" t="d">
        <x:v>2025-12-31T00:00:00.000Z</x:v>
      </x:c>
    </x:row>
    <x:row r="5" ht="27" customHeight="1">
      <x:c r="A5" s="248" t="str">
        <x:v>Measure</x:v>
      </x:c>
      <x:c r="B5" s="249" t="str">
        <x:v>FY2021</x:v>
      </x:c>
      <x:c r="C5" s="249" t="str">
        <x:v>FY2022</x:v>
      </x:c>
      <x:c r="D5" s="249" t="str">
        <x:v>FY2023</x:v>
      </x:c>
      <x:c r="E5" s="249" t="str">
        <x:v>FY2024</x:v>
      </x:c>
      <x:c r="F5" s="250" t="str">
        <x:v>FY2025</x:v>
      </x:c>
    </x:row>
    <x:row r="6" ht="27" customHeight="1">
      <x:c r="A6" s="233" t="str">
        <x:v>Cash and equivalents</x:v>
      </x:c>
      <x:c r="B6" s="234" t="n">
        <x:f>IF(ISNUMBER('Data'!B144),'Data'!B144,NA())</x:f>
        <x:v>3818500000</x:v>
      </x:c>
      <x:c r="C6" s="234" t="n">
        <x:f>IF(ISNUMBER('Data'!B145),'Data'!B145,NA())</x:f>
        <x:v>2067000000</x:v>
      </x:c>
      <x:c r="D6" s="234" t="n">
        <x:f>IF(ISNUMBER('Data'!B146),'Data'!B146,NA())</x:f>
        <x:v>2818600000</x:v>
      </x:c>
      <x:c r="E6" s="234" t="n">
        <x:f>IF(ISNUMBER('Data'!B147),'Data'!B147,NA())</x:f>
        <x:v>3268400000</x:v>
      </x:c>
      <x:c r="F6" s="235" t="n">
        <x:f>IF(ISNUMBER('Data'!B148),'Data'!B148,NA())</x:f>
        <x:v>7268000000</x:v>
      </x:c>
    </x:row>
    <x:row r="7" ht="27" customHeight="1">
      <x:c r="A7" s="233" t="str">
        <x:v>Baseline borrowing</x:v>
      </x:c>
      <x:c r="B7" s="234" t="n">
        <x:f>IF(ISNUMBER('Data'!B149),'Data'!B149,NA())+IF(ISNUMBER('Data'!B150),'Data'!B150,NA())</x:f>
        <x:v>16884700000</x:v>
      </x:c>
      <x:c r="C7" s="234" t="n">
        <x:f>IF(ISNUMBER('Data'!B151),'Data'!B151,NA())+IF(ISNUMBER('Data'!B152),'Data'!B152,NA())</x:f>
        <x:v>16238600000</x:v>
      </x:c>
      <x:c r="D7" s="234" t="n">
        <x:f>IF(ISNUMBER('Data'!B153),'Data'!B153,NA())+IF(ISNUMBER('Data'!B154),'Data'!B154,NA())</x:f>
        <x:v>25225300000</x:v>
      </x:c>
      <x:c r="E7" s="234" t="n">
        <x:f>IF(ISNUMBER('Data'!B155),'Data'!B155,NA())+IF(ISNUMBER('Data'!B156),'Data'!B156,NA())</x:f>
        <x:v>33644200000</x:v>
      </x:c>
      <x:c r="F7" s="235" t="n">
        <x:f>IF(ISNUMBER('Data'!B157),'Data'!B157,NA())+IF(ISNUMBER('Data'!B158),'Data'!B158,NA())</x:f>
        <x:v>42503000000</x:v>
      </x:c>
    </x:row>
    <x:row r="8" ht="27" customHeight="1">
      <x:c r="A8" s="233" t="str">
        <x:v>Operating cash flow</x:v>
      </x:c>
      <x:c r="B8" s="234" t="n">
        <x:f>IF(ISNUMBER('Data'!B159),'Data'!B159,NA())</x:f>
        <x:v>7365900000</x:v>
      </x:c>
      <x:c r="C8" s="234" t="n">
        <x:f>IF(ISNUMBER('Data'!B160),'Data'!B160,NA())</x:f>
        <x:v>7585700000</x:v>
      </x:c>
      <x:c r="D8" s="234" t="n">
        <x:f>IF(ISNUMBER('Data'!B161),'Data'!B161,NA())</x:f>
        <x:v>4240100000</x:v>
      </x:c>
      <x:c r="E8" s="234" t="n">
        <x:f>IF(ISNUMBER('Data'!B162),'Data'!B162,NA())</x:f>
        <x:v>8817900000</x:v>
      </x:c>
      <x:c r="F8" s="235" t="n">
        <x:f>IF(ISNUMBER('Data'!B163),'Data'!B163,NA())</x:f>
        <x:v>16813000000</x:v>
      </x:c>
    </x:row>
    <x:row r="9" ht="27" customHeight="1">
      <x:c r="A9" s="233" t="str">
        <x:v>Capital spending</x:v>
      </x:c>
      <x:c r="B9" s="234" t="n">
        <x:f>IF(ISNUMBER('Data'!B164),'Data'!B164,NA())</x:f>
        <x:v>1309800000</x:v>
      </x:c>
      <x:c r="C9" s="234" t="n">
        <x:f>IF(ISNUMBER('Data'!B165),'Data'!B165,NA())</x:f>
        <x:v>1854300000</x:v>
      </x:c>
      <x:c r="D9" s="234" t="n">
        <x:f>IF(ISNUMBER('Data'!B166),'Data'!B166,NA())</x:f>
        <x:v>3447600000</x:v>
      </x:c>
      <x:c r="E9" s="234" t="n">
        <x:f>IF(ISNUMBER('Data'!B167),'Data'!B167,NA())</x:f>
        <x:v>5057800000</x:v>
      </x:c>
      <x:c r="F9" s="235" t="n">
        <x:f>IF(ISNUMBER('Data'!B168),'Data'!B168,NA())</x:f>
        <x:v>7841000000</x:v>
      </x:c>
    </x:row>
    <x:row r="10" ht="27" customHeight="1">
      <x:c r="A10" s="236" t="str">
        <x:v>Free cash flow</x:v>
      </x:c>
      <x:c r="B10" s="237" t="n">
        <x:f>B8-B9</x:f>
        <x:v>6056100000</x:v>
      </x:c>
      <x:c r="C10" s="237" t="n">
        <x:f>C8-C9</x:f>
        <x:v>5731400000</x:v>
      </x:c>
      <x:c r="D10" s="237" t="n">
        <x:f>D8-D9</x:f>
        <x:v>792500000</x:v>
      </x:c>
      <x:c r="E10" s="237" t="n">
        <x:f>E8-E9</x:f>
        <x:v>3760100000</x:v>
      </x:c>
      <x:c r="F10" s="238" t="n">
        <x:f>F8-F9</x:f>
        <x:v>8972000000</x:v>
      </x:c>
    </x:row>
    <x:row r="11" ht="27" customHeight="1">
      <x:c r="A11" s="3"/>
      <x:c r="B11" s="3"/>
      <x:c r="C11" s="3"/>
      <x:c r="D11" s="3"/>
      <x:c r="E11" s="3"/>
      <x:c r="F11" s="3"/>
    </x:row>
    <x:row r="12" ht="27" customHeight="1">
      <x:c r="A12" s="3"/>
      <x:c r="B12" s="3"/>
      <x:c r="C12" s="3"/>
      <x:c r="D12" s="3"/>
      <x:c r="E12" s="3"/>
      <x:c r="F12" s="3"/>
    </x:row>
    <x:row r="13" ht="27" customHeight="1">
      <x:c r="A13" s="8" t="str">
        <x:v>Cash/debt: fiscal-year-end balances. OCF/capex: full fiscal years.</x:v>
      </x:c>
      <x:c r="B13" s="3"/>
      <x:c r="C13" s="3"/>
      <x:c r="D13" s="3"/>
      <x:c r="E13" s="3"/>
      <x:c r="F13" s="3"/>
    </x:row>
    <x:row r="14" ht="27" customHeight="1">
      <x:c r="A14" s="8" t="str">
        <x:v>FCF = OCF less capital spending; acquisitions and financing uses excluded.</x:v>
      </x:c>
      <x:c r="B14" s="3"/>
      <x:c r="C14" s="3"/>
      <x:c r="D14" s="3"/>
      <x:c r="E14" s="3"/>
      <x:c r="F14" s="3"/>
    </x:row>
    <x:row r="15" ht="27" customHeight="1">
      <x:c r="A15" s="8" t="str">
        <x:v>Historical cash generation does not establish future funding coverage.</x:v>
      </x:c>
      <x:c r="B15" s="3"/>
      <x:c r="C15" s="3"/>
      <x:c r="D15" s="3"/>
      <x:c r="E15" s="3"/>
      <x:c r="F15" s="3"/>
    </x:row>
    <x:row r="16" ht="27" customHeight="1">
      <x:c r="A16" s="8" t="str">
        <x:v>FY2021/22 OCF includes disclosed reclassification, not new cash generation.</x:v>
      </x:c>
      <x:c r="B16" s="3"/>
      <x:c r="C16" s="3"/>
      <x:c r="D16" s="3"/>
      <x:c r="E16" s="3"/>
      <x:c r="F16" s="3"/>
    </x:row>
    <x:row r="17" ht="27" customHeight="1">
      <x:c r="A17" s="3"/>
      <x:c r="B17" s="3"/>
      <x:c r="C17" s="3"/>
      <x:c r="D17" s="3"/>
      <x:c r="E17" s="3"/>
      <x:c r="F17" s="3"/>
    </x:row>
    <x:row r="18" ht="27" customHeight="1">
      <x:c r="A18" s="3"/>
      <x:c r="B18" s="3"/>
      <x:c r="C18" s="3"/>
      <x:c r="D18" s="3"/>
      <x:c r="E18" s="3"/>
      <x:c r="F18" s="3"/>
    </x:row>
    <x:row r="19" ht="27" customHeight="1">
      <x:c r="A19" s="8" t="str">
        <x:v>Historical OCF / year-end borrowing (not repayment coverage)</x:v>
      </x:c>
      <x:c r="B19" s="3"/>
      <x:c r="C19" s="3"/>
      <x:c r="D19" s="3"/>
      <x:c r="E19" s="3"/>
      <x:c r="F19" s="3"/>
    </x:row>
    <x:row r="20" ht="27" customHeight="1">
      <x:c r="A20" s="253" t="str">
        <x:v>Annual flow / closing borrowing</x:v>
      </x:c>
      <x:c r="B20" s="254" t="n">
        <x:f>IF(AND(ISNUMBER(B7),B7&gt;0,ISNUMBER(B8)),B8/B7,NA())</x:f>
        <x:v>0.4362470165297577</x:v>
      </x:c>
      <x:c r="C20" s="254" t="n">
        <x:f>IF(AND(ISNUMBER(C7),C7&gt;0,ISNUMBER(C8)),C8/C7,NA())</x:f>
        <x:v>0.4671400243863387</x:v>
      </x:c>
      <x:c r="D20" s="254" t="n">
        <x:f>IF(AND(ISNUMBER(D7),D7&gt;0,ISNUMBER(D8)),D8/D7,NA())</x:f>
        <x:v>0.16808918030707265</x:v>
      </x:c>
      <x:c r="E20" s="254" t="n">
        <x:f>IF(AND(ISNUMBER(E7),E7&gt;0,ISNUMBER(E8)),E8/E7,NA())</x:f>
        <x:v>0.26209272326285066</x:v>
      </x:c>
      <x:c r="F20" s="255" t="n">
        <x:f>IF(AND(ISNUMBER(F7),F7&gt;0,ISNUMBER(F8)),F8/F7,NA())</x:f>
        <x:v>0.3955720772651342</x:v>
      </x:c>
    </x:row>
    <x:row r="21" ht="27" customHeight="1">
      <x:c r="A21" s="3"/>
      <x:c r="B21" s="3"/>
      <x:c r="C21" s="3"/>
      <x:c r="D21" s="3"/>
      <x:c r="E21" s="3"/>
      <x:c r="F21" s="3"/>
    </x:row>
    <x:row r="22" ht="27" customHeight="1">
      <x:c r="A22" s="3"/>
      <x:c r="B22" s="3"/>
      <x:c r="C22" s="3"/>
      <x:c r="D22" s="3"/>
      <x:c r="E22" s="3"/>
      <x:c r="F22" s="3"/>
    </x:row>
    <x:row r="23">
      <x:c r="A23" s="3"/>
      <x:c r="B23" s="3"/>
      <x:c r="C23" s="3"/>
      <x:c r="D23" s="3"/>
      <x:c r="E23" s="3"/>
      <x:c r="F23" s="3"/>
    </x:row>
    <x:row r="24">
      <x:c r="A24" s="3"/>
      <x:c r="B24" s="3"/>
      <x:c r="C24" s="3"/>
      <x:c r="D24" s="3"/>
      <x:c r="E24" s="3"/>
      <x:c r="F24" s="3"/>
    </x:row>
    <x:row r="25">
      <x:c r="A25" s="3"/>
      <x:c r="B25" s="3"/>
      <x:c r="C25" s="3"/>
      <x:c r="D25" s="3"/>
      <x:c r="E25" s="3"/>
      <x:c r="F25" s="3"/>
    </x:row>
    <x:row r="26">
      <x:c r="A26" s="3"/>
      <x:c r="B26" s="3"/>
      <x:c r="C26" s="3"/>
      <x:c r="D26" s="3"/>
      <x:c r="E26" s="3"/>
      <x:c r="F26" s="3"/>
    </x:row>
    <x:row r="27">
      <x:c r="A27" s="3"/>
      <x:c r="B27" s="3"/>
      <x:c r="C27" s="3"/>
      <x:c r="D27" s="3"/>
      <x:c r="E27" s="3"/>
      <x:c r="F27" s="3"/>
    </x:row>
    <x:row r="28">
      <x:c r="A28" s="3"/>
      <x:c r="B28" s="3"/>
      <x:c r="C28" s="3"/>
      <x:c r="D28" s="3"/>
      <x:c r="E28" s="3"/>
      <x:c r="F28" s="3"/>
    </x:row>
    <x:row r="29">
      <x:c r="A29" s="3"/>
      <x:c r="B29" s="3"/>
      <x:c r="C29" s="3"/>
      <x:c r="D29" s="3"/>
      <x:c r="E29" s="3"/>
      <x:c r="F29" s="3"/>
    </x:row>
    <x:row r="30">
      <x:c r="A30" s="3"/>
      <x:c r="B30" s="3"/>
      <x:c r="C30" s="3"/>
      <x:c r="D30" s="3"/>
      <x:c r="E30" s="3"/>
      <x:c r="F30" s="3"/>
    </x:row>
    <x:row r="31">
      <x:c r="A31" s="3"/>
      <x:c r="B31" s="3"/>
      <x:c r="C31" s="3"/>
      <x:c r="D31" s="3"/>
      <x:c r="E31" s="3"/>
      <x:c r="F31" s="3"/>
    </x:row>
    <x:row r="32">
      <x:c r="A32" s="3"/>
      <x:c r="B32" s="3"/>
      <x:c r="C32" s="3"/>
      <x:c r="D32" s="3"/>
      <x:c r="E32" s="3"/>
      <x:c r="F32" s="3"/>
    </x:row>
    <x:row r="33">
      <x:c r="A33" s="3"/>
      <x:c r="B33" s="3"/>
      <x:c r="C33" s="3"/>
      <x:c r="D33" s="3"/>
      <x:c r="E33" s="3"/>
      <x:c r="F33" s="3"/>
    </x:row>
    <x:row r="34">
      <x:c r="A34" s="3"/>
      <x:c r="B34" s="3"/>
      <x:c r="C34" s="3"/>
      <x:c r="D34" s="3"/>
      <x:c r="E34" s="3"/>
      <x:c r="F34" s="3"/>
    </x:row>
    <x:row r="35">
      <x:c r="A35" s="3"/>
      <x:c r="B35" s="3"/>
      <x:c r="C35" s="3"/>
      <x:c r="D35" s="3"/>
      <x:c r="E35" s="3"/>
      <x:c r="F35" s="3"/>
    </x:row>
    <x:row r="36">
      <x:c r="A36" s="3"/>
      <x:c r="B36" s="3"/>
      <x:c r="C36" s="3"/>
      <x:c r="D36" s="3"/>
      <x:c r="E36" s="3"/>
      <x:c r="F36" s="3"/>
    </x:row>
    <x:row r="37">
      <x:c r="A37" s="3"/>
      <x:c r="B37" s="3"/>
      <x:c r="C37" s="3"/>
      <x:c r="D37" s="3"/>
      <x:c r="E37" s="3"/>
      <x:c r="F37" s="3"/>
    </x:row>
    <x:row r="38">
      <x:c r="A38" s="3"/>
      <x:c r="B38" s="3"/>
      <x:c r="C38" s="3"/>
      <x:c r="D38" s="3"/>
      <x:c r="E38" s="3"/>
      <x:c r="F38" s="3"/>
    </x:row>
    <x:row r="39">
      <x:c r="A39" s="3"/>
      <x:c r="B39" s="3"/>
      <x:c r="C39" s="3"/>
      <x:c r="D39" s="3"/>
      <x:c r="E39" s="3"/>
      <x:c r="F39" s="3"/>
    </x:row>
    <x:row r="40">
      <x:c r="A40" s="3"/>
      <x:c r="B40" s="3"/>
      <x:c r="C40" s="3"/>
      <x:c r="D40" s="3"/>
      <x:c r="E40" s="3"/>
      <x:c r="F40" s="3"/>
    </x:row>
    <x:row r="41">
      <x:c r="A41" s="3"/>
      <x:c r="B41" s="3"/>
      <x:c r="C41" s="3"/>
      <x:c r="D41" s="3"/>
      <x:c r="E41" s="3"/>
      <x:c r="F41" s="3"/>
    </x:row>
    <x:row r="42">
      <x:c r="A42" s="3"/>
      <x:c r="B42" s="3"/>
      <x:c r="C42" s="3"/>
      <x:c r="D42" s="3"/>
      <x:c r="E42" s="3"/>
      <x:c r="F42" s="3"/>
    </x:row>
    <x:row r="43">
      <x:c r="A43" s="3"/>
      <x:c r="B43" s="3"/>
      <x:c r="C43" s="3"/>
      <x:c r="D43" s="3"/>
      <x:c r="E43" s="3"/>
      <x:c r="F43" s="3"/>
    </x:row>
    <x:row r="44">
      <x:c r="A44" s="3"/>
      <x:c r="B44" s="3"/>
      <x:c r="C44" s="3"/>
      <x:c r="D44" s="3"/>
      <x:c r="E44" s="3"/>
      <x:c r="F44" s="3"/>
    </x:row>
    <x:row r="45">
      <x:c r="A45" s="3"/>
      <x:c r="B45" s="3"/>
      <x:c r="C45" s="3"/>
      <x:c r="D45" s="3"/>
      <x:c r="E45" s="3"/>
      <x:c r="F45" s="3"/>
    </x:row>
    <x:row r="46">
      <x:c r="A46" s="3"/>
      <x:c r="B46" s="3"/>
      <x:c r="C46" s="3"/>
      <x:c r="D46" s="3"/>
      <x:c r="E46" s="3"/>
      <x:c r="F46" s="3"/>
    </x:row>
    <x:row r="47">
      <x:c r="A47" s="3"/>
      <x:c r="B47" s="3"/>
      <x:c r="C47" s="3"/>
      <x:c r="D47" s="3"/>
      <x:c r="E47" s="3"/>
      <x:c r="F47" s="3"/>
    </x:row>
    <x:row r="48">
      <x:c r="A48" s="3"/>
      <x:c r="B48" s="3"/>
      <x:c r="C48" s="3"/>
      <x:c r="D48" s="3"/>
      <x:c r="E48" s="3"/>
      <x:c r="F48" s="3"/>
    </x:row>
    <x:row r="49">
      <x:c r="A49" s="3"/>
      <x:c r="B49" s="3"/>
      <x:c r="C49" s="3"/>
      <x:c r="D49" s="3"/>
      <x:c r="E49" s="3"/>
      <x:c r="F49" s="3"/>
    </x:row>
    <x:row r="50">
      <x:c r="A50" s="3"/>
      <x:c r="B50" s="3"/>
      <x:c r="C50" s="3"/>
      <x:c r="D50" s="3"/>
      <x:c r="E50" s="3"/>
      <x:c r="F50" s="3"/>
    </x:row>
    <x:row r="51">
      <x:c r="A51" s="3"/>
      <x:c r="B51" s="3"/>
      <x:c r="C51" s="3"/>
      <x:c r="D51" s="3"/>
      <x:c r="E51" s="3"/>
      <x:c r="F51" s="3"/>
    </x:row>
    <x:row r="52">
      <x:c r="A52" s="3"/>
      <x:c r="B52" s="3"/>
      <x:c r="C52" s="3"/>
      <x:c r="D52" s="3"/>
      <x:c r="E52" s="3"/>
      <x:c r="F52" s="3"/>
    </x:row>
    <x:row r="53">
      <x:c r="A53" s="3"/>
      <x:c r="B53" s="3"/>
      <x:c r="C53" s="3"/>
      <x:c r="D53" s="3"/>
      <x:c r="E53" s="3"/>
      <x:c r="F53" s="3"/>
    </x:row>
    <x:row r="54">
      <x:c r="A54" s="3"/>
      <x:c r="B54" s="3"/>
      <x:c r="C54" s="3"/>
      <x:c r="D54" s="3"/>
      <x:c r="E54" s="3"/>
      <x:c r="F54" s="3"/>
    </x:row>
    <x:row r="55">
      <x:c r="A55" s="3"/>
      <x:c r="B55" s="3"/>
      <x:c r="C55" s="3"/>
      <x:c r="D55" s="3"/>
      <x:c r="E55" s="3"/>
      <x:c r="F55" s="3"/>
    </x:row>
    <x:row r="56">
      <x:c r="A56" s="3"/>
      <x:c r="B56" s="3"/>
      <x:c r="C56" s="3"/>
      <x:c r="D56" s="3"/>
      <x:c r="E56" s="3"/>
      <x:c r="F56" s="3"/>
    </x:row>
    <x:row r="57">
      <x:c r="A57" s="3"/>
      <x:c r="B57" s="3"/>
      <x:c r="C57" s="3"/>
      <x:c r="D57" s="3"/>
      <x:c r="E57" s="3"/>
      <x:c r="F57" s="3"/>
    </x:row>
    <x:row r="58">
      <x:c r="A58" s="3"/>
      <x:c r="B58" s="3"/>
      <x:c r="C58" s="3"/>
      <x:c r="D58" s="3"/>
      <x:c r="E58" s="3"/>
      <x:c r="F58" s="3"/>
    </x:row>
    <x:row r="59">
      <x:c r="A59" s="3"/>
      <x:c r="B59" s="3"/>
      <x:c r="C59" s="3"/>
      <x:c r="D59" s="3"/>
      <x:c r="E59" s="3"/>
      <x:c r="F59" s="3"/>
    </x:row>
    <x:row r="60">
      <x:c r="A60" s="3"/>
      <x:c r="B60" s="3"/>
      <x:c r="C60" s="3"/>
      <x:c r="D60" s="3"/>
      <x:c r="E60" s="3"/>
      <x:c r="F60" s="3"/>
    </x:row>
    <x:row r="61">
      <x:c r="A61" s="3" t="str">
        <x:v>Capital spending (use of cash)</x:v>
      </x:c>
      <x:c r="B61" s="225" t="n">
        <x:f>IF(ISNUMBER(B9),-B9,NA())</x:f>
        <x:v>-1309800000</x:v>
      </x:c>
      <x:c r="C61" s="225" t="n">
        <x:f>IF(ISNUMBER(C9),-C9,NA())</x:f>
        <x:v>-1854300000</x:v>
      </x:c>
      <x:c r="D61" s="225" t="n">
        <x:f>IF(ISNUMBER(D9),-D9,NA())</x:f>
        <x:v>-3447600000</x:v>
      </x:c>
      <x:c r="E61" s="225" t="n">
        <x:f>IF(ISNUMBER(E9),-E9,NA())</x:f>
        <x:v>-5057800000</x:v>
      </x:c>
      <x:c r="F61" s="225" t="n">
        <x:f>IF(ISNUMBER(F9),-F9,NA())</x:f>
        <x:v>-7841000000</x:v>
      </x:c>
    </x:row>
    <x:row r="62">
      <x:c r="A62" s="1"/>
      <x:c r="B62" s="1"/>
      <x:c r="C62" s="1"/>
      <x:c r="D62" s="1"/>
      <x:c r="E62" s="1"/>
      <x:c r="F62" s="1"/>
    </x:row>
    <x:row r="63">
      <x:c r="A63" s="1"/>
      <x:c r="B63" s="1"/>
      <x:c r="C63" s="1"/>
      <x:c r="D63" s="1"/>
      <x:c r="E63" s="1"/>
      <x:c r="F63" s="1"/>
    </x:row>
    <x:row r="64">
      <x:c r="A64" s="1" t="str">
        <x:v>Fiscal year</x:v>
      </x:c>
      <x:c r="B64" s="1" t="str">
        <x:v>Cash and equivalents</x:v>
      </x:c>
      <x:c r="C64" s="1" t="str">
        <x:v>Baseline borrowing</x:v>
      </x:c>
      <x:c r="D64" s="1"/>
      <x:c r="E64" s="1"/>
      <x:c r="F64" s="1"/>
    </x:row>
    <x:row r="65">
      <x:c r="A65" s="1" t="str">
        <x:v>FY2021</x:v>
      </x:c>
      <x:c r="B65" s="1" t="n">
        <x:f>IF(ISNUMBER(B6),B6,NA())</x:f>
        <x:v>3818500000</x:v>
      </x:c>
      <x:c r="C65" s="1" t="n">
        <x:f>IF(ISNUMBER(B7),B7,NA())</x:f>
        <x:v>16884700000</x:v>
      </x:c>
      <x:c r="D65" s="1"/>
      <x:c r="E65" s="1"/>
      <x:c r="F65" s="1"/>
    </x:row>
    <x:row r="66">
      <x:c r="A66" s="1" t="str">
        <x:v>FY2022</x:v>
      </x:c>
      <x:c r="B66" s="1" t="n">
        <x:f>IF(ISNUMBER(C6),C6,NA())</x:f>
        <x:v>2067000000</x:v>
      </x:c>
      <x:c r="C66" s="1" t="n">
        <x:f>IF(ISNUMBER(C7),C7,NA())</x:f>
        <x:v>16238600000</x:v>
      </x:c>
      <x:c r="D66" s="1"/>
      <x:c r="E66" s="1"/>
      <x:c r="F66" s="1"/>
    </x:row>
    <x:row r="67">
      <x:c r="A67" s="1" t="str">
        <x:v>FY2023</x:v>
      </x:c>
      <x:c r="B67" s="1" t="n">
        <x:f>IF(ISNUMBER(D6),D6,NA())</x:f>
        <x:v>2818600000</x:v>
      </x:c>
      <x:c r="C67" s="1" t="n">
        <x:f>IF(ISNUMBER(D7),D7,NA())</x:f>
        <x:v>25225300000</x:v>
      </x:c>
      <x:c r="D67" s="1"/>
      <x:c r="E67" s="1"/>
      <x:c r="F67" s="1"/>
    </x:row>
    <x:row r="68">
      <x:c r="A68" s="1" t="str">
        <x:v>FY2024</x:v>
      </x:c>
      <x:c r="B68" s="1" t="n">
        <x:f>IF(ISNUMBER(E6),E6,NA())</x:f>
        <x:v>3268400000</x:v>
      </x:c>
      <x:c r="C68" s="1" t="n">
        <x:f>IF(ISNUMBER(E7),E7,NA())</x:f>
        <x:v>33644200000</x:v>
      </x:c>
      <x:c r="D68" s="1"/>
      <x:c r="E68" s="1"/>
      <x:c r="F68" s="1"/>
    </x:row>
    <x:row r="69">
      <x:c r="A69" s="1" t="str">
        <x:v>FY2025</x:v>
      </x:c>
      <x:c r="B69" s="1" t="n">
        <x:f>IF(ISNUMBER(F6),F6,NA())</x:f>
        <x:v>7268000000</x:v>
      </x:c>
      <x:c r="C69" s="1" t="n">
        <x:f>IF(ISNUMBER(F7),F7,NA())</x:f>
        <x:v>42503000000</x:v>
      </x:c>
      <x:c r="D69" s="1"/>
      <x:c r="E69" s="1"/>
      <x:c r="F69" s="1"/>
    </x:row>
    <x:row r="70">
      <x:c r="A70" s="1"/>
      <x:c r="B70" s="1"/>
      <x:c r="C70" s="1"/>
      <x:c r="D70" s="1"/>
      <x:c r="E70" s="1"/>
      <x:c r="F70" s="1"/>
    </x:row>
    <x:row r="71">
      <x:c r="A71" s="1"/>
      <x:c r="B71" s="1"/>
      <x:c r="C71" s="1"/>
      <x:c r="D71" s="1"/>
      <x:c r="E71" s="1"/>
      <x:c r="F71" s="1"/>
    </x:row>
    <x:row r="72">
      <x:c r="A72" s="1"/>
      <x:c r="B72" s="1"/>
      <x:c r="C72" s="1"/>
      <x:c r="D72" s="1"/>
      <x:c r="E72" s="1"/>
      <x:c r="F72" s="1"/>
    </x:row>
    <x:row r="73">
      <x:c r="A73" s="1" t="str">
        <x:v>Fiscal year</x:v>
      </x:c>
      <x:c r="B73" s="1" t="str">
        <x:v>Operating cash flow</x:v>
      </x:c>
      <x:c r="C73" s="1" t="str">
        <x:v>Capital spending (use of cash)</x:v>
      </x:c>
      <x:c r="D73" s="1" t="str">
        <x:v>Free cash flow</x:v>
      </x:c>
      <x:c r="E73" s="1"/>
      <x:c r="F73" s="1"/>
    </x:row>
    <x:row r="74">
      <x:c r="A74" s="1" t="str">
        <x:v>FY2021</x:v>
      </x:c>
      <x:c r="B74" s="1" t="n">
        <x:f>IF(ISNUMBER(B8),B8,NA())</x:f>
        <x:v>7365900000</x:v>
      </x:c>
      <x:c r="C74" s="1" t="n">
        <x:f>IF(ISNUMBER(B61),B61,NA())</x:f>
        <x:v>-1309800000</x:v>
      </x:c>
      <x:c r="D74" s="1" t="n">
        <x:f>IF(ISNUMBER(B10),B10,NA())</x:f>
        <x:v>6056100000</x:v>
      </x:c>
      <x:c r="E74" s="1"/>
      <x:c r="F74" s="1"/>
    </x:row>
    <x:row r="75">
      <x:c r="A75" s="1" t="str">
        <x:v>FY2022</x:v>
      </x:c>
      <x:c r="B75" s="1" t="n">
        <x:f>IF(ISNUMBER(C8),C8,NA())</x:f>
        <x:v>7585700000</x:v>
      </x:c>
      <x:c r="C75" s="1" t="n">
        <x:f>IF(ISNUMBER(C61),C61,NA())</x:f>
        <x:v>-1854300000</x:v>
      </x:c>
      <x:c r="D75" s="1" t="n">
        <x:f>IF(ISNUMBER(C10),C10,NA())</x:f>
        <x:v>5731400000</x:v>
      </x:c>
      <x:c r="E75" s="1"/>
      <x:c r="F75" s="1"/>
    </x:row>
    <x:row r="76">
      <x:c r="A76" s="1" t="str">
        <x:v>FY2023</x:v>
      </x:c>
      <x:c r="B76" s="1" t="n">
        <x:f>IF(ISNUMBER(D8),D8,NA())</x:f>
        <x:v>4240100000</x:v>
      </x:c>
      <x:c r="C76" s="1" t="n">
        <x:f>IF(ISNUMBER(D61),D61,NA())</x:f>
        <x:v>-3447600000</x:v>
      </x:c>
      <x:c r="D76" s="1" t="n">
        <x:f>IF(ISNUMBER(D10),D10,NA())</x:f>
        <x:v>792500000</x:v>
      </x:c>
      <x:c r="E76" s="1"/>
      <x:c r="F76" s="1"/>
    </x:row>
    <x:row r="77">
      <x:c r="A77" s="1" t="str">
        <x:v>FY2024</x:v>
      </x:c>
      <x:c r="B77" s="1" t="n">
        <x:f>IF(ISNUMBER(E8),E8,NA())</x:f>
        <x:v>8817900000</x:v>
      </x:c>
      <x:c r="C77" s="1" t="n">
        <x:f>IF(ISNUMBER(E61),E61,NA())</x:f>
        <x:v>-5057800000</x:v>
      </x:c>
      <x:c r="D77" s="1" t="n">
        <x:f>IF(ISNUMBER(E10),E10,NA())</x:f>
        <x:v>3760100000</x:v>
      </x:c>
      <x:c r="E77" s="1"/>
      <x:c r="F77" s="1"/>
    </x:row>
    <x:row r="78">
      <x:c r="A78" s="1" t="str">
        <x:v>FY2025</x:v>
      </x:c>
      <x:c r="B78" s="1" t="n">
        <x:f>IF(ISNUMBER(F8),F8,NA())</x:f>
        <x:v>16813000000</x:v>
      </x:c>
      <x:c r="C78" s="1" t="n">
        <x:f>IF(ISNUMBER(F61),F61,NA())</x:f>
        <x:v>-7841000000</x:v>
      </x:c>
      <x:c r="D78" s="1" t="n">
        <x:f>IF(ISNUMBER(F10),F10,NA())</x:f>
        <x:v>8972000000</x:v>
      </x:c>
      <x:c r="E78" s="1"/>
      <x:c r="F78" s="1"/>
    </x:row>
    <x:row r="79">
      <x:c r="A79" s="1"/>
      <x:c r="B79" s="1"/>
      <x:c r="C79" s="1"/>
      <x:c r="D79" s="1"/>
      <x:c r="E79" s="1"/>
      <x:c r="F79" s="1"/>
    </x:row>
    <x:row r="80">
      <x:c r="A80" s="1"/>
      <x:c r="B80" s="1"/>
      <x:c r="C80" s="1"/>
      <x:c r="D80" s="1"/>
      <x:c r="E80" s="1"/>
      <x:c r="F80" s="1"/>
    </x:row>
    <x:row r="81">
      <x:c r="A81" s="1"/>
      <x:c r="B81" s="1"/>
      <x:c r="C81" s="1"/>
      <x:c r="D81" s="1"/>
      <x:c r="E81" s="1"/>
      <x:c r="F81" s="1"/>
    </x:row>
    <x:row r="82">
      <x:c r="A82" s="1"/>
      <x:c r="B82" s="1"/>
      <x:c r="C82" s="1"/>
      <x:c r="D82" s="1"/>
      <x:c r="E82" s="1"/>
      <x:c r="F82" s="1"/>
    </x:row>
    <x:row r="83">
      <x:c r="A83" s="1"/>
      <x:c r="B83" s="1"/>
      <x:c r="C83" s="1"/>
      <x:c r="D83" s="1"/>
      <x:c r="E83" s="1"/>
      <x:c r="F83" s="1"/>
    </x:row>
    <x:row r="84">
      <x:c r="A84" s="1"/>
      <x:c r="B84" s="1"/>
      <x:c r="C84" s="1"/>
      <x:c r="D84" s="1"/>
      <x:c r="E84" s="1"/>
      <x:c r="F84" s="1"/>
    </x:row>
    <x:row r="85">
      <x:c r="A85" s="1"/>
      <x:c r="B85" s="1"/>
      <x:c r="C85" s="1"/>
      <x:c r="D85" s="1"/>
      <x:c r="E85" s="1"/>
      <x:c r="F85" s="1"/>
    </x:row>
    <x:row r="86">
      <x:c r="A86" s="1"/>
      <x:c r="B86" s="1"/>
      <x:c r="C86" s="1"/>
      <x:c r="D86" s="1"/>
      <x:c r="E86" s="1"/>
      <x:c r="F86" s="1"/>
    </x:row>
    <x:row r="87">
      <x:c r="A87" s="1"/>
      <x:c r="B87" s="1"/>
      <x:c r="C87" s="1"/>
      <x:c r="D87" s="1"/>
      <x:c r="E87" s="1"/>
      <x:c r="F87" s="1"/>
    </x:row>
    <x:row r="88">
      <x:c r="A88" s="1"/>
      <x:c r="B88" s="1"/>
      <x:c r="C88" s="1"/>
      <x:c r="D88" s="1"/>
      <x:c r="E88" s="1"/>
      <x:c r="F88" s="1"/>
    </x:row>
    <x:row r="89">
      <x:c r="A89" s="1"/>
      <x:c r="B89" s="1"/>
      <x:c r="C89" s="1"/>
      <x:c r="D89" s="1"/>
      <x:c r="E89" s="1"/>
      <x:c r="F89" s="1"/>
    </x:row>
    <x:row r="90">
      <x:c r="A90" s="1" t="str">
        <x:v>Fiscal year</x:v>
      </x:c>
      <x:c r="B90" s="1" t="str">
        <x:v>Historical OCF / year-end borrowing</x:v>
      </x:c>
      <x:c r="C90" s="1"/>
      <x:c r="D90" s="1"/>
      <x:c r="E90" s="1"/>
      <x:c r="F90" s="1"/>
    </x:row>
    <x:row r="91">
      <x:c r="A91" s="1" t="str">
        <x:v>FY2021</x:v>
      </x:c>
      <x:c r="B91" s="1" t="n">
        <x:f>B20</x:f>
        <x:v>0.4362470165297577</x:v>
      </x:c>
      <x:c r="C91" s="1"/>
      <x:c r="D91" s="1"/>
      <x:c r="E91" s="1"/>
      <x:c r="F91" s="1"/>
    </x:row>
    <x:row r="92">
      <x:c r="A92" s="1" t="str">
        <x:v>FY2022</x:v>
      </x:c>
      <x:c r="B92" s="1" t="n">
        <x:f>C20</x:f>
        <x:v>0.4671400243863387</x:v>
      </x:c>
      <x:c r="C92" s="1"/>
      <x:c r="D92" s="1"/>
      <x:c r="E92" s="1"/>
      <x:c r="F92" s="1"/>
    </x:row>
    <x:row r="93">
      <x:c r="A93" s="1" t="str">
        <x:v>FY2023</x:v>
      </x:c>
      <x:c r="B93" s="1" t="n">
        <x:f>D20</x:f>
        <x:v>0.16808918030707265</x:v>
      </x:c>
      <x:c r="C93" s="1"/>
      <x:c r="D93" s="1"/>
      <x:c r="E93" s="1"/>
      <x:c r="F93" s="1"/>
    </x:row>
    <x:row r="94">
      <x:c r="A94" s="1" t="str">
        <x:v>FY2024</x:v>
      </x:c>
      <x:c r="B94" s="1" t="n">
        <x:f>E20</x:f>
        <x:v>0.26209272326285066</x:v>
      </x:c>
      <x:c r="C94" s="1"/>
      <x:c r="D94" s="1"/>
      <x:c r="E94" s="1"/>
      <x:c r="F94" s="1"/>
    </x:row>
    <x:row r="95">
      <x:c r="A95" s="1" t="str">
        <x:v>FY2025</x:v>
      </x:c>
      <x:c r="B95" s="1" t="n">
        <x:f>F20</x:f>
        <x:v>0.3955720772651342</x:v>
      </x:c>
      <x:c r="C95" s="1"/>
      <x:c r="D95" s="1"/>
      <x:c r="E95" s="1"/>
      <x:c r="F95" s="1"/>
    </x:row>
  </x:sheetData>
  <x:pageMargins left="0.7" right="0.7" top="0.75" bottom="0.75" header="0.3" footer="0.3"/>
  <x:drawing xmlns:r="http://schemas.openxmlformats.org/officeDocument/2006/relationships" r:id="R28c2a66a571b4d79"/>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LLY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144" t="n">
        <x:f>'Debt and liquidity'!B10</x:f>
        <x:v>28083000000</x:v>
      </x:c>
      <x:c r="C6" s="4"/>
      <x:c r="D6" s="4"/>
      <x:c r="E6" s="2"/>
      <x:c r="F6" s="2"/>
      <x:c r="G6" s="2"/>
      <x:c r="H6" s="2"/>
      <x:c r="I6" s="2"/>
      <x:c r="J6" s="2"/>
      <x:c r="K6" s="2"/>
      <x:c r="L6" s="2"/>
      <x:c r="M6" s="2"/>
      <x:c r="N6" s="2"/>
      <x:c r="O6" s="2"/>
    </x:row>
    <x:row r="7" ht="35" customHeight="1">
      <x:c r="A7" s="25" t="str">
        <x:v>Capital spending</x:v>
      </x:c>
      <x:c r="B7" s="144" t="n">
        <x:f>-'Debt and liquidity'!B11</x:f>
        <x:v>-9893000000</x:v>
      </x:c>
      <x:c r="C7" s="4"/>
      <x:c r="D7" s="4"/>
      <x:c r="E7" s="2"/>
      <x:c r="F7" s="2"/>
      <x:c r="G7" s="2"/>
      <x:c r="H7" s="2"/>
      <x:c r="I7" s="2"/>
      <x:c r="J7" s="2"/>
      <x:c r="K7" s="2"/>
      <x:c r="L7" s="2"/>
      <x:c r="M7" s="2"/>
      <x:c r="N7" s="2"/>
      <x:c r="O7" s="2"/>
    </x:row>
    <x:row r="8" ht="35" customHeight="1">
      <x:c r="A8" s="26" t="str">
        <x:v>Free cash flow</x:v>
      </x:c>
      <x:c r="B8" s="256" t="n">
        <x:f>'Debt and liquidity'!B12</x:f>
        <x:v>18190000000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9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125" t="n">
        <x:f>'History'!B6</x:f>
        <x:v>7268000000</x:v>
      </x:c>
      <x:c r="C25" s="144" t="n">
        <x:f>'History'!B7</x:f>
        <x:v>42503000000</x:v>
      </x:c>
      <x:c r="D25" s="4"/>
      <x:c r="E25" s="2"/>
      <x:c r="F25" s="2"/>
      <x:c r="G25" s="2"/>
      <x:c r="H25" s="2"/>
      <x:c r="I25" s="2"/>
      <x:c r="J25" s="2"/>
      <x:c r="K25" s="2"/>
      <x:c r="L25" s="2"/>
      <x:c r="M25" s="2"/>
      <x:c r="N25" s="2"/>
      <x:c r="O25" s="2"/>
    </x:row>
    <x:row r="26" ht="35" customHeight="1">
      <x:c r="A26" s="26" t="str">
        <x:v>2026-06-30</x:v>
      </x:c>
      <x:c r="B26" s="129" t="n">
        <x:f>'History'!C6</x:f>
        <x:v>8950000000</x:v>
      </x:c>
      <x:c r="C26" s="256" t="n">
        <x:f>'History'!C7</x:f>
        <x:v>54908000000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83d7ca54f0894c51"/>
</x:worksheet>
</file>

<file path=xl/worksheets/sheet7.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dc5203a8305d41f7"/>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None (consolidated total)</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None (consolidated total)</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None (consolidated total)</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None (consolidated total)</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None (consolidated total)</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None (consolidated total)</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None (consolidated total)</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None (consolidated total)</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None (consolidated total)</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None (consolidated total)</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None (consolidated total)</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None (consolidated total)</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None (consolidated total)</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None (consolidated total)</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None (consolidated total)</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None (consolidated total)</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None (consolidated total)</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None (consolidated total)</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None (consolidated total)</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None (consolidated total)</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 = 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 = 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 = 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 = 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 = 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 = 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 = 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 = 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 = 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 = 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 = 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None (consolidated total)</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None (consolidated total)</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None (consolidated total)</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None (consolidated total)</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 = 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 = 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None (consolidated total)</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None (consolidated total)</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None (consolidated total)</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None (consolidated total)</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None (consolidated total)</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None (consolidated total)</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None (consolidated total)</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None (consolidated total)</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None (consolidated total)</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None (consolidated total)</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None (consolidated total)</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None (consolidated total)</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None (consolidated total)</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None (consolidated total)</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None (consolidated total)</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None (consolidated total)</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None (consolidated total)</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None (consolidated total)</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None (consolidated total)</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None (consolidated total)</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None (consolidated total)</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None (consolidated total)</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None (consolidated total)</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None (consolidated total)</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None (consolidated total)</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None (consolidated total)</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None (consolidated total)</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 = 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None (consolidated total)</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None (consolidated total)</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None (consolidated total)</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None (consolidated total)</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None (consolidated total)</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None (consolidated total)</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None (consolidated total)</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None (consolidated total)</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 = 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None (consolidated total)</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None (consolidated total)</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None (consolidated total)</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None (consolidated total)</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None (consolidated total)</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None (consolidated total)</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None (consolidated total)</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None (consolidated total)</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None (consolidated total)</x:v>
      </x:c>
      <x:c r="Q103" s="109" t="str">
        <x:v>Initial issue principal, not net cash proceeds, current outstanding debt or unused financing.</x:v>
      </x:c>
      <x:c r="R103" s="18" t="str">
        <x:v>e88aeee8cddfc4b3459ec97cd166010b955ae2d8e5bcc2e59913f995c2e233f9</x:v>
      </x:c>
      <x:c r="S103" s="140"/>
      <x:c r="T103" s="141"/>
    </x:row>
    <x:row r="104">
      <x:c r="A104" s="1"/>
      <x:c r="B104" s="1"/>
      <x:c r="C104" s="1"/>
      <x:c r="D104" s="1"/>
      <x:c r="E104" s="1"/>
      <x:c r="F104" s="1"/>
      <x:c r="G104" s="1"/>
      <x:c r="H104" s="1"/>
      <x:c r="I104" s="1"/>
      <x:c r="J104" s="1"/>
      <x:c r="K104" s="1"/>
      <x:c r="L104" s="1"/>
      <x:c r="M104" s="1"/>
      <x:c r="N104" s="1"/>
      <x:c r="O104" s="1"/>
      <x:c r="P104" s="1"/>
      <x:c r="Q104" s="1"/>
      <x:c r="R104" s="1"/>
      <x:c r="S104" s="1"/>
      <x:c r="T104" s="1"/>
    </x:row>
    <x:row r="105">
      <x:c r="A105" s="1"/>
      <x:c r="B105" s="1"/>
      <x:c r="C105" s="1"/>
      <x:c r="D105" s="1"/>
      <x:c r="E105" s="1"/>
      <x:c r="F105" s="1"/>
      <x:c r="G105" s="1"/>
      <x:c r="H105" s="1"/>
      <x:c r="I105" s="1"/>
      <x:c r="J105" s="1"/>
      <x:c r="K105" s="1"/>
      <x:c r="L105" s="1"/>
      <x:c r="M105" s="1"/>
      <x:c r="N105" s="1"/>
      <x:c r="O105" s="1"/>
      <x:c r="P105" s="1"/>
      <x:c r="Q105" s="1"/>
      <x:c r="R105" s="1"/>
      <x:c r="S105" s="1"/>
      <x:c r="T105" s="1"/>
    </x:row>
    <x:row r="106" ht="72" customHeight="1">
      <x:c r="A106" s="13" t="str">
        <x:v>Funding conclusion evidence</x:v>
      </x:c>
      <x:c r="B106" s="96" t="str">
        <x:v>Filing / filed date</x:v>
      </x:c>
      <x:c r="C106" s="96" t="str">
        <x:v>Accession</x:v>
      </x:c>
      <x:c r="D106" s="14" t="str">
        <x:v>Location</x:v>
      </x:c>
      <x:c r="E106" s="1"/>
      <x:c r="F106" s="1"/>
      <x:c r="G106" s="1"/>
      <x:c r="H106" s="1"/>
      <x:c r="I106" s="1"/>
      <x:c r="J106" s="1"/>
      <x:c r="K106" s="1"/>
      <x:c r="L106" s="174" t="str">
        <x:v>SEC source</x:v>
      </x:c>
      <x:c r="M106" s="1"/>
      <x:c r="N106" s="1"/>
      <x:c r="O106" s="1"/>
      <x:c r="P106" s="1"/>
      <x:c r="Q106" s="1"/>
      <x:c r="R106" s="1"/>
      <x:c r="S106" s="1"/>
      <x:c r="T106" s="1"/>
    </x:row>
    <x:row r="107" ht="72" customHeight="1">
      <x:c r="A107" s="25" t="str">
        <x:v>Near-term obligations</x:v>
      </x:c>
      <x:c r="B107" s="107" t="str">
        <x:v>10-Q filed Aug 5, 2026</x:v>
      </x:c>
      <x:c r="C107" s="107" t="str">
        <x:v>0000059478-26-000081</x:v>
      </x:c>
      <x:c r="D107" s="16" t="str">
        <x:v>pp. 7–8, 12–14, 17, 23, 31</x:v>
      </x:c>
      <x:c r="E107" s="1"/>
      <x:c r="F107" s="1"/>
      <x:c r="G107" s="1"/>
      <x:c r="H107" s="1"/>
      <x:c r="I107" s="1"/>
      <x:c r="J107" s="1"/>
      <x:c r="K107" s="1"/>
      <x:c r="L107" s="169" t="str">
        <x:v>https://www.sec.gov/Archives/edgar/data/59478/000005947826000081/lly-20260630.htm</x:v>
      </x:c>
      <x:c r="M107" s="1"/>
      <x:c r="N107" s="1"/>
      <x:c r="O107" s="1"/>
      <x:c r="P107" s="1"/>
      <x:c r="Q107" s="1"/>
      <x:c r="R107" s="1"/>
      <x:c r="S107" s="1"/>
      <x:c r="T107" s="1"/>
    </x:row>
    <x:row r="108" ht="72" customHeight="1">
      <x:c r="A108" s="25" t="str">
        <x:v>Resources and access</x:v>
      </x:c>
      <x:c r="B108" s="107" t="str">
        <x:v>10-Q filed Aug 5, 2026</x:v>
      </x:c>
      <x:c r="C108" s="107" t="str">
        <x:v>0000059478-26-000081</x:v>
      </x:c>
      <x:c r="D108" s="16" t="str">
        <x:v>pp. 7–8, 12–14, 17, 23, 31</x:v>
      </x:c>
      <x:c r="E108" s="1"/>
      <x:c r="F108" s="1"/>
      <x:c r="G108" s="1"/>
      <x:c r="H108" s="1"/>
      <x:c r="I108" s="1"/>
      <x:c r="J108" s="1"/>
      <x:c r="K108" s="1"/>
      <x:c r="L108" s="169" t="str">
        <x:v>https://www.sec.gov/Archives/edgar/data/59478/000005947826000081/lly-20260630.htm</x:v>
      </x:c>
      <x:c r="M108" s="1"/>
      <x:c r="N108" s="1"/>
      <x:c r="O108" s="1"/>
      <x:c r="P108" s="1"/>
      <x:c r="Q108" s="1"/>
      <x:c r="R108" s="1"/>
      <x:c r="S108" s="1"/>
      <x:c r="T108" s="1"/>
    </x:row>
    <x:row r="109" ht="72" customHeight="1">
      <x:c r="A109" s="25" t="str">
        <x:v>Resources and access</x:v>
      </x:c>
      <x:c r="B109" s="107" t="str">
        <x:v>10-K filed Feb 12, 2026</x:v>
      </x:c>
      <x:c r="C109" s="107" t="str">
        <x:v>0000059478-26-000013</x:v>
      </x:c>
      <x:c r="D109" s="16" t="str">
        <x:v>pp. 51, 57, 76–77</x:v>
      </x:c>
      <x:c r="E109" s="1"/>
      <x:c r="F109" s="1"/>
      <x:c r="G109" s="1"/>
      <x:c r="H109" s="1"/>
      <x:c r="I109" s="1"/>
      <x:c r="J109" s="1"/>
      <x:c r="K109" s="1"/>
      <x:c r="L109" s="169" t="str">
        <x:v>https://www.sec.gov/Archives/edgar/data/59478/000005947826000013/lly-20251231.htm</x:v>
      </x:c>
      <x:c r="M109" s="1"/>
      <x:c r="N109" s="1"/>
      <x:c r="O109" s="1"/>
      <x:c r="P109" s="1"/>
      <x:c r="Q109" s="1"/>
      <x:c r="R109" s="1"/>
      <x:c r="S109" s="1"/>
      <x:c r="T109" s="1"/>
    </x:row>
    <x:row r="110" ht="72" customHeight="1">
      <x:c r="A110" s="25" t="str">
        <x:v>Competing cash uses</x:v>
      </x:c>
      <x:c r="B110" s="107" t="str">
        <x:v>10-Q filed Aug 5, 2026</x:v>
      </x:c>
      <x:c r="C110" s="107" t="str">
        <x:v>0000059478-26-000081</x:v>
      </x:c>
      <x:c r="D110" s="16" t="str">
        <x:v>pp. 7–8, 12–14, 17, 23, 31</x:v>
      </x:c>
      <x:c r="E110" s="1"/>
      <x:c r="F110" s="1"/>
      <x:c r="G110" s="1"/>
      <x:c r="H110" s="1"/>
      <x:c r="I110" s="1"/>
      <x:c r="J110" s="1"/>
      <x:c r="K110" s="1"/>
      <x:c r="L110" s="169" t="str">
        <x:v>https://www.sec.gov/Archives/edgar/data/59478/000005947826000081/lly-20260630.htm</x:v>
      </x:c>
      <x:c r="M110" s="1"/>
      <x:c r="N110" s="1"/>
      <x:c r="O110" s="1"/>
      <x:c r="P110" s="1"/>
      <x:c r="Q110" s="1"/>
      <x:c r="R110" s="1"/>
      <x:c r="S110" s="1"/>
      <x:c r="T110" s="1"/>
    </x:row>
    <x:row r="111" ht="72" customHeight="1">
      <x:c r="A111" s="25" t="str">
        <x:v>Competing cash uses</x:v>
      </x:c>
      <x:c r="B111" s="107" t="str">
        <x:v>Earnings exhibit filed Aug 5, 2026</x:v>
      </x:c>
      <x:c r="C111" s="107" t="str">
        <x:v>0000059478-26-000077</x:v>
      </x:c>
      <x:c r="D111" s="16" t="str">
        <x:v>Other announcements</x:v>
      </x:c>
      <x:c r="E111" s="1"/>
      <x:c r="F111" s="1"/>
      <x:c r="G111" s="1"/>
      <x:c r="H111" s="1"/>
      <x:c r="I111" s="1"/>
      <x:c r="J111" s="1"/>
      <x:c r="K111" s="1"/>
      <x:c r="L111" s="169" t="str">
        <x:v>https://www.sec.gov/Archives/edgar/data/59478/000005947826000077/q226lillysalesandearningsp.htm</x:v>
      </x:c>
      <x:c r="M111" s="1"/>
      <x:c r="N111" s="1"/>
      <x:c r="O111" s="1"/>
      <x:c r="P111" s="1"/>
      <x:c r="Q111" s="1"/>
      <x:c r="R111" s="1"/>
      <x:c r="S111" s="1"/>
      <x:c r="T111" s="1"/>
    </x:row>
    <x:row r="112" ht="72" customHeight="1">
      <x:c r="A112" s="25" t="str">
        <x:v>Decisive unknowns</x:v>
      </x:c>
      <x:c r="B112" s="107" t="str">
        <x:v>10-Q filed Aug 5, 2026</x:v>
      </x:c>
      <x:c r="C112" s="107" t="str">
        <x:v>0000059478-26-000081</x:v>
      </x:c>
      <x:c r="D112" s="16" t="str">
        <x:v>pp. 7–8, 12–14, 17, 23, 31</x:v>
      </x:c>
      <x:c r="E112" s="1"/>
      <x:c r="F112" s="1"/>
      <x:c r="G112" s="1"/>
      <x:c r="H112" s="1"/>
      <x:c r="I112" s="1"/>
      <x:c r="J112" s="1"/>
      <x:c r="K112" s="1"/>
      <x:c r="L112" s="169" t="str">
        <x:v>https://www.sec.gov/Archives/edgar/data/59478/000005947826000081/lly-20260630.htm</x:v>
      </x:c>
      <x:c r="M112" s="1"/>
      <x:c r="N112" s="1"/>
      <x:c r="O112" s="1"/>
      <x:c r="P112" s="1"/>
      <x:c r="Q112" s="1"/>
      <x:c r="R112" s="1"/>
      <x:c r="S112" s="1"/>
      <x:c r="T112" s="1"/>
    </x:row>
    <x:row r="113" ht="72" customHeight="1">
      <x:c r="A113" s="25" t="str">
        <x:v>Decisive unknowns</x:v>
      </x:c>
      <x:c r="B113" s="107" t="str">
        <x:v>10-K filed Feb 12, 2026</x:v>
      </x:c>
      <x:c r="C113" s="107" t="str">
        <x:v>0000059478-26-000013</x:v>
      </x:c>
      <x:c r="D113" s="16" t="str">
        <x:v>pp. 51, 57, 76–77</x:v>
      </x:c>
      <x:c r="E113" s="1"/>
      <x:c r="F113" s="1"/>
      <x:c r="G113" s="1"/>
      <x:c r="H113" s="1"/>
      <x:c r="I113" s="1"/>
      <x:c r="J113" s="1"/>
      <x:c r="K113" s="1"/>
      <x:c r="L113" s="169" t="str">
        <x:v>https://www.sec.gov/Archives/edgar/data/59478/000005947826000013/lly-20251231.htm</x:v>
      </x:c>
      <x:c r="M113" s="1"/>
      <x:c r="N113" s="1"/>
      <x:c r="O113" s="1"/>
      <x:c r="P113" s="1"/>
      <x:c r="Q113" s="1"/>
      <x:c r="R113" s="1"/>
      <x:c r="S113" s="1"/>
      <x:c r="T113" s="1"/>
    </x:row>
    <x:row r="114" ht="72" customHeight="1">
      <x:c r="A114" s="25" t="str">
        <x:v>Decisive unknowns</x:v>
      </x:c>
      <x:c r="B114" s="107" t="str">
        <x:v>Earnings exhibit filed Aug 5, 2026</x:v>
      </x:c>
      <x:c r="C114" s="107" t="str">
        <x:v>0000059478-26-000077</x:v>
      </x:c>
      <x:c r="D114" s="16" t="str">
        <x:v>Other announcements</x:v>
      </x:c>
      <x:c r="E114" s="1"/>
      <x:c r="F114" s="1"/>
      <x:c r="G114" s="1"/>
      <x:c r="H114" s="1"/>
      <x:c r="I114" s="1"/>
      <x:c r="J114" s="1"/>
      <x:c r="K114" s="1"/>
      <x:c r="L114" s="169" t="str">
        <x:v>https://www.sec.gov/Archives/edgar/data/59478/000005947826000077/q226lillysalesandearningsp.htm</x:v>
      </x:c>
      <x:c r="M114" s="1"/>
      <x:c r="N114" s="1"/>
      <x:c r="O114" s="1"/>
      <x:c r="P114" s="1"/>
      <x:c r="Q114" s="1"/>
      <x:c r="R114" s="1"/>
      <x:c r="S114" s="1"/>
      <x:c r="T114" s="1"/>
    </x:row>
    <x:row r="115" ht="72" customHeight="1">
      <x:c r="A115" s="25" t="str">
        <x:v>Historical coverage</x:v>
      </x:c>
      <x:c r="B115" s="107" t="str">
        <x:v>10-Q filed Aug 5, 2026</x:v>
      </x:c>
      <x:c r="C115" s="107" t="str">
        <x:v>0000059478-26-000081</x:v>
      </x:c>
      <x:c r="D115" s="16" t="str">
        <x:v>Operations p. 5; segment Note 11 p. 23</x:v>
      </x:c>
      <x:c r="E115" s="1"/>
      <x:c r="F115" s="1"/>
      <x:c r="G115" s="1"/>
      <x:c r="H115" s="1"/>
      <x:c r="I115" s="1"/>
      <x:c r="J115" s="1"/>
      <x:c r="K115" s="1"/>
      <x:c r="L115" s="169" t="str">
        <x:v>https://www.sec.gov/Archives/edgar/data/59478/000005947826000081/lly-20260630.htm</x:v>
      </x:c>
      <x:c r="M115" s="1"/>
      <x:c r="N115" s="1"/>
      <x:c r="O115" s="1"/>
      <x:c r="P115" s="1"/>
      <x:c r="Q115" s="1"/>
      <x:c r="R115" s="1"/>
      <x:c r="S115" s="1"/>
      <x:c r="T115" s="1"/>
    </x:row>
    <x:row r="116" ht="72" customHeight="1">
      <x:c r="A116" s="26" t="str">
        <x:v>Historical coverage</x:v>
      </x:c>
      <x:c r="B116" s="109" t="str">
        <x:v>10-K filed Feb 12, 2026</x:v>
      </x:c>
      <x:c r="C116" s="109" t="str">
        <x:v>0000059478-26-000013</x:v>
      </x:c>
      <x:c r="D116" s="18" t="str">
        <x:v>Operations p. 57; Borrowings Note 11 p. 77</x:v>
      </x:c>
      <x:c r="E116" s="1"/>
      <x:c r="F116" s="1"/>
      <x:c r="G116" s="1"/>
      <x:c r="H116" s="1"/>
      <x:c r="I116" s="1"/>
      <x:c r="J116" s="1"/>
      <x:c r="K116" s="1"/>
      <x:c r="L116" s="170" t="str">
        <x:v>https://www.sec.gov/Archives/edgar/data/59478/000005947826000013/lly-20251231.htm</x:v>
      </x:c>
      <x:c r="M116" s="1"/>
      <x:c r="N116" s="1"/>
      <x:c r="O116" s="1"/>
      <x:c r="P116" s="1"/>
      <x:c r="Q116" s="1"/>
      <x:c r="R116" s="1"/>
      <x:c r="S116" s="1"/>
      <x:c r="T116" s="1"/>
    </x:row>
    <x:row r="117">
      <x:c r="A117" s="1"/>
      <x:c r="B117" s="1"/>
      <x:c r="C117" s="1"/>
      <x:c r="D117" s="1"/>
      <x:c r="E117" s="1"/>
      <x:c r="F117" s="1"/>
      <x:c r="G117" s="1"/>
      <x:c r="H117" s="1"/>
      <x:c r="I117" s="1"/>
      <x:c r="J117" s="1"/>
      <x:c r="K117" s="1"/>
      <x:c r="L117" s="1"/>
      <x:c r="M117" s="1"/>
      <x:c r="N117" s="1"/>
      <x:c r="O117" s="1"/>
      <x:c r="P117" s="1"/>
      <x:c r="Q117" s="1"/>
      <x:c r="R117" s="1"/>
      <x:c r="S117" s="1"/>
      <x:c r="T117" s="1"/>
    </x:row>
    <x:row r="118">
      <x:c r="A118" s="1"/>
      <x:c r="B118" s="1"/>
      <x:c r="C118" s="1"/>
      <x:c r="D118" s="1"/>
      <x:c r="E118" s="1"/>
      <x:c r="F118" s="1"/>
      <x:c r="G118" s="1"/>
      <x:c r="H118" s="1"/>
      <x:c r="I118" s="1"/>
      <x:c r="J118" s="1"/>
      <x:c r="K118" s="1"/>
      <x:c r="L118" s="1"/>
      <x:c r="M118" s="1"/>
      <x:c r="N118" s="1"/>
      <x:c r="O118" s="1"/>
      <x:c r="P118" s="1"/>
      <x:c r="Q118" s="1"/>
      <x:c r="R118" s="1"/>
      <x:c r="S118" s="1"/>
      <x:c r="T118" s="1"/>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Selection / Unavailable reason</x:v>
      </x:c>
      <x:c r="O119" s="14" t="str">
        <x:v>Reviewed source SHA256</x:v>
      </x:c>
      <x:c r="P119" s="1"/>
      <x:c r="Q119" s="1"/>
      <x:c r="R119" s="1"/>
      <x:c r="S119" s="1"/>
      <x:c r="T119" s="1"/>
    </x:row>
    <x:row r="120" ht="78" customHeight="1">
      <x:c r="A120" s="25" t="str">
        <x:v>Current borrowing — short-term debt and current maturities</x:v>
      </x:c>
      <x:c r="B120" s="186" t="n">
        <x:f>B3</x:f>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v>USD instant at the balance-sheet date, from the latest original 10-K or 10-Q itself</x:v>
      </x:c>
      <x:c r="O120" s="16" t="str"/>
      <x:c r="P120" s="1"/>
      <x:c r="Q120" s="1"/>
      <x:c r="R120" s="1"/>
      <x:c r="S120" s="1"/>
      <x:c r="T120" s="1"/>
    </x:row>
    <x:row r="121" ht="78" customHeight="1">
      <x:c r="A121" s="25" t="str">
        <x:v>Noncurrent borrowing</x:v>
      </x:c>
      <x:c r="B121" s="186" t="n">
        <x:f>B4</x:f>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v>USD instant at the balance-sheet date, from the latest original 10-K or 10-Q itself</x:v>
      </x:c>
      <x:c r="O121" s="16" t="str"/>
      <x:c r="P121" s="1"/>
      <x:c r="Q121" s="1"/>
      <x:c r="R121" s="1"/>
      <x:c r="S121" s="1"/>
      <x:c r="T121" s="1"/>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USD instant at the balance-sheet date, from the latest original 10-K or 10-Q itself Latest-date lease liabilities Unavailable; no checked amount in the 10-Q.</x:v>
      </x:c>
      <x:c r="O122" s="16" t="str"/>
      <x:c r="P122" s="1"/>
      <x:c r="Q122" s="1"/>
      <x:c r="R122" s="1"/>
      <x:c r="S122" s="1"/>
      <x:c r="T122" s="1"/>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v>Exact prefixed tag; exact stated instant; USD; no dimensions; agreeing duplicates.</x:v>
      </x:c>
      <x:c r="O123" s="16" t="str">
        <x:v>d45f8d1e0945df0b7b30254e96ff8c5dbd1df7d15b17c8ef7399c8e0206b7d7f</x:v>
      </x:c>
      <x:c r="P123" s="1"/>
      <x:c r="Q123" s="1"/>
      <x:c r="R123" s="1"/>
      <x:c r="S123" s="1"/>
      <x:c r="T123" s="1"/>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v>Exact prefixed tag; exact stated instant; USD; no dimensions; agreeing duplicates.</x:v>
      </x:c>
      <x:c r="O124" s="16" t="str">
        <x:v>d45f8d1e0945df0b7b30254e96ff8c5dbd1df7d15b17c8ef7399c8e0206b7d7f</x:v>
      </x:c>
      <x:c r="P124" s="1"/>
      <x:c r="Q124" s="1"/>
      <x:c r="R124" s="1"/>
      <x:c r="S124" s="1"/>
      <x:c r="T124" s="1"/>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 No checked June amount. The 10-K describes operating leases only; finance leases are not reported, which is not zero.</x:v>
      </x:c>
      <x:c r="O125" s="16" t="str"/>
      <x:c r="P125" s="1"/>
      <x:c r="Q125" s="1"/>
      <x:c r="R125" s="1"/>
      <x:c r="S125" s="1"/>
      <x:c r="T125" s="1"/>
    </x:row>
    <x:row r="126" ht="78" customHeight="1">
      <x:c r="A126" s="25" t="str">
        <x:v>Leases not yet commenced — Unavailable</x:v>
      </x:c>
      <x:c r="B126" s="106"/>
      <x:c r="C126" s="107"/>
      <x:c r="D126" s="76" t="d">
        <x:v>2026-06-30T00:00:00.000Z</x:v>
      </x:c>
      <x:c r="E126" s="107" t="str">
        <x:v>10-Q</x:v>
      </x:c>
      <x:c r="F126" s="76" t="d">
        <x:v>2026-08-05T00:00:00.000Z</x:v>
      </x:c>
      <x:c r="G126" s="107" t="str">
        <x:v>0000059478-26-000081</x:v>
      </x:c>
      <x:c r="H126" s="107"/>
      <x:c r="I126" s="107"/>
      <x:c r="J126" s="107"/>
      <x:c r="K126" s="107"/>
      <x:c r="L126" s="107" t="str">
        <x:v>https://www.sec.gov/Archives/edgar/data/59478/000005947826000081/lly-20260630.htm</x:v>
      </x:c>
      <x:c r="M126" s="107" t="str">
        <x:v>Saved pilot evidence; 10-Q review</x:v>
      </x:c>
      <x:c r="N126" s="107" t="str">
        <x:v> No checked amount for leases not yet commenced is established in the saved pilot evidence. Unavailable does not mean zero.</x:v>
      </x:c>
      <x:c r="O126" s="16" t="str"/>
      <x:c r="P126" s="1"/>
      <x:c r="Q126" s="1"/>
      <x:c r="R126" s="1"/>
      <x:c r="S126" s="1"/>
      <x:c r="T126" s="1"/>
    </x:row>
    <x:row r="127" ht="78" customHeight="1">
      <x:c r="A127" s="25" t="str">
        <x:v>Commercial paper, carrying value</x:v>
      </x:c>
      <x:c r="B127" s="106" t="n">
        <x:v>5284000000</x:v>
      </x:c>
      <x:c r="C127" s="107"/>
      <x:c r="D127" s="76" t="d">
        <x:v>2026-06-30T00:00:00.000Z</x:v>
      </x:c>
      <x:c r="E127" s="107" t="str">
        <x:v>10-Q</x:v>
      </x:c>
      <x:c r="F127" s="76" t="d">
        <x:v>2026-08-05T00:00:00.000Z</x:v>
      </x:c>
      <x:c r="G127" s="107" t="str">
        <x:v>0000059478-26-000081</x:v>
      </x:c>
      <x:c r="H127" s="107" t="str">
        <x:v>us-gaap:CommercialPaper</x:v>
      </x:c>
      <x:c r="I127" s="107" t="str">
        <x:v>c-295</x:v>
      </x:c>
      <x:c r="J127" s="107" t="n">
        <x:v>6</x:v>
      </x:c>
      <x:c r="K127" s="107" t="str">
        <x:v>-6</x:v>
      </x:c>
      <x:c r="L127" s="107" t="str">
        <x:v>https://www.sec.gov/Archives/edgar/data/59478/000005947826000081/lly-20260630.htm</x:v>
      </x:c>
      <x:c r="M127" s="107" t="str">
        <x:v>Note 8, p. 17</x:v>
      </x:c>
      <x:c r="N127" s="107" t="str">
        <x:v>Exact filing, entity, USD instant and allowed dimensions; agreeing duplicates only.</x:v>
      </x:c>
      <x:c r="O127" s="16" t="str">
        <x:v>8e8f10cf3af98bc12a41985a98cfde9c2b9da8a812af18515d34ce3d8e1c1b3d</x:v>
      </x:c>
      <x:c r="P127" s="1"/>
      <x:c r="Q127" s="1"/>
      <x:c r="R127" s="1"/>
      <x:c r="S127" s="1"/>
      <x:c r="T127" s="1"/>
    </x:row>
    <x:row r="128" ht="78" customHeight="1">
      <x:c r="A128" s="25" t="str">
        <x:v>Current borrowing total</x:v>
      </x:c>
      <x:c r="B128" s="186" t="n">
        <x:f>B3</x:f>
        <x:v>7050000000</x:v>
      </x:c>
      <x:c r="C128" s="107"/>
      <x:c r="D128" s="76" t="d">
        <x:v>2026-06-30T00:00:00.000Z</x:v>
      </x:c>
      <x:c r="E128" s="107" t="str">
        <x:v>10-Q</x:v>
      </x:c>
      <x:c r="F128" s="76" t="d">
        <x:v>2026-08-05T00:00:00.000Z</x:v>
      </x:c>
      <x:c r="G128" s="107" t="str">
        <x:v>0000059478-26-000081</x:v>
      </x:c>
      <x:c r="H128" s="107" t="str">
        <x:v>us-gaap:DebtCurrent</x:v>
      </x:c>
      <x:c r="I128" s="107"/>
      <x:c r="J128" s="107"/>
      <x:c r="K128" s="107"/>
      <x:c r="L128" s="107" t="str">
        <x:v>https://www.sec.gov/Archives/edgar/data/59478/000005947826000081/lly-20260630.htm</x:v>
      </x:c>
      <x:c r="M128" s="107" t="str">
        <x:v>10-Q balance sheet, p. 7</x:v>
      </x:c>
      <x:c r="N128" s="107" t="str">
        <x:v>USD instant at the balance-sheet date, from the latest original 10-K or 10-Q itself</x:v>
      </x:c>
      <x:c r="O128" s="16" t="str"/>
      <x:c r="P128" s="1"/>
      <x:c r="Q128" s="1"/>
      <x:c r="R128" s="1"/>
      <x:c r="S128" s="1"/>
      <x:c r="T128" s="1"/>
    </x:row>
    <x:row r="129" ht="78" customHeight="1">
      <x:c r="A129" s="25" t="str">
        <x:v>Current liabilities</x:v>
      </x:c>
      <x:c r="B129" s="106" t="n">
        <x:v>47741000000</x:v>
      </x:c>
      <x:c r="C129" s="107"/>
      <x:c r="D129" s="76" t="d">
        <x:v>2026-06-30T00:00:00.000Z</x:v>
      </x:c>
      <x:c r="E129" s="107" t="str">
        <x:v>10-Q</x:v>
      </x:c>
      <x:c r="F129" s="76" t="d">
        <x:v>2026-08-05T00:00:00.000Z</x:v>
      </x:c>
      <x:c r="G129" s="107" t="str">
        <x:v>0000059478-26-000081</x:v>
      </x:c>
      <x:c r="H129" s="107" t="str">
        <x:v>us-gaap:LiabilitiesCurrent</x:v>
      </x:c>
      <x:c r="I129" s="107" t="str">
        <x:v>c-15</x:v>
      </x:c>
      <x:c r="J129" s="107" t="n">
        <x:v>6</x:v>
      </x:c>
      <x:c r="K129" s="107" t="str">
        <x:v>-6</x:v>
      </x:c>
      <x:c r="L129" s="107" t="str">
        <x:v>https://www.sec.gov/Archives/edgar/data/59478/000005947826000081/lly-20260630.htm</x:v>
      </x:c>
      <x:c r="M129" s="107" t="str">
        <x:v>Balance sheet, p. 7</x:v>
      </x:c>
      <x:c r="N129" s="107" t="str">
        <x:v>Exact filing, entity, USD instant and allowed dimensions; agreeing duplicates only.</x:v>
      </x:c>
      <x:c r="O129" s="16" t="str">
        <x:v>8e8f10cf3af98bc12a41985a98cfde9c2b9da8a812af18515d34ce3d8e1c1b3d</x:v>
      </x:c>
      <x:c r="P129" s="1"/>
      <x:c r="Q129" s="1"/>
      <x:c r="R129" s="1"/>
      <x:c r="S129" s="1"/>
      <x:c r="T129" s="1"/>
    </x:row>
    <x:row r="130" ht="78" customHeight="1">
      <x:c r="A130" s="26" t="str">
        <x:v>Noncurrent liabilities</x:v>
      </x:c>
      <x:c r="B130" s="108" t="n">
        <x:v>60663000000</x:v>
      </x:c>
      <x:c r="C130" s="109"/>
      <x:c r="D130" s="80" t="d">
        <x:v>2026-06-30T00:00:00.000Z</x:v>
      </x:c>
      <x:c r="E130" s="109" t="str">
        <x:v>10-Q</x:v>
      </x:c>
      <x:c r="F130" s="80" t="d">
        <x:v>2026-08-05T00:00:00.000Z</x:v>
      </x:c>
      <x:c r="G130" s="109" t="str">
        <x:v>0000059478-26-000081</x:v>
      </x:c>
      <x:c r="H130" s="109" t="str">
        <x:v>us-gaap:LiabilitiesNoncurrent</x:v>
      </x:c>
      <x:c r="I130" s="109" t="str">
        <x:v>c-15</x:v>
      </x:c>
      <x:c r="J130" s="109" t="n">
        <x:v>6</x:v>
      </x:c>
      <x:c r="K130" s="109" t="str">
        <x:v>-6</x:v>
      </x:c>
      <x:c r="L130" s="109" t="str">
        <x:v>https://www.sec.gov/Archives/edgar/data/59478/000005947826000081/lly-20260630.htm</x:v>
      </x:c>
      <x:c r="M130" s="109" t="str">
        <x:v>Balance sheet, p. 7</x:v>
      </x:c>
      <x:c r="N130" s="109" t="str">
        <x:v>Exact filing, entity, USD instant and allowed dimensions; agreeing duplicates only.</x:v>
      </x:c>
      <x:c r="O130" s="18" t="str">
        <x:v>8e8f10cf3af98bc12a41985a98cfde9c2b9da8a812af18515d34ce3d8e1c1b3d</x:v>
      </x:c>
      <x:c r="P130" s="1"/>
      <x:c r="Q130" s="1"/>
      <x:c r="R130" s="1"/>
      <x:c r="S130" s="1"/>
      <x:c r="T130" s="1"/>
    </x:row>
    <x:row r="131">
      <x:c r="A131" s="1"/>
      <x:c r="B131" s="1"/>
      <x:c r="C131" s="1"/>
      <x:c r="D131" s="1"/>
      <x:c r="E131" s="1"/>
      <x:c r="F131" s="1"/>
      <x:c r="G131" s="1"/>
      <x:c r="H131" s="1"/>
      <x:c r="I131" s="1"/>
      <x:c r="J131" s="1"/>
      <x:c r="K131" s="1"/>
      <x:c r="L131" s="1"/>
      <x:c r="M131" s="1"/>
      <x:c r="N131" s="1"/>
      <x:c r="O131" s="1"/>
      <x:c r="P131" s="1"/>
      <x:c r="Q131" s="1"/>
      <x:c r="R131" s="1"/>
      <x:c r="S131" s="1"/>
      <x:c r="T131" s="1"/>
    </x:row>
    <x:row r="132">
      <x:c r="A132" s="1"/>
      <x:c r="B132" s="1"/>
      <x:c r="C132" s="1"/>
      <x:c r="D132" s="1"/>
      <x:c r="E132" s="1"/>
      <x:c r="F132" s="1"/>
      <x:c r="G132" s="1"/>
      <x:c r="H132" s="1"/>
      <x:c r="I132" s="1"/>
      <x:c r="J132" s="1"/>
      <x:c r="K132" s="1"/>
      <x:c r="L132" s="1"/>
      <x:c r="M132" s="1"/>
      <x:c r="N132" s="1"/>
      <x:c r="O132" s="1"/>
      <x:c r="P132" s="1"/>
      <x:c r="Q132" s="1"/>
      <x:c r="R132" s="1"/>
      <x:c r="S132" s="1"/>
      <x:c r="T132" s="1"/>
    </x:row>
    <x:row r="133" ht="70" customHeight="1">
      <x:c r="A133" s="13" t="str">
        <x:v>Input</x:v>
      </x:c>
      <x:c r="B133" s="96" t="str">
        <x:v>USD millions</x:v>
      </x:c>
      <x:c r="C133" s="96" t="str">
        <x:v>Period start</x:v>
      </x:c>
      <x:c r="D133" s="96" t="str">
        <x:v>Period end</x:v>
      </x:c>
      <x:c r="E133" s="96" t="str">
        <x:v>Form</x:v>
      </x:c>
      <x:c r="F133" s="96" t="str">
        <x:v>Filed</x:v>
      </x:c>
      <x:c r="G133" s="96" t="str">
        <x:v>Accession</x:v>
      </x:c>
      <x:c r="H133" s="96" t="str">
        <x:v>Tag</x:v>
      </x:c>
      <x:c r="I133" s="96" t="str">
        <x:v>Context</x:v>
      </x:c>
      <x:c r="J133" s="96" t="str">
        <x:v>Scale</x:v>
      </x:c>
      <x:c r="K133" s="96" t="str">
        <x:v>Decimals</x:v>
      </x:c>
      <x:c r="L133" s="96" t="str">
        <x:v>Source</x:v>
      </x:c>
      <x:c r="M133" s="96" t="str">
        <x:v>Selection rule</x:v>
      </x:c>
      <x:c r="N133" s="96" t="str">
        <x:v>Unavailable reason</x:v>
      </x:c>
      <x:c r="O133" s="14" t="str">
        <x:v>Notes</x:v>
      </x:c>
      <x:c r="P133" s="1"/>
      <x:c r="Q133" s="1"/>
      <x:c r="R133" s="1"/>
      <x:c r="S133" s="1"/>
      <x:c r="T133" s="1"/>
    </x:row>
    <x:row r="134" ht="70" customHeight="1">
      <x:c r="A134" s="25" t="str">
        <x:v>Cash and cash equivalents</x:v>
      </x:c>
      <x:c r="B134" s="106" t="n">
        <x:v>7268000000</x:v>
      </x:c>
      <x:c r="C134" s="76"/>
      <x:c r="D134" s="76" t="d">
        <x:v>2025-12-31T00:00:00.000Z</x:v>
      </x:c>
      <x:c r="E134" s="107" t="str">
        <x:v>10-K</x:v>
      </x:c>
      <x:c r="F134" s="76" t="d">
        <x:v>2026-02-12T00:00:00.000Z</x:v>
      </x:c>
      <x:c r="G134" s="107" t="str">
        <x:v>0000059478-26-000013</x:v>
      </x:c>
      <x:c r="H134" s="107" t="str">
        <x:v>us-gaap:CashAndCashEquivalentsAtCarryingValue</x:v>
      </x:c>
      <x:c r="I134" s="107" t="str">
        <x:v>c-16</x:v>
      </x:c>
      <x:c r="J134" s="107" t="n">
        <x:v>6</x:v>
      </x:c>
      <x:c r="K134" s="107" t="str">
        <x:v>-6</x:v>
      </x:c>
      <x:c r="L134" s="107" t="str">
        <x:v>https://www.sec.gov/Archives/edgar/data/59478/000005947826000013/lly-20251231.htm</x:v>
      </x:c>
      <x:c r="M134" s="107" t="str">
        <x:v>10-K balance sheet p. 59; cash flows p. 61</x:v>
      </x:c>
      <x:c r="N134" s="107" t="str"/>
      <x:c r="O134" s="16" t="str">
        <x:v>d45f8d1e0945df0b7b30254e96ff8c5dbd1df7d15b17c8ef7399c8e0206b7d7f</x:v>
      </x:c>
      <x:c r="P134" s="1"/>
      <x:c r="Q134" s="1"/>
      <x:c r="R134" s="1"/>
      <x:c r="S134" s="1"/>
      <x:c r="T134" s="1"/>
    </x:row>
    <x:row r="135" ht="70" customHeight="1">
      <x:c r="A135" s="25" t="str">
        <x:v>Current assets</x:v>
      </x:c>
      <x:c r="B135" s="106" t="n">
        <x:v>55629000000</x:v>
      </x:c>
      <x:c r="C135" s="76"/>
      <x:c r="D135" s="76" t="d">
        <x:v>2025-12-31T00:00:00.000Z</x:v>
      </x:c>
      <x:c r="E135" s="107" t="str">
        <x:v>10-K</x:v>
      </x:c>
      <x:c r="F135" s="76" t="d">
        <x:v>2026-02-12T00:00:00.000Z</x:v>
      </x:c>
      <x:c r="G135" s="107" t="str">
        <x:v>0000059478-26-000013</x:v>
      </x:c>
      <x:c r="H135" s="107" t="str">
        <x:v>us-gaap:AssetsCurrent</x:v>
      </x:c>
      <x:c r="I135" s="107" t="str">
        <x:v>c-16</x:v>
      </x:c>
      <x:c r="J135" s="107" t="n">
        <x:v>6</x:v>
      </x:c>
      <x:c r="K135" s="107" t="str">
        <x:v>-6</x:v>
      </x:c>
      <x:c r="L135" s="107" t="str">
        <x:v>https://www.sec.gov/Archives/edgar/data/59478/000005947826000013/lly-20251231.htm</x:v>
      </x:c>
      <x:c r="M135" s="107" t="str">
        <x:v>10-K balance sheet p. 59; cash flows p. 61</x:v>
      </x:c>
      <x:c r="N135" s="107" t="str"/>
      <x:c r="O135" s="16" t="str">
        <x:v>d45f8d1e0945df0b7b30254e96ff8c5dbd1df7d15b17c8ef7399c8e0206b7d7f</x:v>
      </x:c>
      <x:c r="P135" s="1"/>
      <x:c r="Q135" s="1"/>
      <x:c r="R135" s="1"/>
      <x:c r="S135" s="1"/>
      <x:c r="T135" s="1"/>
    </x:row>
    <x:row r="136" ht="70" customHeight="1">
      <x:c r="A136" s="25" t="str">
        <x:v>Current liabilities</x:v>
      </x:c>
      <x:c r="B136" s="106" t="n">
        <x:v>35228000000</x:v>
      </x:c>
      <x:c r="C136" s="76"/>
      <x:c r="D136" s="76" t="d">
        <x:v>2025-12-31T00:00:00.000Z</x:v>
      </x:c>
      <x:c r="E136" s="107" t="str">
        <x:v>10-K</x:v>
      </x:c>
      <x:c r="F136" s="76" t="d">
        <x:v>2026-02-12T00:00:00.000Z</x:v>
      </x:c>
      <x:c r="G136" s="107" t="str">
        <x:v>0000059478-26-000013</x:v>
      </x:c>
      <x:c r="H136" s="107" t="str">
        <x:v>us-gaap:LiabilitiesCurrent</x:v>
      </x:c>
      <x:c r="I136" s="107" t="str">
        <x:v>c-16</x:v>
      </x:c>
      <x:c r="J136" s="107" t="n">
        <x:v>6</x:v>
      </x:c>
      <x:c r="K136" s="107" t="str">
        <x:v>-6</x:v>
      </x:c>
      <x:c r="L136" s="107" t="str">
        <x:v>https://www.sec.gov/Archives/edgar/data/59478/000005947826000013/lly-20251231.htm</x:v>
      </x:c>
      <x:c r="M136" s="107" t="str">
        <x:v>10-K balance sheet p. 59; cash flows p. 61</x:v>
      </x:c>
      <x:c r="N136" s="107" t="str"/>
      <x:c r="O136" s="16" t="str">
        <x:v>d45f8d1e0945df0b7b30254e96ff8c5dbd1df7d15b17c8ef7399c8e0206b7d7f</x:v>
      </x:c>
      <x:c r="P136" s="1"/>
      <x:c r="Q136" s="1"/>
      <x:c r="R136" s="1"/>
      <x:c r="S136" s="1"/>
      <x:c r="T136" s="1"/>
    </x:row>
    <x:row r="137" ht="70" customHeight="1">
      <x:c r="A137" s="25" t="str">
        <x:v>Short-term borrowings and current maturities of long-term debt</x:v>
      </x:c>
      <x:c r="B137" s="106" t="n">
        <x:v>1635000000</x:v>
      </x:c>
      <x:c r="C137" s="76"/>
      <x:c r="D137" s="76" t="d">
        <x:v>2025-12-31T00:00:00.000Z</x:v>
      </x:c>
      <x:c r="E137" s="107" t="str">
        <x:v>10-K</x:v>
      </x:c>
      <x:c r="F137" s="76" t="d">
        <x:v>2026-02-12T00:00:00.000Z</x:v>
      </x:c>
      <x:c r="G137" s="107" t="str">
        <x:v>0000059478-26-000013</x:v>
      </x:c>
      <x:c r="H137" s="107" t="str">
        <x:v>us-gaap:DebtCurrent</x:v>
      </x:c>
      <x:c r="I137" s="107" t="str">
        <x:v>c-16</x:v>
      </x:c>
      <x:c r="J137" s="107" t="n">
        <x:v>6</x:v>
      </x:c>
      <x:c r="K137" s="107" t="str">
        <x:v>-6</x:v>
      </x:c>
      <x:c r="L137" s="107" t="str">
        <x:v>https://www.sec.gov/Archives/edgar/data/59478/000005947826000013/lly-20251231.htm</x:v>
      </x:c>
      <x:c r="M137" s="107" t="str">
        <x:v>10-K balance sheet p. 59; cash flows p. 61</x:v>
      </x:c>
      <x:c r="N137" s="107" t="str"/>
      <x:c r="O137" s="16" t="str">
        <x:v>d45f8d1e0945df0b7b30254e96ff8c5dbd1df7d15b17c8ef7399c8e0206b7d7f</x:v>
      </x:c>
      <x:c r="P137" s="1"/>
      <x:c r="Q137" s="1"/>
      <x:c r="R137" s="1"/>
      <x:c r="S137" s="1"/>
      <x:c r="T137" s="1"/>
    </x:row>
    <x:row r="138" ht="70" customHeight="1">
      <x:c r="A138" s="25" t="str">
        <x:v>Long-term debt</x:v>
      </x:c>
      <x:c r="B138" s="106" t="n">
        <x:v>40868000000</x:v>
      </x:c>
      <x:c r="C138" s="76"/>
      <x:c r="D138" s="76" t="d">
        <x:v>2025-12-31T00:00:00.000Z</x:v>
      </x:c>
      <x:c r="E138" s="107" t="str">
        <x:v>10-K</x:v>
      </x:c>
      <x:c r="F138" s="76" t="d">
        <x:v>2026-02-12T00:00:00.000Z</x:v>
      </x:c>
      <x:c r="G138" s="107" t="str">
        <x:v>0000059478-26-000013</x:v>
      </x:c>
      <x:c r="H138" s="107" t="str">
        <x:v>us-gaap:LongTermDebtNoncurrent</x:v>
      </x:c>
      <x:c r="I138" s="107" t="str">
        <x:v>c-16</x:v>
      </x:c>
      <x:c r="J138" s="107" t="n">
        <x:v>6</x:v>
      </x:c>
      <x:c r="K138" s="107" t="str">
        <x:v>-6</x:v>
      </x:c>
      <x:c r="L138" s="107" t="str">
        <x:v>https://www.sec.gov/Archives/edgar/data/59478/000005947826000013/lly-20251231.htm</x:v>
      </x:c>
      <x:c r="M138" s="107" t="str">
        <x:v>10-K balance sheet p. 59; cash flows p. 61</x:v>
      </x:c>
      <x:c r="N138" s="107" t="str"/>
      <x:c r="O138" s="16" t="str">
        <x:v>d45f8d1e0945df0b7b30254e96ff8c5dbd1df7d15b17c8ef7399c8e0206b7d7f</x:v>
      </x:c>
      <x:c r="P138" s="1"/>
      <x:c r="Q138" s="1"/>
      <x:c r="R138" s="1"/>
      <x:c r="S138" s="1"/>
      <x:c r="T138" s="1"/>
    </x:row>
    <x:row r="139" ht="70" customHeight="1">
      <x:c r="A139" s="25" t="str">
        <x:v>Operating cash flow · fiscal year</x:v>
      </x:c>
      <x:c r="B139" s="106" t="n">
        <x:v>16813000000</x:v>
      </x:c>
      <x:c r="C139" s="76" t="d">
        <x:v>2025-01-01T00:00:00.000Z</x:v>
      </x:c>
      <x:c r="D139" s="76" t="d">
        <x:v>2025-12-31T00:00:00.000Z</x:v>
      </x:c>
      <x:c r="E139" s="107" t="str">
        <x:v>10-K</x:v>
      </x:c>
      <x:c r="F139" s="76" t="d">
        <x:v>2026-02-12T00:00:00.000Z</x:v>
      </x:c>
      <x:c r="G139" s="107" t="str">
        <x:v>0000059478-26-000013</x:v>
      </x:c>
      <x:c r="H139" s="107" t="str">
        <x:v>us-gaap:NetCashProvidedByUsedInOperatingActivities</x:v>
      </x:c>
      <x:c r="I139" s="107" t="str">
        <x:v>c-1</x:v>
      </x:c>
      <x:c r="J139" s="107" t="n">
        <x:v>6</x:v>
      </x:c>
      <x:c r="K139" s="107" t="str">
        <x:v>-6</x:v>
      </x:c>
      <x:c r="L139" s="107" t="str">
        <x:v>https://www.sec.gov/Archives/edgar/data/59478/000005947826000013/lly-20251231.htm</x:v>
      </x:c>
      <x:c r="M139" s="107" t="str">
        <x:v>Annual cash-flow statement</x:v>
      </x:c>
      <x:c r="N139" s="107" t="str"/>
      <x:c r="O139" s="16" t="str"/>
      <x:c r="P139" s="1"/>
      <x:c r="Q139" s="1"/>
      <x:c r="R139" s="1"/>
      <x:c r="S139" s="1"/>
      <x:c r="T139" s="1"/>
    </x:row>
    <x:row r="140" ht="70" customHeight="1">
      <x:c r="A140" s="26" t="str">
        <x:v>Purchases of property and equipment · fiscal year</x:v>
      </x:c>
      <x:c r="B140" s="108" t="n">
        <x:v>7841000000</x:v>
      </x:c>
      <x:c r="C140" s="80" t="d">
        <x:v>2025-01-01T00:00:00.000Z</x:v>
      </x:c>
      <x:c r="D140" s="80" t="d">
        <x:v>2025-12-31T00:00:00.000Z</x:v>
      </x:c>
      <x:c r="E140" s="109" t="str">
        <x:v>10-K</x:v>
      </x:c>
      <x:c r="F140" s="80" t="d">
        <x:v>2026-02-12T00:00:00.000Z</x:v>
      </x:c>
      <x:c r="G140" s="109" t="str">
        <x:v>0000059478-26-000013</x:v>
      </x:c>
      <x:c r="H140" s="109" t="str">
        <x:v>us-gaap:PaymentsToAcquireOtherPropertyPlantAndEquipment</x:v>
      </x:c>
      <x:c r="I140" s="109" t="str">
        <x:v>c-1</x:v>
      </x:c>
      <x:c r="J140" s="109" t="n">
        <x:v>6</x:v>
      </x:c>
      <x:c r="K140" s="109" t="str">
        <x:v>-6</x:v>
      </x:c>
      <x:c r="L140" s="109" t="str">
        <x:v>https://www.sec.gov/Archives/edgar/data/59478/000005947826000013/lly-20251231.htm</x:v>
      </x:c>
      <x:c r="M140" s="109" t="str">
        <x:v>Annual cash-flow statement</x:v>
      </x:c>
      <x:c r="N140" s="109" t="str"/>
      <x:c r="O140" s="18" t="str"/>
      <x:c r="P140" s="1"/>
      <x:c r="Q140" s="1"/>
      <x:c r="R140" s="1"/>
      <x:c r="S140" s="1"/>
      <x:c r="T140" s="1"/>
    </x:row>
    <x:row r="141">
      <x:c r="A141" s="1"/>
      <x:c r="B141" s="1"/>
      <x:c r="C141" s="1"/>
      <x:c r="D141" s="1"/>
      <x:c r="E141" s="1"/>
      <x:c r="F141" s="1"/>
      <x:c r="G141" s="1"/>
      <x:c r="H141" s="1"/>
      <x:c r="I141" s="1"/>
      <x:c r="J141" s="1"/>
      <x:c r="K141" s="1"/>
      <x:c r="L141" s="1"/>
      <x:c r="M141" s="1"/>
      <x:c r="N141" s="1"/>
      <x:c r="O141" s="1"/>
      <x:c r="P141" s="1"/>
      <x:c r="Q141" s="1"/>
      <x:c r="R141" s="1"/>
      <x:c r="S141" s="1"/>
      <x:c r="T141" s="1"/>
    </x:row>
    <x:row r="142">
      <x:c r="A142" s="1"/>
      <x:c r="B142" s="1"/>
      <x:c r="C142" s="1"/>
      <x:c r="D142" s="1"/>
      <x:c r="E142" s="1"/>
      <x:c r="F142" s="1"/>
      <x:c r="G142" s="1"/>
      <x:c r="H142" s="1"/>
      <x:c r="I142" s="1"/>
      <x:c r="J142" s="1"/>
      <x:c r="K142" s="1"/>
      <x:c r="L142" s="1"/>
      <x:c r="M142" s="1"/>
      <x:c r="N142" s="1"/>
      <x:c r="O142" s="1"/>
      <x:c r="P142" s="1"/>
      <x:c r="Q142" s="1"/>
      <x:c r="R142" s="1"/>
      <x:c r="S142" s="1"/>
      <x:c r="T142" s="1"/>
    </x:row>
    <x:row r="143" ht="78" customHeight="1">
      <x:c r="A143" s="13" t="str">
        <x:v>Input</x:v>
      </x:c>
      <x:c r="B143" s="96" t="str">
        <x:v>USD millions</x:v>
      </x:c>
      <x:c r="C143" s="96" t="str">
        <x:v>Period start</x:v>
      </x:c>
      <x:c r="D143" s="96" t="str">
        <x:v>Period end</x:v>
      </x:c>
      <x:c r="E143" s="96" t="str">
        <x:v>Form</x:v>
      </x:c>
      <x:c r="F143" s="96" t="str">
        <x:v>Filed</x:v>
      </x:c>
      <x:c r="G143" s="96" t="str">
        <x:v>Accession</x:v>
      </x:c>
      <x:c r="H143" s="96" t="str">
        <x:v>Tag</x:v>
      </x:c>
      <x:c r="I143" s="96" t="str">
        <x:v>Context</x:v>
      </x:c>
      <x:c r="J143" s="96" t="str">
        <x:v>Scale</x:v>
      </x:c>
      <x:c r="K143" s="96" t="str">
        <x:v>Decimals</x:v>
      </x:c>
      <x:c r="L143" s="96" t="str">
        <x:v>Source</x:v>
      </x:c>
      <x:c r="M143" s="96" t="str">
        <x:v>Selection rule</x:v>
      </x:c>
      <x:c r="N143" s="96" t="str">
        <x:v>Unavailable reason</x:v>
      </x:c>
      <x:c r="O143" s="14" t="str">
        <x:v>Notes</x:v>
      </x:c>
      <x:c r="P143" s="1"/>
      <x:c r="Q143" s="1"/>
      <x:c r="R143" s="1"/>
      <x:c r="S143" s="1"/>
      <x:c r="T143" s="1"/>
    </x:row>
    <x:row r="144" ht="78" customHeight="1">
      <x:c r="A144" s="25" t="str">
        <x:v>cash</x:v>
      </x:c>
      <x:c r="B144" s="223" t="n">
        <x:v>3818500000</x:v>
      </x:c>
      <x:c r="C144" s="107"/>
      <x:c r="D144" s="107" t="d">
        <x:v>2021-12-31T00:00:00.000Z</x:v>
      </x:c>
      <x:c r="E144" s="107" t="str">
        <x:v>10-K</x:v>
      </x:c>
      <x:c r="F144" s="107" t="d">
        <x:v>2022-02-23T00:00:00.000Z</x:v>
      </x:c>
      <x:c r="G144" s="107" t="str">
        <x:v>0000059478-22-000068</x:v>
      </x:c>
      <x:c r="H144" s="107" t="str">
        <x:v>us-gaap:CashAndCashEquivalentsAtCarryingValue</x:v>
      </x:c>
      <x:c r="I144" s="107" t="str">
        <x:v>ie685003a00ac4b9e88ea5a5aad91acf6_I20211231</x:v>
      </x:c>
      <x:c r="J144" s="107" t="n">
        <x:v>6</x:v>
      </x:c>
      <x:c r="K144" s="107" t="str">
        <x:v>-5</x:v>
      </x:c>
      <x:c r="L144" s="107" t="str">
        <x:v>https://www.sec.gov/Archives/edgar/data/59478/000005947822000068/lly-20211231.htm</x:v>
      </x:c>
      <x:c r="M144" s="107" t="str">
        <x:v>Printed p. 57; Cash and cash equivalents (Note 7) $ 3,818.5 $ 3,657.1</x:v>
      </x:c>
      <x:c r="N144" s="107" t="str">
        <x:v>Checked exact USD period and filing version.</x:v>
      </x:c>
      <x:c r="O144" s="16" t="str">
        <x:v>3b55fc2a0c0aff2551f8f8f10f42b91d99691169cfe6f73eab2f4ff6109f40b8</x:v>
      </x:c>
      <x:c r="P144" s="1"/>
      <x:c r="Q144" s="1"/>
      <x:c r="R144" s="1"/>
      <x:c r="S144" s="1"/>
      <x:c r="T144" s="1"/>
    </x:row>
    <x:row r="145" ht="78" customHeight="1">
      <x:c r="A145" s="25" t="str">
        <x:v>cash</x:v>
      </x:c>
      <x:c r="B145" s="223" t="n">
        <x:v>2067000000</x:v>
      </x:c>
      <x:c r="C145" s="107"/>
      <x:c r="D145" s="107" t="d">
        <x:v>2022-12-31T00:00:00.000Z</x:v>
      </x:c>
      <x:c r="E145" s="107" t="str">
        <x:v>10-K</x:v>
      </x:c>
      <x:c r="F145" s="107" t="d">
        <x:v>2023-02-22T00:00:00.000Z</x:v>
      </x:c>
      <x:c r="G145" s="107" t="str">
        <x:v>0000059478-23-000082</x:v>
      </x:c>
      <x:c r="H145" s="107" t="str">
        <x:v>us-gaap:CashAndCashEquivalentsAtCarryingValue</x:v>
      </x:c>
      <x:c r="I145" s="107" t="str">
        <x:v>ife049f03c96e47288db50605b1356b32_I20221231</x:v>
      </x:c>
      <x:c r="J145" s="107" t="n">
        <x:v>6</x:v>
      </x:c>
      <x:c r="K145" s="107" t="str">
        <x:v>-5</x:v>
      </x:c>
      <x:c r="L145" s="107" t="str">
        <x:v>https://www.sec.gov/Archives/edgar/data/59478/000005947823000082/lly-20221231.htm</x:v>
      </x:c>
      <x:c r="M145" s="107" t="str">
        <x:v>Printed p. 58; Cash and cash equivalents (Note 7) $ 2,067.0 $ 3,818.5</x:v>
      </x:c>
      <x:c r="N145" s="107" t="str">
        <x:v>Checked exact USD period and filing version.</x:v>
      </x:c>
      <x:c r="O145" s="16" t="str">
        <x:v>4cbed10c0c2bdcb9828495fbb64e9a93fed07b57c0a2ccd72c6e320d6fb763a2</x:v>
      </x:c>
      <x:c r="P145" s="1"/>
      <x:c r="Q145" s="1"/>
      <x:c r="R145" s="1"/>
      <x:c r="S145" s="1"/>
      <x:c r="T145" s="1"/>
    </x:row>
    <x:row r="146" ht="78" customHeight="1">
      <x:c r="A146" s="25" t="str">
        <x:v>cash</x:v>
      </x:c>
      <x:c r="B146" s="223" t="n">
        <x:v>2818600000</x:v>
      </x:c>
      <x:c r="C146" s="107"/>
      <x:c r="D146" s="107" t="d">
        <x:v>2023-12-31T00:00:00.000Z</x:v>
      </x:c>
      <x:c r="E146" s="107" t="str">
        <x:v>10-K</x:v>
      </x:c>
      <x:c r="F146" s="107" t="d">
        <x:v>2024-02-21T00:00:00.000Z</x:v>
      </x:c>
      <x:c r="G146" s="107" t="str">
        <x:v>0000059478-24-000065</x:v>
      </x:c>
      <x:c r="H146" s="107" t="str">
        <x:v>us-gaap:CashAndCashEquivalentsAtCarryingValue</x:v>
      </x:c>
      <x:c r="I146" s="107" t="str">
        <x:v>c-17</x:v>
      </x:c>
      <x:c r="J146" s="107" t="n">
        <x:v>6</x:v>
      </x:c>
      <x:c r="K146" s="107" t="str">
        <x:v>-5</x:v>
      </x:c>
      <x:c r="L146" s="107" t="str">
        <x:v>https://www.sec.gov/Archives/edgar/data/59478/000005947824000065/lly-20231231.htm</x:v>
      </x:c>
      <x:c r="M146" s="107" t="str">
        <x:v>Printed p. 59; Cash and cash equivalents (Note 7) $ 2,818.6 $ 2,067.0</x:v>
      </x:c>
      <x:c r="N146" s="107" t="str">
        <x:v>Checked exact USD period and filing version.</x:v>
      </x:c>
      <x:c r="O146" s="16" t="str">
        <x:v>b5fc840de60a167982197080635c29e32d2dbbcec8084d5be97e833fac19bf5c</x:v>
      </x:c>
      <x:c r="P146" s="1"/>
      <x:c r="Q146" s="1"/>
      <x:c r="R146" s="1"/>
      <x:c r="S146" s="1"/>
      <x:c r="T146" s="1"/>
    </x:row>
    <x:row r="147" ht="78" customHeight="1">
      <x:c r="A147" s="25" t="str">
        <x:v>cash</x:v>
      </x:c>
      <x:c r="B147" s="223" t="n">
        <x:v>3268400000</x:v>
      </x:c>
      <x:c r="C147" s="107"/>
      <x:c r="D147" s="107" t="d">
        <x:v>2024-12-31T00:00:00.000Z</x:v>
      </x:c>
      <x:c r="E147" s="107" t="str">
        <x:v>10-K</x:v>
      </x:c>
      <x:c r="F147" s="107" t="d">
        <x:v>2025-02-19T00:00:00.000Z</x:v>
      </x:c>
      <x:c r="G147" s="107" t="str">
        <x:v>0000059478-25-000067</x:v>
      </x:c>
      <x:c r="H147" s="107" t="str">
        <x:v>us-gaap:CashAndCashEquivalentsAtCarryingValue</x:v>
      </x:c>
      <x:c r="I147" s="107" t="str">
        <x:v>c-17</x:v>
      </x:c>
      <x:c r="J147" s="107" t="n">
        <x:v>6</x:v>
      </x:c>
      <x:c r="K147" s="107" t="str">
        <x:v>-5</x:v>
      </x:c>
      <x:c r="L147" s="107" t="str">
        <x:v>https://www.sec.gov/Archives/edgar/data/59478/000005947825000067/lly-20241231.htm</x:v>
      </x:c>
      <x:c r="M147" s="107" t="str">
        <x:v>Printed p. 60; Cash and cash equivalents (Note 7) $ 3,268.4 $ 2,818.6</x:v>
      </x:c>
      <x:c r="N147" s="107" t="str">
        <x:v>Checked exact USD period and filing version.</x:v>
      </x:c>
      <x:c r="O147" s="16" t="str">
        <x:v>e43c1e343f533f048fe5a0776fd1fa721cc9148206a7457e9d4468618f883fde</x:v>
      </x:c>
      <x:c r="P147" s="1"/>
      <x:c r="Q147" s="1"/>
      <x:c r="R147" s="1"/>
      <x:c r="S147" s="1"/>
      <x:c r="T147" s="1"/>
    </x:row>
    <x:row r="148" ht="78" customHeight="1">
      <x:c r="A148" s="25" t="str">
        <x:v>cash</x:v>
      </x:c>
      <x:c r="B148" s="223" t="n">
        <x:v>7268000000</x:v>
      </x:c>
      <x:c r="C148" s="107"/>
      <x:c r="D148" s="107" t="d">
        <x:v>2025-12-31T00:00:00.000Z</x:v>
      </x:c>
      <x:c r="E148" s="107" t="str">
        <x:v>10-K</x:v>
      </x:c>
      <x:c r="F148" s="107" t="d">
        <x:v>2026-02-12T00:00:00.000Z</x:v>
      </x:c>
      <x:c r="G148" s="107" t="str">
        <x:v>0000059478-26-000013</x:v>
      </x:c>
      <x:c r="H148" s="107" t="str">
        <x:v>us-gaap:CashAndCashEquivalentsAtCarryingValue</x:v>
      </x:c>
      <x:c r="I148" s="107" t="str">
        <x:v>c-16</x:v>
      </x:c>
      <x:c r="J148" s="107" t="n">
        <x:v>6</x:v>
      </x:c>
      <x:c r="K148" s="107" t="str">
        <x:v>-6</x:v>
      </x:c>
      <x:c r="L148" s="107" t="str">
        <x:v>https://www.sec.gov/Archives/edgar/data/59478/000005947826000013/lly-20251231.htm</x:v>
      </x:c>
      <x:c r="M148" s="107" t="str">
        <x:v>Printed p. 59; Cash and cash equivalents $ 7,268 $ 3,268</x:v>
      </x:c>
      <x:c r="N148" s="107" t="str">
        <x:v>Checked exact USD period and filing version.</x:v>
      </x:c>
      <x:c r="O148" s="16" t="str">
        <x:v>d45f8d1e0945df0b7b30254e96ff8c5dbd1df7d15b17c8ef7399c8e0206b7d7f</x:v>
      </x:c>
      <x:c r="P148" s="1"/>
      <x:c r="Q148" s="1"/>
      <x:c r="R148" s="1"/>
      <x:c r="S148" s="1"/>
      <x:c r="T148" s="1"/>
    </x:row>
    <x:row r="149" ht="78" customHeight="1">
      <x:c r="A149" s="25" t="str">
        <x:v>gross_debt</x:v>
      </x:c>
      <x:c r="B149" s="223" t="n">
        <x:v>1538300000</x:v>
      </x:c>
      <x:c r="C149" s="107"/>
      <x:c r="D149" s="107" t="d">
        <x:v>2021-12-31T00:00:00.000Z</x:v>
      </x:c>
      <x:c r="E149" s="107" t="str">
        <x:v>10-K</x:v>
      </x:c>
      <x:c r="F149" s="107" t="d">
        <x:v>2022-02-23T00:00:00.000Z</x:v>
      </x:c>
      <x:c r="G149" s="107" t="str">
        <x:v>0000059478-22-000068</x:v>
      </x:c>
      <x:c r="H149" s="107" t="str">
        <x:v>us-gaap:DebtCurrent</x:v>
      </x:c>
      <x:c r="I149" s="107" t="str">
        <x:v>ie685003a00ac4b9e88ea5a5aad91acf6_I20211231</x:v>
      </x:c>
      <x:c r="J149" s="107" t="n">
        <x:v>6</x:v>
      </x:c>
      <x:c r="K149" s="107" t="str">
        <x:v>-5</x:v>
      </x:c>
      <x:c r="L149" s="107" t="str">
        <x:v>https://www.sec.gov/Archives/edgar/data/59478/000005947822000068/lly-20211231.htm</x:v>
      </x:c>
      <x:c r="M149" s="107" t="str">
        <x:v>Printed p. 57; Short-term borrowings and current maturities of long-term debt (Note 11) $ 1,538.3 $ 8.7</x:v>
      </x:c>
      <x:c r="N149" s="107" t="str">
        <x:v>Checked exact USD period and filing version.</x:v>
      </x:c>
      <x:c r="O149" s="16" t="str">
        <x:v>3b55fc2a0c0aff2551f8f8f10f42b91d99691169cfe6f73eab2f4ff6109f40b8</x:v>
      </x:c>
      <x:c r="P149" s="1"/>
      <x:c r="Q149" s="1"/>
      <x:c r="R149" s="1"/>
      <x:c r="S149" s="1"/>
      <x:c r="T149" s="1"/>
    </x:row>
    <x:row r="150" ht="78" customHeight="1">
      <x:c r="A150" s="25" t="str">
        <x:v>gross_debt</x:v>
      </x:c>
      <x:c r="B150" s="223" t="n">
        <x:v>15346400000</x:v>
      </x:c>
      <x:c r="C150" s="107"/>
      <x:c r="D150" s="107" t="d">
        <x:v>2021-12-31T00:00:00.000Z</x:v>
      </x:c>
      <x:c r="E150" s="107" t="str">
        <x:v>10-K</x:v>
      </x:c>
      <x:c r="F150" s="107" t="d">
        <x:v>2022-02-23T00:00:00.000Z</x:v>
      </x:c>
      <x:c r="G150" s="107" t="str">
        <x:v>0000059478-22-000068</x:v>
      </x:c>
      <x:c r="H150" s="107" t="str">
        <x:v>us-gaap:LongTermDebtNoncurrent</x:v>
      </x:c>
      <x:c r="I150" s="107" t="str">
        <x:v>ie685003a00ac4b9e88ea5a5aad91acf6_I20211231</x:v>
      </x:c>
      <x:c r="J150" s="107" t="n">
        <x:v>6</x:v>
      </x:c>
      <x:c r="K150" s="107" t="str">
        <x:v>-5</x:v>
      </x:c>
      <x:c r="L150" s="107" t="str">
        <x:v>https://www.sec.gov/Archives/edgar/data/59478/000005947822000068/lly-20211231.htm</x:v>
      </x:c>
      <x:c r="M150" s="107" t="str">
        <x:v>Printed p. 57; Long-term debt (Note 11) 15,346.4 16,586.6</x:v>
      </x:c>
      <x:c r="N150" s="107" t="str">
        <x:v>Checked exact USD period and filing version.</x:v>
      </x:c>
      <x:c r="O150" s="16" t="str">
        <x:v>3b55fc2a0c0aff2551f8f8f10f42b91d99691169cfe6f73eab2f4ff6109f40b8</x:v>
      </x:c>
      <x:c r="P150" s="1"/>
      <x:c r="Q150" s="1"/>
      <x:c r="R150" s="1"/>
      <x:c r="S150" s="1"/>
      <x:c r="T150" s="1"/>
    </x:row>
    <x:row r="151" ht="78" customHeight="1">
      <x:c r="A151" s="25" t="str">
        <x:v>gross_debt</x:v>
      </x:c>
      <x:c r="B151" s="223" t="n">
        <x:v>1501100000</x:v>
      </x:c>
      <x:c r="C151" s="107"/>
      <x:c r="D151" s="107" t="d">
        <x:v>2022-12-31T00:00:00.000Z</x:v>
      </x:c>
      <x:c r="E151" s="107" t="str">
        <x:v>10-K</x:v>
      </x:c>
      <x:c r="F151" s="107" t="d">
        <x:v>2023-02-22T00:00:00.000Z</x:v>
      </x:c>
      <x:c r="G151" s="107" t="str">
        <x:v>0000059478-23-000082</x:v>
      </x:c>
      <x:c r="H151" s="107" t="str">
        <x:v>us-gaap:DebtCurrent</x:v>
      </x:c>
      <x:c r="I151" s="107" t="str">
        <x:v>ife049f03c96e47288db50605b1356b32_I20221231</x:v>
      </x:c>
      <x:c r="J151" s="107" t="n">
        <x:v>6</x:v>
      </x:c>
      <x:c r="K151" s="107" t="str">
        <x:v>-5</x:v>
      </x:c>
      <x:c r="L151" s="107" t="str">
        <x:v>https://www.sec.gov/Archives/edgar/data/59478/000005947823000082/lly-20221231.htm</x:v>
      </x:c>
      <x:c r="M151" s="107" t="str">
        <x:v>Printed p. 58; Short-term borrowings and current maturities of long-term debt (Note 11) $ 1,501.1 $ 1,538.3</x:v>
      </x:c>
      <x:c r="N151" s="107" t="str">
        <x:v>Checked exact USD period and filing version.</x:v>
      </x:c>
      <x:c r="O151" s="16" t="str">
        <x:v>4cbed10c0c2bdcb9828495fbb64e9a93fed07b57c0a2ccd72c6e320d6fb763a2</x:v>
      </x:c>
      <x:c r="P151" s="1"/>
      <x:c r="Q151" s="1"/>
      <x:c r="R151" s="1"/>
      <x:c r="S151" s="1"/>
      <x:c r="T151" s="1"/>
    </x:row>
    <x:row r="152" ht="78" customHeight="1">
      <x:c r="A152" s="25" t="str">
        <x:v>gross_debt</x:v>
      </x:c>
      <x:c r="B152" s="223" t="n">
        <x:v>14737500000</x:v>
      </x:c>
      <x:c r="C152" s="107"/>
      <x:c r="D152" s="107" t="d">
        <x:v>2022-12-31T00:00:00.000Z</x:v>
      </x:c>
      <x:c r="E152" s="107" t="str">
        <x:v>10-K</x:v>
      </x:c>
      <x:c r="F152" s="107" t="d">
        <x:v>2023-02-22T00:00:00.000Z</x:v>
      </x:c>
      <x:c r="G152" s="107" t="str">
        <x:v>0000059478-23-000082</x:v>
      </x:c>
      <x:c r="H152" s="107" t="str">
        <x:v>us-gaap:LongTermDebtNoncurrent</x:v>
      </x:c>
      <x:c r="I152" s="107" t="str">
        <x:v>ife049f03c96e47288db50605b1356b32_I20221231</x:v>
      </x:c>
      <x:c r="J152" s="107" t="n">
        <x:v>6</x:v>
      </x:c>
      <x:c r="K152" s="107" t="str">
        <x:v>-5</x:v>
      </x:c>
      <x:c r="L152" s="107" t="str">
        <x:v>https://www.sec.gov/Archives/edgar/data/59478/000005947823000082/lly-20221231.htm</x:v>
      </x:c>
      <x:c r="M152" s="107" t="str">
        <x:v>Printed p. 58; Long-term debt (Note 11) 14,737.5 15,346.4</x:v>
      </x:c>
      <x:c r="N152" s="107" t="str">
        <x:v>Checked exact USD period and filing version.</x:v>
      </x:c>
      <x:c r="O152" s="16" t="str">
        <x:v>4cbed10c0c2bdcb9828495fbb64e9a93fed07b57c0a2ccd72c6e320d6fb763a2</x:v>
      </x:c>
      <x:c r="P152" s="1"/>
      <x:c r="Q152" s="1"/>
      <x:c r="R152" s="1"/>
      <x:c r="S152" s="1"/>
      <x:c r="T152" s="1"/>
    </x:row>
    <x:row r="153" ht="78" customHeight="1">
      <x:c r="A153" s="25" t="str">
        <x:v>gross_debt</x:v>
      </x:c>
      <x:c r="B153" s="223" t="n">
        <x:v>6904500000</x:v>
      </x:c>
      <x:c r="C153" s="107"/>
      <x:c r="D153" s="107" t="d">
        <x:v>2023-12-31T00:00:00.000Z</x:v>
      </x:c>
      <x:c r="E153" s="107" t="str">
        <x:v>10-K</x:v>
      </x:c>
      <x:c r="F153" s="107" t="d">
        <x:v>2024-02-21T00:00:00.000Z</x:v>
      </x:c>
      <x:c r="G153" s="107" t="str">
        <x:v>0000059478-24-000065</x:v>
      </x:c>
      <x:c r="H153" s="107" t="str">
        <x:v>us-gaap:DebtCurrent</x:v>
      </x:c>
      <x:c r="I153" s="107" t="str">
        <x:v>c-17</x:v>
      </x:c>
      <x:c r="J153" s="107" t="n">
        <x:v>6</x:v>
      </x:c>
      <x:c r="K153" s="107" t="str">
        <x:v>-5</x:v>
      </x:c>
      <x:c r="L153" s="107" t="str">
        <x:v>https://www.sec.gov/Archives/edgar/data/59478/000005947824000065/lly-20231231.htm</x:v>
      </x:c>
      <x:c r="M153" s="107" t="str">
        <x:v>Printed p. 59; Short-term borrowings and current maturities of long-term debt (Note 11) $ 6,904.5 $ 1,501.1</x:v>
      </x:c>
      <x:c r="N153" s="107" t="str">
        <x:v>Checked exact USD period and filing version.</x:v>
      </x:c>
      <x:c r="O153" s="16" t="str">
        <x:v>b5fc840de60a167982197080635c29e32d2dbbcec8084d5be97e833fac19bf5c</x:v>
      </x:c>
      <x:c r="P153" s="1"/>
      <x:c r="Q153" s="1"/>
      <x:c r="R153" s="1"/>
      <x:c r="S153" s="1"/>
      <x:c r="T153" s="1"/>
    </x:row>
    <x:row r="154" ht="78" customHeight="1">
      <x:c r="A154" s="25" t="str">
        <x:v>gross_debt</x:v>
      </x:c>
      <x:c r="B154" s="223" t="n">
        <x:v>18320800000</x:v>
      </x:c>
      <x:c r="C154" s="107"/>
      <x:c r="D154" s="107" t="d">
        <x:v>2023-12-31T00:00:00.000Z</x:v>
      </x:c>
      <x:c r="E154" s="107" t="str">
        <x:v>10-K</x:v>
      </x:c>
      <x:c r="F154" s="107" t="d">
        <x:v>2024-02-21T00:00:00.000Z</x:v>
      </x:c>
      <x:c r="G154" s="107" t="str">
        <x:v>0000059478-24-000065</x:v>
      </x:c>
      <x:c r="H154" s="107" t="str">
        <x:v>us-gaap:LongTermDebtNoncurrent</x:v>
      </x:c>
      <x:c r="I154" s="107" t="str">
        <x:v>c-17</x:v>
      </x:c>
      <x:c r="J154" s="107" t="n">
        <x:v>6</x:v>
      </x:c>
      <x:c r="K154" s="107" t="str">
        <x:v>-5</x:v>
      </x:c>
      <x:c r="L154" s="107" t="str">
        <x:v>https://www.sec.gov/Archives/edgar/data/59478/000005947824000065/lly-20231231.htm</x:v>
      </x:c>
      <x:c r="M154" s="107" t="str">
        <x:v>Printed p. 59; Long-term debt (Note 11) 18,320.8 14,737.5</x:v>
      </x:c>
      <x:c r="N154" s="107" t="str">
        <x:v>Checked exact USD period and filing version.</x:v>
      </x:c>
      <x:c r="O154" s="16" t="str">
        <x:v>b5fc840de60a167982197080635c29e32d2dbbcec8084d5be97e833fac19bf5c</x:v>
      </x:c>
      <x:c r="P154" s="1"/>
      <x:c r="Q154" s="1"/>
      <x:c r="R154" s="1"/>
      <x:c r="S154" s="1"/>
      <x:c r="T154" s="1"/>
    </x:row>
    <x:row r="155" ht="78" customHeight="1">
      <x:c r="A155" s="25" t="str">
        <x:v>gross_debt</x:v>
      </x:c>
      <x:c r="B155" s="223" t="n">
        <x:v>5117100000</x:v>
      </x:c>
      <x:c r="C155" s="107"/>
      <x:c r="D155" s="107" t="d">
        <x:v>2024-12-31T00:00:00.000Z</x:v>
      </x:c>
      <x:c r="E155" s="107" t="str">
        <x:v>10-K</x:v>
      </x:c>
      <x:c r="F155" s="107" t="d">
        <x:v>2025-02-19T00:00:00.000Z</x:v>
      </x:c>
      <x:c r="G155" s="107" t="str">
        <x:v>0000059478-25-000067</x:v>
      </x:c>
      <x:c r="H155" s="107" t="str">
        <x:v>us-gaap:DebtCurrent</x:v>
      </x:c>
      <x:c r="I155" s="107" t="str">
        <x:v>c-17</x:v>
      </x:c>
      <x:c r="J155" s="107" t="n">
        <x:v>6</x:v>
      </x:c>
      <x:c r="K155" s="107" t="str">
        <x:v>-5</x:v>
      </x:c>
      <x:c r="L155" s="107" t="str">
        <x:v>https://www.sec.gov/Archives/edgar/data/59478/000005947825000067/lly-20241231.htm</x:v>
      </x:c>
      <x:c r="M155" s="107" t="str">
        <x:v>Printed p. 60; Short-term borrowings and current maturities of long-term debt (Note 11) $ 5,117.1 $ 6,904.5</x:v>
      </x:c>
      <x:c r="N155" s="107" t="str">
        <x:v>Checked exact USD period and filing version.</x:v>
      </x:c>
      <x:c r="O155" s="16" t="str">
        <x:v>e43c1e343f533f048fe5a0776fd1fa721cc9148206a7457e9d4468618f883fde</x:v>
      </x:c>
      <x:c r="P155" s="1"/>
      <x:c r="Q155" s="1"/>
      <x:c r="R155" s="1"/>
      <x:c r="S155" s="1"/>
      <x:c r="T155" s="1"/>
    </x:row>
    <x:row r="156" ht="78" customHeight="1">
      <x:c r="A156" s="25" t="str">
        <x:v>gross_debt</x:v>
      </x:c>
      <x:c r="B156" s="223" t="n">
        <x:v>28527100000</x:v>
      </x:c>
      <x:c r="C156" s="107"/>
      <x:c r="D156" s="107" t="d">
        <x:v>2024-12-31T00:00:00.000Z</x:v>
      </x:c>
      <x:c r="E156" s="107" t="str">
        <x:v>10-K</x:v>
      </x:c>
      <x:c r="F156" s="107" t="d">
        <x:v>2025-02-19T00:00:00.000Z</x:v>
      </x:c>
      <x:c r="G156" s="107" t="str">
        <x:v>0000059478-25-000067</x:v>
      </x:c>
      <x:c r="H156" s="107" t="str">
        <x:v>us-gaap:LongTermDebtNoncurrent</x:v>
      </x:c>
      <x:c r="I156" s="107" t="str">
        <x:v>c-17</x:v>
      </x:c>
      <x:c r="J156" s="107" t="n">
        <x:v>6</x:v>
      </x:c>
      <x:c r="K156" s="107" t="str">
        <x:v>-5</x:v>
      </x:c>
      <x:c r="L156" s="107" t="str">
        <x:v>https://www.sec.gov/Archives/edgar/data/59478/000005947825000067/lly-20241231.htm</x:v>
      </x:c>
      <x:c r="M156" s="107" t="str">
        <x:v>Printed p. 60; Long-term debt (Note 11) 28,527.1 18,320.8</x:v>
      </x:c>
      <x:c r="N156" s="107" t="str">
        <x:v>Checked exact USD period and filing version.</x:v>
      </x:c>
      <x:c r="O156" s="16" t="str">
        <x:v>e43c1e343f533f048fe5a0776fd1fa721cc9148206a7457e9d4468618f883fde</x:v>
      </x:c>
      <x:c r="P156" s="1"/>
      <x:c r="Q156" s="1"/>
      <x:c r="R156" s="1"/>
      <x:c r="S156" s="1"/>
      <x:c r="T156" s="1"/>
    </x:row>
    <x:row r="157" ht="78" customHeight="1">
      <x:c r="A157" s="25" t="str">
        <x:v>gross_debt</x:v>
      </x:c>
      <x:c r="B157" s="258" t="n">
        <x:f>B137</x:f>
        <x:v>1635000000</x:v>
      </x:c>
      <x:c r="C157" s="107"/>
      <x:c r="D157" s="107" t="d">
        <x:v>2025-12-31T00:00:00.000Z</x:v>
      </x:c>
      <x:c r="E157" s="107" t="str">
        <x:v>10-K</x:v>
      </x:c>
      <x:c r="F157" s="107" t="d">
        <x:v>2026-02-12T00:00:00.000Z</x:v>
      </x:c>
      <x:c r="G157" s="107" t="str">
        <x:v>0000059478-26-000013</x:v>
      </x:c>
      <x:c r="H157" s="107" t="str">
        <x:v>us-gaap:DebtCurrent</x:v>
      </x:c>
      <x:c r="I157" s="107" t="str">
        <x:v>c-16</x:v>
      </x:c>
      <x:c r="J157" s="107" t="n">
        <x:v>6</x:v>
      </x:c>
      <x:c r="K157" s="107" t="str">
        <x:v>-6</x:v>
      </x:c>
      <x:c r="L157" s="107" t="str">
        <x:v>https://www.sec.gov/Archives/edgar/data/59478/000005947826000013/lly-20251231.htm</x:v>
      </x:c>
      <x:c r="M157" s="107" t="str">
        <x:v>Printed p. 59; Short-term borrowings and current maturities of long-term debt $ 1,635 $ 5,117</x:v>
      </x:c>
      <x:c r="N157" s="107" t="str">
        <x:v>Checked exact USD period and filing version.</x:v>
      </x:c>
      <x:c r="O157" s="16" t="str">
        <x:v>d45f8d1e0945df0b7b30254e96ff8c5dbd1df7d15b17c8ef7399c8e0206b7d7f</x:v>
      </x:c>
      <x:c r="P157" s="1"/>
      <x:c r="Q157" s="1"/>
      <x:c r="R157" s="1"/>
      <x:c r="S157" s="1"/>
      <x:c r="T157" s="1"/>
    </x:row>
    <x:row r="158" ht="78" customHeight="1">
      <x:c r="A158" s="25" t="str">
        <x:v>gross_debt</x:v>
      </x:c>
      <x:c r="B158" s="258" t="n">
        <x:f>B138</x:f>
        <x:v>40868000000</x:v>
      </x:c>
      <x:c r="C158" s="107"/>
      <x:c r="D158" s="107" t="d">
        <x:v>2025-12-31T00:00:00.000Z</x:v>
      </x:c>
      <x:c r="E158" s="107" t="str">
        <x:v>10-K</x:v>
      </x:c>
      <x:c r="F158" s="107" t="d">
        <x:v>2026-02-12T00:00:00.000Z</x:v>
      </x:c>
      <x:c r="G158" s="107" t="str">
        <x:v>0000059478-26-000013</x:v>
      </x:c>
      <x:c r="H158" s="107" t="str">
        <x:v>us-gaap:LongTermDebtNoncurrent</x:v>
      </x:c>
      <x:c r="I158" s="107" t="str">
        <x:v>c-16</x:v>
      </x:c>
      <x:c r="J158" s="107" t="n">
        <x:v>6</x:v>
      </x:c>
      <x:c r="K158" s="107" t="str">
        <x:v>-6</x:v>
      </x:c>
      <x:c r="L158" s="107" t="str">
        <x:v>https://www.sec.gov/Archives/edgar/data/59478/000005947826000013/lly-20251231.htm</x:v>
      </x:c>
      <x:c r="M158" s="107" t="str">
        <x:v>Printed p. 59; Long-term debt 40,868 28,527</x:v>
      </x:c>
      <x:c r="N158" s="107" t="str">
        <x:v>Checked exact USD period and filing version.</x:v>
      </x:c>
      <x:c r="O158" s="16" t="str">
        <x:v>d45f8d1e0945df0b7b30254e96ff8c5dbd1df7d15b17c8ef7399c8e0206b7d7f</x:v>
      </x:c>
      <x:c r="P158" s="1"/>
      <x:c r="Q158" s="1"/>
      <x:c r="R158" s="1"/>
      <x:c r="S158" s="1"/>
      <x:c r="T158" s="1"/>
    </x:row>
    <x:row r="159" ht="78" customHeight="1">
      <x:c r="A159" s="25" t="str">
        <x:v>operating_cash_flow</x:v>
      </x:c>
      <x:c r="B159" s="223" t="n">
        <x:v>7365900000</x:v>
      </x:c>
      <x:c r="C159" s="107" t="d">
        <x:v>2021-01-01T00:00:00.000Z</x:v>
      </x:c>
      <x:c r="D159" s="107" t="d">
        <x:v>2021-12-31T00:00:00.000Z</x:v>
      </x:c>
      <x:c r="E159" s="107" t="str">
        <x:v>10-K</x:v>
      </x:c>
      <x:c r="F159" s="107" t="d">
        <x:v>2024-02-21T00:00:00.000Z</x:v>
      </x:c>
      <x:c r="G159" s="107" t="str">
        <x:v>0000059478-24-000065</x:v>
      </x:c>
      <x:c r="H159" s="107" t="str">
        <x:v>us-gaap:NetCashProvidedByUsedInOperatingActivities</x:v>
      </x:c>
      <x:c r="I159" s="107" t="str">
        <x:v>c-16</x:v>
      </x:c>
      <x:c r="J159" s="107" t="n">
        <x:v>6</x:v>
      </x:c>
      <x:c r="K159" s="107" t="str">
        <x:v>-5</x:v>
      </x:c>
      <x:c r="L159" s="107" t="str">
        <x:v>https://www.sec.gov/Archives/edgar/data/59478/000005947824000065/lly-20231231.htm</x:v>
      </x:c>
      <x:c r="M159" s="107" t="str">
        <x:v>Printed p. 61; Net Cash Provided by Operating Activities 4,240.1 7,585.7 7,365.9</x:v>
      </x:c>
      <x:c r="N159" s="107" t="str">
        <x:v>Checked exact USD period and filing version.</x:v>
      </x:c>
      <x:c r="O159" s="16" t="str">
        <x:v>b5fc840de60a167982197080635c29e32d2dbbcec8084d5be97e833fac19bf5c</x:v>
      </x:c>
      <x:c r="P159" s="1"/>
      <x:c r="Q159" s="1"/>
      <x:c r="R159" s="1"/>
      <x:c r="S159" s="1"/>
      <x:c r="T159" s="1"/>
    </x:row>
    <x:row r="160" ht="78" customHeight="1">
      <x:c r="A160" s="25" t="str">
        <x:v>operating_cash_flow</x:v>
      </x:c>
      <x:c r="B160" s="223" t="n">
        <x:v>7585700000</x:v>
      </x:c>
      <x:c r="C160" s="107" t="d">
        <x:v>2022-01-01T00:00:00.000Z</x:v>
      </x:c>
      <x:c r="D160" s="107" t="d">
        <x:v>2022-12-31T00:00:00.000Z</x:v>
      </x:c>
      <x:c r="E160" s="107" t="str">
        <x:v>10-K</x:v>
      </x:c>
      <x:c r="F160" s="107" t="d">
        <x:v>2024-02-21T00:00:00.000Z</x:v>
      </x:c>
      <x:c r="G160" s="107" t="str">
        <x:v>0000059478-24-000065</x:v>
      </x:c>
      <x:c r="H160" s="107" t="str">
        <x:v>us-gaap:NetCashProvidedByUsedInOperatingActivities</x:v>
      </x:c>
      <x:c r="I160" s="107" t="str">
        <x:v>c-15</x:v>
      </x:c>
      <x:c r="J160" s="107" t="n">
        <x:v>6</x:v>
      </x:c>
      <x:c r="K160" s="107" t="str">
        <x:v>-5</x:v>
      </x:c>
      <x:c r="L160" s="107" t="str">
        <x:v>https://www.sec.gov/Archives/edgar/data/59478/000005947824000065/lly-20231231.htm</x:v>
      </x:c>
      <x:c r="M160" s="107" t="str">
        <x:v>Printed p. 61; Net Cash Provided by Operating Activities 4,240.1 7,585.7 7,365.9</x:v>
      </x:c>
      <x:c r="N160" s="107" t="str">
        <x:v>Checked exact USD period and filing version.</x:v>
      </x:c>
      <x:c r="O160" s="16" t="str">
        <x:v>b5fc840de60a167982197080635c29e32d2dbbcec8084d5be97e833fac19bf5c</x:v>
      </x:c>
      <x:c r="P160" s="1"/>
      <x:c r="Q160" s="1"/>
      <x:c r="R160" s="1"/>
      <x:c r="S160" s="1"/>
      <x:c r="T160" s="1"/>
    </x:row>
    <x:row r="161" ht="78" customHeight="1">
      <x:c r="A161" s="25" t="str">
        <x:v>operating_cash_flow</x:v>
      </x:c>
      <x:c r="B161" s="223" t="n">
        <x:v>4240100000</x:v>
      </x:c>
      <x:c r="C161" s="107" t="d">
        <x:v>2023-01-01T00:00:00.000Z</x:v>
      </x:c>
      <x:c r="D161" s="107" t="d">
        <x:v>2023-12-31T00:00:00.000Z</x:v>
      </x:c>
      <x:c r="E161" s="107" t="str">
        <x:v>10-K</x:v>
      </x:c>
      <x:c r="F161" s="107" t="d">
        <x:v>2024-02-21T00:00:00.000Z</x:v>
      </x:c>
      <x:c r="G161" s="107" t="str">
        <x:v>0000059478-24-000065</x:v>
      </x:c>
      <x:c r="H161" s="107" t="str">
        <x:v>us-gaap:NetCashProvidedByUsedInOperatingActivities</x:v>
      </x:c>
      <x:c r="I161" s="107" t="str">
        <x:v>c-1</x:v>
      </x:c>
      <x:c r="J161" s="107" t="n">
        <x:v>6</x:v>
      </x:c>
      <x:c r="K161" s="107" t="str">
        <x:v>-5</x:v>
      </x:c>
      <x:c r="L161" s="107" t="str">
        <x:v>https://www.sec.gov/Archives/edgar/data/59478/000005947824000065/lly-20231231.htm</x:v>
      </x:c>
      <x:c r="M161" s="107" t="str">
        <x:v>Printed p. 61; Net Cash Provided by Operating Activities 4,240.1 7,585.7 7,365.9</x:v>
      </x:c>
      <x:c r="N161" s="107" t="str">
        <x:v>Checked exact USD period and filing version.</x:v>
      </x:c>
      <x:c r="O161" s="16" t="str">
        <x:v>b5fc840de60a167982197080635c29e32d2dbbcec8084d5be97e833fac19bf5c</x:v>
      </x:c>
      <x:c r="P161" s="1"/>
      <x:c r="Q161" s="1"/>
      <x:c r="R161" s="1"/>
      <x:c r="S161" s="1"/>
      <x:c r="T161" s="1"/>
    </x:row>
    <x:row r="162" ht="78" customHeight="1">
      <x:c r="A162" s="25" t="str">
        <x:v>operating_cash_flow</x:v>
      </x:c>
      <x:c r="B162" s="223" t="n">
        <x:v>8817900000</x:v>
      </x:c>
      <x:c r="C162" s="107" t="d">
        <x:v>2024-01-01T00:00:00.000Z</x:v>
      </x:c>
      <x:c r="D162" s="107" t="d">
        <x:v>2024-12-31T00:00:00.000Z</x:v>
      </x:c>
      <x:c r="E162" s="107" t="str">
        <x:v>10-K</x:v>
      </x:c>
      <x:c r="F162" s="107" t="d">
        <x:v>2025-02-19T00:00:00.000Z</x:v>
      </x:c>
      <x:c r="G162" s="107" t="str">
        <x:v>0000059478-25-000067</x:v>
      </x:c>
      <x:c r="H162" s="107" t="str">
        <x:v>us-gaap:NetCashProvidedByUsedInOperatingActivities</x:v>
      </x:c>
      <x:c r="I162" s="107" t="str">
        <x:v>c-1</x:v>
      </x:c>
      <x:c r="J162" s="107" t="n">
        <x:v>6</x:v>
      </x:c>
      <x:c r="K162" s="107" t="str">
        <x:v>-5</x:v>
      </x:c>
      <x:c r="L162" s="107" t="str">
        <x:v>https://www.sec.gov/Archives/edgar/data/59478/000005947825000067/lly-20241231.htm</x:v>
      </x:c>
      <x:c r="M162" s="107" t="str">
        <x:v>Printed p. 62; Net Cash Provided by Operating Activities 8,817.9 4,240.1 7,585.7</x:v>
      </x:c>
      <x:c r="N162" s="107" t="str">
        <x:v>Checked exact USD period and filing version.</x:v>
      </x:c>
      <x:c r="O162" s="16" t="str">
        <x:v>e43c1e343f533f048fe5a0776fd1fa721cc9148206a7457e9d4468618f883fde</x:v>
      </x:c>
      <x:c r="P162" s="1"/>
      <x:c r="Q162" s="1"/>
      <x:c r="R162" s="1"/>
      <x:c r="S162" s="1"/>
      <x:c r="T162" s="1"/>
    </x:row>
    <x:row r="163" ht="78" customHeight="1">
      <x:c r="A163" s="25" t="str">
        <x:v>operating_cash_flow</x:v>
      </x:c>
      <x:c r="B163" s="223" t="n">
        <x:v>16813000000</x:v>
      </x:c>
      <x:c r="C163" s="107" t="d">
        <x:v>2025-01-01T00:00:00.000Z</x:v>
      </x:c>
      <x:c r="D163" s="107" t="d">
        <x:v>2025-12-31T00:00:00.000Z</x:v>
      </x:c>
      <x:c r="E163" s="107" t="str">
        <x:v>10-K</x:v>
      </x:c>
      <x:c r="F163" s="107" t="d">
        <x:v>2026-02-12T00:00:00.000Z</x:v>
      </x:c>
      <x:c r="G163" s="107" t="str">
        <x:v>0000059478-26-000013</x:v>
      </x:c>
      <x:c r="H163" s="107" t="str">
        <x:v>us-gaap:NetCashProvidedByUsedInOperatingActivities</x:v>
      </x:c>
      <x:c r="I163" s="107" t="str">
        <x:v>c-1</x:v>
      </x:c>
      <x:c r="J163" s="107" t="n">
        <x:v>6</x:v>
      </x:c>
      <x:c r="K163" s="107" t="str">
        <x:v>-6</x:v>
      </x:c>
      <x:c r="L163" s="107" t="str">
        <x:v>https://www.sec.gov/Archives/edgar/data/59478/000005947826000013/lly-20251231.htm</x:v>
      </x:c>
      <x:c r="M163" s="107" t="str">
        <x:v>Printed p. 61; Net Cash Provided by Operating Activities 16,813 8,818 4,240</x:v>
      </x:c>
      <x:c r="N163" s="107" t="str">
        <x:v>Checked exact USD period and filing version.</x:v>
      </x:c>
      <x:c r="O163" s="16" t="str">
        <x:v>d45f8d1e0945df0b7b30254e96ff8c5dbd1df7d15b17c8ef7399c8e0206b7d7f</x:v>
      </x:c>
      <x:c r="P163" s="1"/>
      <x:c r="Q163" s="1"/>
      <x:c r="R163" s="1"/>
      <x:c r="S163" s="1"/>
      <x:c r="T163" s="1"/>
    </x:row>
    <x:row r="164" ht="78" customHeight="1">
      <x:c r="A164" s="25" t="str">
        <x:v>capital_spending</x:v>
      </x:c>
      <x:c r="B164" s="223" t="n">
        <x:v>1309800000</x:v>
      </x:c>
      <x:c r="C164" s="107" t="d">
        <x:v>2021-01-01T00:00:00.000Z</x:v>
      </x:c>
      <x:c r="D164" s="107" t="d">
        <x:v>2021-12-31T00:00:00.000Z</x:v>
      </x:c>
      <x:c r="E164" s="107" t="str">
        <x:v>10-K</x:v>
      </x:c>
      <x:c r="F164" s="107" t="d">
        <x:v>2024-02-21T00:00:00.000Z</x:v>
      </x:c>
      <x:c r="G164" s="107" t="str">
        <x:v>0000059478-24-000065</x:v>
      </x:c>
      <x:c r="H164" s="107" t="str">
        <x:v>us-gaap:PaymentsToAcquireOtherPropertyPlantAndEquipment</x:v>
      </x:c>
      <x:c r="I164" s="107" t="str">
        <x:v>c-16</x:v>
      </x:c>
      <x:c r="J164" s="107" t="n">
        <x:v>6</x:v>
      </x:c>
      <x:c r="K164" s="107" t="str">
        <x:v>-5</x:v>
      </x:c>
      <x:c r="L164" s="107" t="str">
        <x:v>https://www.sec.gov/Archives/edgar/data/59478/000005947824000065/lly-20231231.htm</x:v>
      </x:c>
      <x:c r="M164" s="107" t="str">
        <x:v>Printed p. 61; Purchases of property and equipment ( 3,447.6 ) ( 1,854.3 ) ( 1,309.8 )</x:v>
      </x:c>
      <x:c r="N164" s="107" t="str">
        <x:v>Checked exact USD period and filing version.</x:v>
      </x:c>
      <x:c r="O164" s="16" t="str">
        <x:v>b5fc840de60a167982197080635c29e32d2dbbcec8084d5be97e833fac19bf5c</x:v>
      </x:c>
      <x:c r="P164" s="1"/>
      <x:c r="Q164" s="1"/>
      <x:c r="R164" s="1"/>
      <x:c r="S164" s="1"/>
      <x:c r="T164" s="1"/>
    </x:row>
    <x:row r="165" ht="78" customHeight="1">
      <x:c r="A165" s="25" t="str">
        <x:v>capital_spending</x:v>
      </x:c>
      <x:c r="B165" s="223" t="n">
        <x:v>1854300000</x:v>
      </x:c>
      <x:c r="C165" s="107" t="d">
        <x:v>2022-01-01T00:00:00.000Z</x:v>
      </x:c>
      <x:c r="D165" s="107" t="d">
        <x:v>2022-12-31T00:00:00.000Z</x:v>
      </x:c>
      <x:c r="E165" s="107" t="str">
        <x:v>10-K</x:v>
      </x:c>
      <x:c r="F165" s="107" t="d">
        <x:v>2024-02-21T00:00:00.000Z</x:v>
      </x:c>
      <x:c r="G165" s="107" t="str">
        <x:v>0000059478-24-000065</x:v>
      </x:c>
      <x:c r="H165" s="107" t="str">
        <x:v>us-gaap:PaymentsToAcquireOtherPropertyPlantAndEquipment</x:v>
      </x:c>
      <x:c r="I165" s="107" t="str">
        <x:v>c-15</x:v>
      </x:c>
      <x:c r="J165" s="107" t="n">
        <x:v>6</x:v>
      </x:c>
      <x:c r="K165" s="107" t="str">
        <x:v>-5</x:v>
      </x:c>
      <x:c r="L165" s="107" t="str">
        <x:v>https://www.sec.gov/Archives/edgar/data/59478/000005947824000065/lly-20231231.htm</x:v>
      </x:c>
      <x:c r="M165" s="107" t="str">
        <x:v>Printed p. 61; Purchases of property and equipment ( 3,447.6 ) ( 1,854.3 ) ( 1,309.8 )</x:v>
      </x:c>
      <x:c r="N165" s="107" t="str">
        <x:v>Checked exact USD period and filing version.</x:v>
      </x:c>
      <x:c r="O165" s="16" t="str">
        <x:v>b5fc840de60a167982197080635c29e32d2dbbcec8084d5be97e833fac19bf5c</x:v>
      </x:c>
      <x:c r="P165" s="1"/>
      <x:c r="Q165" s="1"/>
      <x:c r="R165" s="1"/>
      <x:c r="S165" s="1"/>
      <x:c r="T165" s="1"/>
    </x:row>
    <x:row r="166" ht="78" customHeight="1">
      <x:c r="A166" s="25" t="str">
        <x:v>capital_spending</x:v>
      </x:c>
      <x:c r="B166" s="223" t="n">
        <x:v>3447600000</x:v>
      </x:c>
      <x:c r="C166" s="107" t="d">
        <x:v>2023-01-01T00:00:00.000Z</x:v>
      </x:c>
      <x:c r="D166" s="107" t="d">
        <x:v>2023-12-31T00:00:00.000Z</x:v>
      </x:c>
      <x:c r="E166" s="107" t="str">
        <x:v>10-K</x:v>
      </x:c>
      <x:c r="F166" s="107" t="d">
        <x:v>2024-02-21T00:00:00.000Z</x:v>
      </x:c>
      <x:c r="G166" s="107" t="str">
        <x:v>0000059478-24-000065</x:v>
      </x:c>
      <x:c r="H166" s="107" t="str">
        <x:v>us-gaap:PaymentsToAcquireOtherPropertyPlantAndEquipment</x:v>
      </x:c>
      <x:c r="I166" s="107" t="str">
        <x:v>c-1</x:v>
      </x:c>
      <x:c r="J166" s="107" t="n">
        <x:v>6</x:v>
      </x:c>
      <x:c r="K166" s="107" t="str">
        <x:v>-5</x:v>
      </x:c>
      <x:c r="L166" s="107" t="str">
        <x:v>https://www.sec.gov/Archives/edgar/data/59478/000005947824000065/lly-20231231.htm</x:v>
      </x:c>
      <x:c r="M166" s="107" t="str">
        <x:v>Printed p. 61; Purchases of property and equipment ( 3,447.6 ) ( 1,854.3 ) ( 1,309.8 )</x:v>
      </x:c>
      <x:c r="N166" s="107" t="str">
        <x:v>Checked exact USD period and filing version.</x:v>
      </x:c>
      <x:c r="O166" s="16" t="str">
        <x:v>b5fc840de60a167982197080635c29e32d2dbbcec8084d5be97e833fac19bf5c</x:v>
      </x:c>
      <x:c r="P166" s="1"/>
      <x:c r="Q166" s="1"/>
      <x:c r="R166" s="1"/>
      <x:c r="S166" s="1"/>
      <x:c r="T166" s="1"/>
    </x:row>
    <x:row r="167" ht="78" customHeight="1">
      <x:c r="A167" s="25" t="str">
        <x:v>capital_spending</x:v>
      </x:c>
      <x:c r="B167" s="223" t="n">
        <x:v>5057800000</x:v>
      </x:c>
      <x:c r="C167" s="107" t="d">
        <x:v>2024-01-01T00:00:00.000Z</x:v>
      </x:c>
      <x:c r="D167" s="107" t="d">
        <x:v>2024-12-31T00:00:00.000Z</x:v>
      </x:c>
      <x:c r="E167" s="107" t="str">
        <x:v>10-K</x:v>
      </x:c>
      <x:c r="F167" s="107" t="d">
        <x:v>2025-02-19T00:00:00.000Z</x:v>
      </x:c>
      <x:c r="G167" s="107" t="str">
        <x:v>0000059478-25-000067</x:v>
      </x:c>
      <x:c r="H167" s="107" t="str">
        <x:v>us-gaap:PaymentsToAcquireOtherPropertyPlantAndEquipment</x:v>
      </x:c>
      <x:c r="I167" s="107" t="str">
        <x:v>c-1</x:v>
      </x:c>
      <x:c r="J167" s="107" t="n">
        <x:v>6</x:v>
      </x:c>
      <x:c r="K167" s="107" t="str">
        <x:v>-5</x:v>
      </x:c>
      <x:c r="L167" s="107" t="str">
        <x:v>https://www.sec.gov/Archives/edgar/data/59478/000005947825000067/lly-20241231.htm</x:v>
      </x:c>
      <x:c r="M167" s="107" t="str">
        <x:v>Printed p. 62; Purchases of property and equipment ( 5,057.8 ) ( 3,447.6 ) ( 1,854.3 )</x:v>
      </x:c>
      <x:c r="N167" s="107" t="str">
        <x:v>Checked exact USD period and filing version.</x:v>
      </x:c>
      <x:c r="O167" s="16" t="str">
        <x:v>e43c1e343f533f048fe5a0776fd1fa721cc9148206a7457e9d4468618f883fde</x:v>
      </x:c>
      <x:c r="P167" s="1"/>
      <x:c r="Q167" s="1"/>
      <x:c r="R167" s="1"/>
      <x:c r="S167" s="1"/>
      <x:c r="T167" s="1"/>
    </x:row>
    <x:row r="168" ht="78" customHeight="1">
      <x:c r="A168" s="26" t="str">
        <x:v>capital_spending</x:v>
      </x:c>
      <x:c r="B168" s="224" t="n">
        <x:v>7841000000</x:v>
      </x:c>
      <x:c r="C168" s="109" t="d">
        <x:v>2025-01-01T00:00:00.000Z</x:v>
      </x:c>
      <x:c r="D168" s="109" t="d">
        <x:v>2025-12-31T00:00:00.000Z</x:v>
      </x:c>
      <x:c r="E168" s="109" t="str">
        <x:v>10-K</x:v>
      </x:c>
      <x:c r="F168" s="109" t="d">
        <x:v>2026-02-12T00:00:00.000Z</x:v>
      </x:c>
      <x:c r="G168" s="109" t="str">
        <x:v>0000059478-26-000013</x:v>
      </x:c>
      <x:c r="H168" s="109" t="str">
        <x:v>us-gaap:PaymentsToAcquireOtherPropertyPlantAndEquipment</x:v>
      </x:c>
      <x:c r="I168" s="109" t="str">
        <x:v>c-1</x:v>
      </x:c>
      <x:c r="J168" s="109" t="n">
        <x:v>6</x:v>
      </x:c>
      <x:c r="K168" s="109" t="str">
        <x:v>-6</x:v>
      </x:c>
      <x:c r="L168" s="109" t="str">
        <x:v>https://www.sec.gov/Archives/edgar/data/59478/000005947826000013/lly-20251231.htm</x:v>
      </x:c>
      <x:c r="M168" s="109" t="str">
        <x:v>Printed p. 61; Purchases of property and equipment ( 7,841 ) ( 5,058 ) ( 3,448 )</x:v>
      </x:c>
      <x:c r="N168" s="109" t="str">
        <x:v>Checked exact USD period and filing version.</x:v>
      </x:c>
      <x:c r="O168" s="18" t="str">
        <x:v>d45f8d1e0945df0b7b30254e96ff8c5dbd1df7d15b17c8ef7399c8e0206b7d7f</x:v>
      </x:c>
      <x:c r="P168" s="1"/>
      <x:c r="Q168" s="1"/>
      <x:c r="R168" s="1"/>
      <x:c r="S168" s="1"/>
      <x:c r="T168" s="1"/>
    </x:row>
  </x:sheetData>
  <x:hyperlinks xmlns:r="http://schemas.openxmlformats.org/officeDocument/2006/relationships">
    <x:hyperlink ref="L2" r:id="rIdSource1"/>
    <x:hyperlink ref="L3" r:id="rIdSource2"/>
    <x:hyperlink ref="L4" r:id="rIdSource3"/>
    <x:hyperlink ref="L5" r:id="rIdSource4"/>
    <x:hyperlink ref="L6" r:id="rIdSource5"/>
    <x:hyperlink ref="L7" r:id="rIdSource6"/>
    <x:hyperlink ref="L8" r:id="rIdSource7"/>
    <x:hyperlink ref="L9" r:id="rIdSource8"/>
    <x:hyperlink ref="L10" r:id="rIdSource9"/>
    <x:hyperlink ref="L11" r:id="rIdSource10"/>
    <x:hyperlink ref="L12" r:id="rIdSource11"/>
    <x:hyperlink ref="G16" r:id="rIdSource12"/>
    <x:hyperlink ref="G17" r:id="rIdSource13"/>
    <x:hyperlink ref="M21" r:id="rIdSource14"/>
    <x:hyperlink ref="M22" r:id="rIdSource15"/>
    <x:hyperlink ref="M23" r:id="rIdSource16"/>
    <x:hyperlink ref="M24" r:id="rIdSource17"/>
    <x:hyperlink ref="M25" r:id="rIdSource18"/>
    <x:hyperlink ref="M26" r:id="rIdSource19"/>
    <x:hyperlink ref="M27" r:id="rIdSource20"/>
    <x:hyperlink ref="M28" r:id="rIdSource21"/>
    <x:hyperlink ref="M29" r:id="rIdSource22"/>
    <x:hyperlink ref="M30" r:id="rIdSource23"/>
    <x:hyperlink ref="M31" r:id="rIdSource24"/>
    <x:hyperlink ref="M32" r:id="rIdSource25"/>
    <x:hyperlink ref="M33" r:id="rIdSource26"/>
    <x:hyperlink ref="M34" r:id="rIdSource27"/>
    <x:hyperlink ref="M35" r:id="rIdSource28"/>
    <x:hyperlink ref="M36" r:id="rIdSource29"/>
    <x:hyperlink ref="M37" r:id="rIdSource30"/>
    <x:hyperlink ref="M38" r:id="rIdSource31"/>
    <x:hyperlink ref="M39" r:id="rIdSource32"/>
    <x:hyperlink ref="M40" r:id="rIdSource33"/>
    <x:hyperlink ref="M41" r:id="rIdSource34"/>
    <x:hyperlink ref="M42" r:id="rIdSource35"/>
    <x:hyperlink ref="M43" r:id="rIdSource36"/>
    <x:hyperlink ref="M44" r:id="rIdSource37"/>
    <x:hyperlink ref="M45" r:id="rIdSource38"/>
    <x:hyperlink ref="M46" r:id="rIdSource39"/>
    <x:hyperlink ref="M47" r:id="rIdSource40"/>
    <x:hyperlink ref="M48" r:id="rIdSource41"/>
    <x:hyperlink ref="M49" r:id="rIdSource42"/>
    <x:hyperlink ref="M50" r:id="rIdSource43"/>
    <x:hyperlink ref="M51" r:id="rIdSource44"/>
    <x:hyperlink ref="M52" r:id="rIdSource45"/>
    <x:hyperlink ref="M53" r:id="rIdSource46"/>
    <x:hyperlink ref="M54" r:id="rIdSource47"/>
    <x:hyperlink ref="M55" r:id="rIdSource48"/>
    <x:hyperlink ref="M56" r:id="rIdSource49"/>
    <x:hyperlink ref="M57" r:id="rIdSource50"/>
    <x:hyperlink ref="M58" r:id="rIdSource51"/>
    <x:hyperlink ref="M59" r:id="rIdSource52"/>
    <x:hyperlink ref="M60" r:id="rIdSource53"/>
    <x:hyperlink ref="M61" r:id="rIdSource54"/>
    <x:hyperlink ref="M62" r:id="rIdSource55"/>
    <x:hyperlink ref="M63" r:id="rIdSource56"/>
    <x:hyperlink ref="M64" r:id="rIdSource57"/>
    <x:hyperlink ref="M65" r:id="rIdSource58"/>
    <x:hyperlink ref="M66" r:id="rIdSource59"/>
    <x:hyperlink ref="M67" r:id="rIdSource60"/>
    <x:hyperlink ref="M68" r:id="rIdSource61"/>
    <x:hyperlink ref="M69" r:id="rIdSource62"/>
    <x:hyperlink ref="M70" r:id="rIdSource63"/>
    <x:hyperlink ref="M71" r:id="rIdSource64"/>
    <x:hyperlink ref="M72" r:id="rIdSource65"/>
    <x:hyperlink ref="M73" r:id="rIdSource66"/>
    <x:hyperlink ref="M74" r:id="rIdSource67"/>
    <x:hyperlink ref="M75" r:id="rIdSource68"/>
    <x:hyperlink ref="M76" r:id="rIdSource69"/>
    <x:hyperlink ref="M77" r:id="rIdSource70"/>
    <x:hyperlink ref="M78" r:id="rIdSource71"/>
    <x:hyperlink ref="M79" r:id="rIdSource72"/>
    <x:hyperlink ref="M80" r:id="rIdSource73"/>
    <x:hyperlink ref="M81" r:id="rIdSource74"/>
    <x:hyperlink ref="M82" r:id="rIdSource75"/>
    <x:hyperlink ref="M83" r:id="rIdSource76"/>
    <x:hyperlink ref="M84" r:id="rIdSource77"/>
    <x:hyperlink ref="M85" r:id="rIdSource78"/>
    <x:hyperlink ref="M86" r:id="rIdSource79"/>
    <x:hyperlink ref="M87" r:id="rIdSource80"/>
    <x:hyperlink ref="M88" r:id="rIdSource81"/>
    <x:hyperlink ref="M89" r:id="rIdSource82"/>
    <x:hyperlink ref="M90" r:id="rIdSource83"/>
    <x:hyperlink ref="M91" r:id="rIdSource84"/>
    <x:hyperlink ref="M92" r:id="rIdSource85"/>
    <x:hyperlink ref="M93" r:id="rIdSource86"/>
    <x:hyperlink ref="M94" r:id="rIdSource87"/>
    <x:hyperlink ref="M95" r:id="rIdSource88"/>
    <x:hyperlink ref="M96" r:id="rIdSource89"/>
    <x:hyperlink ref="M97" r:id="rIdSource90"/>
    <x:hyperlink ref="M98" r:id="rIdSource91"/>
    <x:hyperlink ref="M99" r:id="rIdSource92"/>
    <x:hyperlink ref="M100" r:id="rIdSource93"/>
    <x:hyperlink ref="M101" r:id="rIdSource94"/>
    <x:hyperlink ref="M102" r:id="rIdSource95"/>
    <x:hyperlink ref="M103" r:id="rIdSource96"/>
    <x:hyperlink ref="L107" r:id="rIdSource97"/>
    <x:hyperlink ref="L108" r:id="rIdSource98"/>
    <x:hyperlink ref="L109" r:id="rIdSource99"/>
    <x:hyperlink ref="L110" r:id="rIdSource100"/>
    <x:hyperlink ref="L111" r:id="rIdSource101"/>
    <x:hyperlink ref="L112" r:id="rIdSource102"/>
    <x:hyperlink ref="L113" r:id="rIdSource103"/>
    <x:hyperlink ref="L114" r:id="rIdSource104"/>
    <x:hyperlink ref="L115" r:id="rIdSource105"/>
    <x:hyperlink ref="L116" r:id="rIdSource106"/>
    <x:hyperlink ref="L120" r:id="rIdSource107"/>
    <x:hyperlink ref="L121" r:id="rIdSource108"/>
    <x:hyperlink ref="L122" r:id="rIdSource109"/>
    <x:hyperlink ref="L123" r:id="rIdSource110"/>
    <x:hyperlink ref="L124" r:id="rIdSource111"/>
    <x:hyperlink ref="L125" r:id="rIdSource112"/>
    <x:hyperlink ref="L126" r:id="rIdSource113"/>
    <x:hyperlink ref="L127" r:id="rIdSource114"/>
    <x:hyperlink ref="L128" r:id="rIdSource115"/>
    <x:hyperlink ref="L129" r:id="rIdSource116"/>
    <x:hyperlink ref="L130" r:id="rIdSource117"/>
    <x:hyperlink ref="L134" r:id="rIdSource118"/>
    <x:hyperlink ref="L135" r:id="rIdSource119"/>
    <x:hyperlink ref="L136" r:id="rIdSource120"/>
    <x:hyperlink ref="L137" r:id="rIdSource121"/>
    <x:hyperlink ref="L138" r:id="rIdSource122"/>
    <x:hyperlink ref="L139" r:id="rIdSource123"/>
    <x:hyperlink ref="L140" r:id="rIdSource124"/>
    <x:hyperlink ref="L144" r:id="rIdSource125"/>
    <x:hyperlink ref="L145" r:id="rIdSource126"/>
    <x:hyperlink ref="L146" r:id="rIdSource127"/>
    <x:hyperlink ref="L147" r:id="rIdSource128"/>
    <x:hyperlink ref="L148" r:id="rIdSource129"/>
    <x:hyperlink ref="L149" r:id="rIdSource130"/>
    <x:hyperlink ref="L150" r:id="rIdSource131"/>
    <x:hyperlink ref="L151" r:id="rIdSource132"/>
    <x:hyperlink ref="L152" r:id="rIdSource133"/>
    <x:hyperlink ref="L153" r:id="rIdSource134"/>
    <x:hyperlink ref="L154" r:id="rIdSource135"/>
    <x:hyperlink ref="L155" r:id="rIdSource136"/>
    <x:hyperlink ref="L156" r:id="rIdSource137"/>
    <x:hyperlink ref="L157" r:id="rIdSource138"/>
    <x:hyperlink ref="L158" r:id="rIdSource139"/>
    <x:hyperlink ref="L159" r:id="rIdSource140"/>
    <x:hyperlink ref="L160" r:id="rIdSource141"/>
    <x:hyperlink ref="L161" r:id="rIdSource142"/>
    <x:hyperlink ref="L162" r:id="rIdSource143"/>
    <x:hyperlink ref="L163" r:id="rIdSource144"/>
    <x:hyperlink ref="L164" r:id="rIdSource145"/>
    <x:hyperlink ref="L165" r:id="rIdSource146"/>
    <x:hyperlink ref="L166" r:id="rIdSource147"/>
    <x:hyperlink ref="L167" r:id="rIdSource148"/>
    <x:hyperlink ref="L168" r:id="rIdSource149"/>
  </x:hyperlink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Vistra FY2025 borrowing now uses the checked annual presentation.</x:v>
      </x:c>
      <x:c r="C15" s="220" t="str">
        <x:v>https://github.com/jackconnolly1000-ux/sec-filing-research-terminal/blob/main/docs/company_history.md</x:v>
      </x:c>
    </x:row>
    <x:row r="16" ht="125" customHeight="1">
      <x:c r="A16" s="257" t="str">
        <x:v>Annual history basis</x:v>
      </x:c>
      <x:c r="B16" s="257"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x:v>
      </x:c>
      <x:c r="C16" s="257" t="str">
        <x:v>https://github.com/jackconnolly1000-ux/sec-filing-research-terminal/blob/main/docs/annual_history.md</x:v>
      </x:c>
    </x:row>
    <x:row r="17" ht="125" customHeight="1">
      <x:c r="A17" s="257" t="str">
        <x:v>Annual history basis</x:v>
      </x:c>
      <x:c r="B17" s="257" t="str">
        <x:v>2021/2022 cash flows use FY2023’s disclosed IPR&amp;D milestone reclassification. OCF increased by $105.2M/$501.3M through classification, not new cash generation. Cash and borrowing retain their original balance sheets. FCF does not deduct IPR&amp;D purchases.</x:v>
      </x:c>
      <x:c r="C17" s="257" t="str">
        <x:v>https://github.com/jackconnolly1000-ux/sec-filing-research-terminal/blob/main/docs/annual_history.md</x:v>
      </x:c>
    </x:row>
    <x:row r="18" ht="70" customHeight="1">
      <x:c r="A18" s="218" t="str">
        <x:v>Core charts</x:v>
      </x:c>
      <x:c r="B18" s="219" t="str">
        <x:v>Two native charts link to Debt and liquidity and History. Signed capital spending is a use; FCF is the result. Unavailable observations are omitted, never plotted as zero.</x:v>
      </x:c>
      <x:c r="C18" s="220" t="str">
        <x:v>https://github.com/jackconnolly1000-ux/sec-filing-research-terminal/blob/main/docs/core_charts.md</x:v>
      </x:c>
    </x:row>
    <x:row r="19" ht="76" customHeight="1">
      <x:c r="A19" s="218" t="str">
        <x:v>Workbook guide</x:v>
      </x:c>
      <x:c r="B19" s="219" t="str">
        <x:v>The first sheet lists all workbook tabs and their questions. Core metrics, dated history and common charts agree with the app. Source URLs are full text and open as links when selected.</x:v>
      </x:c>
      <x:c r="C19" s="220" t="str">
        <x:v>https://github.com/jackconnolly1000-ux/sec-filing-research-terminal/blob/main/docs/excel_parity.md</x:v>
      </x:c>
    </x:row>
  </x:sheetData>
  <x:hyperlinks xmlns:r="http://schemas.openxmlformats.org/officeDocument/2006/relationships">
    <x:hyperlink ref="C2" r:id="rIdSource1"/>
    <x:hyperlink ref="C4" r:id="rIdSource2"/>
    <x:hyperlink ref="C5" r:id="rIdSource3"/>
    <x:hyperlink ref="C6" r:id="rIdSource4"/>
    <x:hyperlink ref="C7" r:id="rIdSource5"/>
    <x:hyperlink ref="C8" r:id="rIdSource6"/>
    <x:hyperlink ref="C9" r:id="rIdSource7"/>
    <x:hyperlink ref="C10" r:id="rIdSource8"/>
    <x:hyperlink ref="C11" r:id="rIdSource9"/>
    <x:hyperlink ref="C13" r:id="rIdSource10"/>
    <x:hyperlink ref="C14" r:id="rIdSource11"/>
    <x:hyperlink ref="C15" r:id="rIdSource12"/>
    <x:hyperlink ref="C16" r:id="rIdSource13"/>
    <x:hyperlink ref="C17" r:id="rIdSource14"/>
    <x:hyperlink ref="C18" r:id="rIdSource15"/>
    <x:hyperlink ref="C19" r:id="rIdSource16"/>
  </x:hyperlinks>
  <x:pageMargins left="0.7" right="0.7" top="0.75" bottom="0.75" header="0.3" footer="0.3"/>
</x:worksheet>
</file>