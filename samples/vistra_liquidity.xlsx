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16d18e63c54dd9" /></Relationships>
</file>

<file path=xl/workbook.xml><?xml version="1.0" encoding="utf-8"?>
<x:workbook xmlns:x="http://schemas.openxmlformats.org/spreadsheetml/2006/main">
  <x:sheets>
    <x:sheet xmlns:r="http://schemas.openxmlformats.org/officeDocument/2006/relationships" name="Funding conclusion" sheetId="1" r:id="R6251040e8f384dbf"/>
    <x:sheet xmlns:r="http://schemas.openxmlformats.org/officeDocument/2006/relationships" name="Borrowing and leases" sheetId="2" r:id="Rd71c464d47cb4fe5"/>
    <x:sheet xmlns:r="http://schemas.openxmlformats.org/officeDocument/2006/relationships" name="Debt and liquidity" sheetId="3" r:id="R2140979ca36141a9"/>
    <x:sheet xmlns:r="http://schemas.openxmlformats.org/officeDocument/2006/relationships" name="History" sheetId="4" r:id="R436484aba59d42df"/>
    <x:sheet xmlns:r="http://schemas.openxmlformats.org/officeDocument/2006/relationships" name="Core charts" sheetId="5" r:id="Rd302a8f77c454c52"/>
    <x:sheet xmlns:r="http://schemas.openxmlformats.org/officeDocument/2006/relationships" name="Cash review" sheetId="6" r:id="R798801041ba54c35"/>
    <x:sheet xmlns:r="http://schemas.openxmlformats.org/officeDocument/2006/relationships" name="Payment dates" sheetId="7" r:id="R63c9cf7297314c88"/>
    <x:sheet xmlns:r="http://schemas.openxmlformats.org/officeDocument/2006/relationships" name="Financing capacity" sheetId="8" r:id="R0acfef3fa9574757"/>
    <x:sheet xmlns:r="http://schemas.openxmlformats.org/officeDocument/2006/relationships" name="Data" sheetId="9" r:id="Ra56e0ce3b96b44e5"/>
    <x:sheet xmlns:r="http://schemas.openxmlformats.org/officeDocument/2006/relationships" name="About" sheetId="10" r:id="R2ebc697b99e44b2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19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s>
  <x:cellStyleXfs count="1">
    <x:xf numFmtId="0" fontId="0" fillId="0" borderId="0"/>
  </x:cellStyleXfs>
  <x:cellXfs count="48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2" fillId="0" borderId="22"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0"/>
    </x:xf>
    <x:xf numFmtId="0" fontId="2" fillId="0" borderId="25" xfId="0" applyNumberFormat="1" applyFont="1" applyFill="1" applyBorder="1" applyAlignment="1">
      <x:alignment vertical="top" wrapText="0"/>
    </x:xf>
    <x:xf numFmtId="0" fontId="3" fillId="2" borderId="26" xfId="0" applyNumberFormat="1" applyFont="1" applyFill="1" applyBorder="1" applyAlignment="1">
      <x:alignment horizontal="center" vertical="top" wrapText="1"/>
    </x:xf>
    <x:xf numFmtId="0" fontId="3" fillId="2" borderId="27" xfId="0" applyNumberFormat="1" applyFont="1" applyFill="1" applyBorder="1" applyAlignment="1">
      <x:alignment horizontal="center" vertical="top" wrapText="1"/>
    </x:xf>
    <x:xf numFmtId="0" fontId="3" fillId="0" borderId="28"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3"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5" fillId="0" borderId="32" xfId="0" applyNumberFormat="1" applyFont="1" applyFill="1" applyBorder="1" applyAlignment="1">
      <x:alignment vertical="top" wrapText="1"/>
    </x:xf>
    <x:xf numFmtId="200" fontId="6"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3"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2" borderId="42" xfId="0" applyNumberFormat="1" applyFont="1" applyFill="1" applyBorder="1" applyAlignment="1">
      <x:alignment horizontal="center" vertical="top" wrapText="1"/>
    </x:xf>
    <x:xf numFmtId="201" fontId="12" fillId="0" borderId="43" xfId="0" applyNumberFormat="1" applyFont="1" applyFill="1" applyBorder="1" applyAlignment="1">
      <x:alignment vertical="top" wrapText="1"/>
    </x:xf>
    <x:xf numFmtId="202" fontId="2" fillId="0" borderId="44" xfId="0" applyNumberFormat="1" applyFont="1" applyFill="1" applyBorder="1" applyAlignment="1">
      <x:alignment vertical="top" wrapText="1"/>
    </x:xf>
    <x:xf numFmtId="0" fontId="2"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17" fillId="0" borderId="47" xfId="0" applyNumberFormat="1" applyFont="1" applyFill="1" applyBorder="1" applyAlignment="1">
      <x:alignment vertical="top" wrapText="1"/>
    </x:xf>
    <x:xf numFmtId="202" fontId="3" fillId="0" borderId="48" xfId="0" applyNumberFormat="1" applyFont="1" applyFill="1" applyBorder="1" applyAlignment="1">
      <x:alignment vertical="top" wrapText="1"/>
    </x:xf>
    <x:xf numFmtId="0"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201" fontId="2" fillId="0" borderId="51" xfId="0" applyNumberFormat="1" applyFont="1" applyFill="1" applyBorder="1" applyAlignment="1">
      <x:alignment vertical="top" wrapText="1"/>
    </x:xf>
    <x:xf numFmtId="202" fontId="2" fillId="0" borderId="52" xfId="0" applyNumberFormat="1" applyFont="1" applyFill="1" applyBorder="1" applyAlignment="1">
      <x:alignment vertical="top" wrapText="1"/>
    </x:xf>
    <x:xf numFmtId="201" fontId="3" fillId="2" borderId="53" xfId="0" applyNumberFormat="1" applyFont="1" applyFill="1" applyBorder="1" applyAlignment="1">
      <x:alignment horizontal="center" vertical="top" wrapText="1"/>
    </x:xf>
    <x:xf numFmtId="202" fontId="3" fillId="2" borderId="54" xfId="0" applyNumberFormat="1" applyFont="1" applyFill="1" applyBorder="1" applyAlignment="1">
      <x:alignment horizontal="center" vertical="top" wrapText="1"/>
    </x:xf>
    <x:xf numFmtId="201" fontId="2"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17" fillId="0" borderId="57" xfId="0" applyNumberFormat="1" applyFont="1" applyFill="1" applyBorder="1" applyAlignment="1">
      <x:alignment vertical="top" wrapText="1"/>
    </x:xf>
    <x:xf numFmtId="202"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2" fillId="0" borderId="62" xfId="0" applyNumberFormat="1" applyFont="1" applyFill="1" applyBorder="1" applyAlignment="1">
      <x:alignment vertical="top" wrapText="1"/>
    </x:xf>
    <x:xf numFmtId="202"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22"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3" fillId="0" borderId="68" xfId="0" applyNumberFormat="1" applyFont="1" applyFill="1" applyBorder="1" applyAlignment="1">
      <x:alignment vertical="top" wrapText="1"/>
    </x:xf>
    <x:xf numFmtId="201" fontId="19" fillId="0" borderId="69" xfId="0" applyNumberFormat="1" applyFont="1" applyFill="1" applyBorder="1" applyAlignment="1">
      <x:alignment vertical="top" wrapText="1"/>
    </x:xf>
    <x:xf numFmtId="0" fontId="23"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204" fontId="13" fillId="0" borderId="72" xfId="0" applyNumberFormat="1" applyFont="1" applyFill="1" applyBorder="1" applyAlignment="1">
      <x:alignment vertical="top" wrapText="1"/>
    </x:xf>
    <x:xf numFmtId="200" fontId="12" fillId="0" borderId="73" xfId="0" applyNumberFormat="1" applyFont="1" applyFill="1" applyBorder="1" applyAlignment="1">
      <x:alignment vertical="top" wrapText="1"/>
    </x:xf>
    <x:xf numFmtId="202" fontId="2" fillId="0" borderId="74" xfId="0" applyNumberFormat="1" applyFont="1" applyFill="1" applyBorder="1" applyAlignment="1">
      <x:alignment vertical="top" wrapText="1"/>
    </x:xf>
    <x:xf numFmtId="0" fontId="23"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3" fillId="0" borderId="79" xfId="0" applyNumberFormat="1" applyFont="1" applyFill="1" applyBorder="1" applyAlignment="1">
      <x:alignment vertical="top" wrapText="1"/>
    </x:xf>
    <x:xf numFmtId="201" fontId="13" fillId="0" borderId="80" xfId="0" applyNumberFormat="1" applyFont="1" applyFill="1" applyBorder="1" applyAlignment="1">
      <x:alignment vertical="top" wrapText="1"/>
    </x:xf>
    <x:xf numFmtId="204" fontId="13" fillId="0" borderId="81" xfId="0" applyNumberFormat="1" applyFont="1" applyFill="1" applyBorder="1" applyAlignment="1">
      <x:alignment vertical="top" wrapText="1"/>
    </x:xf>
    <x:xf numFmtId="204" fontId="12" fillId="0" borderId="82" xfId="0" applyNumberFormat="1" applyFont="1" applyFill="1" applyBorder="1" applyAlignment="1">
      <x:alignment vertical="top" wrapText="1"/>
    </x:xf>
    <x:xf numFmtId="0" fontId="2" fillId="0" borderId="83" xfId="0" applyNumberFormat="1" applyFont="1" applyFill="1" applyBorder="1"/>
    <x:xf numFmtId="0" fontId="3" fillId="2" borderId="84" xfId="0" applyNumberFormat="1" applyFont="1" applyFill="1" applyBorder="1" applyAlignment="1">
      <x:alignment horizontal="center" vertical="top" wrapText="1"/>
    </x:xf>
    <x:xf numFmtId="201" fontId="12" fillId="0" borderId="85" xfId="0" applyNumberFormat="1" applyFont="1" applyFill="1" applyBorder="1" applyAlignment="1">
      <x:alignment vertical="top" wrapText="1"/>
    </x:xf>
    <x:xf numFmtId="201" fontId="12" fillId="0" borderId="86" xfId="0" applyNumberFormat="1" applyFont="1" applyFill="1" applyBorder="1" applyAlignment="1">
      <x:alignment vertical="top" wrapText="1"/>
    </x:xf>
    <x:xf numFmtId="201" fontId="12" fillId="0" borderId="87" xfId="0" applyNumberFormat="1" applyFont="1" applyFill="1" applyBorder="1" applyAlignment="1">
      <x:alignment vertical="top" wrapText="1"/>
    </x:xf>
    <x:xf numFmtId="0" fontId="4"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5" fillId="0" borderId="90" xfId="0" applyNumberFormat="1" applyFont="1" applyFill="1" applyBorder="1" applyAlignment="1">
      <x:alignment vertical="center" wrapText="0"/>
    </x:xf>
    <x:xf numFmtId="0" fontId="2" fillId="0" borderId="91" xfId="0" applyNumberFormat="1" applyFont="1" applyFill="1" applyBorder="1" applyAlignment="1">
      <x:alignment vertical="center" wrapText="0"/>
    </x:xf>
    <x:xf numFmtId="0" fontId="3" fillId="2" borderId="92" xfId="0" applyNumberFormat="1" applyFont="1" applyFill="1" applyBorder="1" applyAlignment="1">
      <x:alignment horizontal="center" vertical="center" wrapText="0"/>
    </x:xf>
    <x:xf numFmtId="0" fontId="3" fillId="2" borderId="93" xfId="0" applyNumberFormat="1" applyFont="1" applyFill="1" applyBorder="1" applyAlignment="1">
      <x:alignment horizontal="center" vertical="center" wrapText="0"/>
    </x:xf>
    <x:xf numFmtId="0" fontId="3" fillId="0" borderId="94" xfId="0" applyNumberFormat="1" applyFont="1" applyFill="1" applyBorder="1" applyAlignment="1">
      <x:alignment vertical="center" wrapText="0"/>
    </x:xf>
    <x:xf numFmtId="0" fontId="16" fillId="0" borderId="95" xfId="0" applyNumberFormat="1" applyFont="1" applyFill="1" applyBorder="1"/>
    <x:xf numFmtId="0" fontId="2" fillId="0" borderId="96" xfId="0" applyNumberFormat="1" applyFont="1" applyFill="1" applyBorder="1" applyAlignment="1">
      <x:alignment vertical="center" wrapText="0"/>
    </x:xf>
    <x:xf numFmtId="201" fontId="12" fillId="0" borderId="97" xfId="0" applyNumberFormat="1" applyFont="1" applyFill="1" applyBorder="1" applyAlignment="1">
      <x:alignment vertical="center" wrapText="0"/>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3" fillId="0" borderId="100" xfId="0" applyNumberFormat="1" applyFont="1" applyFill="1" applyBorder="1" applyAlignment="1">
      <x:alignment vertical="center" wrapText="0"/>
    </x:xf>
    <x:xf numFmtId="201" fontId="17" fillId="0" borderId="101" xfId="0" applyNumberFormat="1" applyFont="1" applyFill="1" applyBorder="1" applyAlignment="1">
      <x:alignment vertical="center" wrapText="0"/>
    </x:xf>
    <x:xf numFmtId="201" fontId="2" fillId="0" borderId="102" xfId="0" applyNumberFormat="1" applyFont="1" applyFill="1" applyBorder="1" applyAlignment="1">
      <x:alignment vertical="center" wrapText="0"/>
    </x:xf>
    <x:xf numFmtId="0" fontId="2" fillId="0" borderId="103" xfId="0" applyNumberFormat="1" applyFont="1" applyFill="1" applyBorder="1" applyAlignment="1">
      <x:alignment vertical="center" wrapText="0"/>
    </x:xf>
    <x:xf numFmtId="201" fontId="12" fillId="0" borderId="104" xfId="0" applyNumberFormat="1" applyFont="1" applyFill="1" applyBorder="1" applyAlignment="1">
      <x:alignment vertical="center" wrapText="0"/>
    </x:xf>
    <x:xf numFmtId="0" fontId="3" fillId="0" borderId="105" xfId="0" applyNumberFormat="1" applyFont="1" applyFill="1" applyBorder="1" applyAlignment="1">
      <x:alignment vertical="center" wrapText="0"/>
    </x:xf>
    <x:xf numFmtId="201" fontId="17" fillId="0" borderId="106" xfId="0" applyNumberFormat="1" applyFont="1" applyFill="1" applyBorder="1" applyAlignment="1">
      <x:alignment vertical="center" wrapText="0"/>
    </x:xf>
    <x:xf numFmtId="203" fontId="13" fillId="0" borderId="107" xfId="0" applyNumberFormat="1" applyFont="1" applyFill="1" applyBorder="1" applyAlignment="1">
      <x:alignment vertical="center" wrapText="0"/>
    </x:xf>
    <x:xf numFmtId="0" fontId="2" fillId="0" borderId="108" xfId="0" applyNumberFormat="1" applyFont="1" applyFill="1" applyBorder="1" applyAlignment="1">
      <x:alignment vertical="center" wrapText="0"/>
    </x:xf>
    <x:xf numFmtId="203" fontId="13" fillId="0" borderId="109" xfId="0" applyNumberFormat="1" applyFont="1" applyFill="1" applyBorder="1" applyAlignment="1">
      <x:alignment vertical="center" wrapText="0"/>
    </x:xf>
    <x:xf numFmtId="0" fontId="2" fillId="0" borderId="110" xfId="0" applyNumberFormat="1" applyFont="1" applyFill="1" applyBorder="1" applyAlignment="1">
      <x:alignment vertical="center" wrapText="0"/>
    </x:xf>
    <x:xf numFmtId="0" fontId="3" fillId="2" borderId="111" xfId="0" applyNumberFormat="1" applyFont="1" applyFill="1" applyBorder="1" applyAlignment="1">
      <x:alignment horizontal="center" vertical="center" wrapText="1"/>
    </x:xf>
    <x:xf numFmtId="0" fontId="3" fillId="2" borderId="112" xfId="0" applyNumberFormat="1" applyFont="1" applyFill="1" applyBorder="1" applyAlignment="1">
      <x:alignment horizontal="center" vertical="center" wrapText="1"/>
    </x:xf>
    <x:xf numFmtId="0" fontId="3" fillId="2" borderId="113" xfId="0" applyNumberFormat="1" applyFont="1" applyFill="1" applyBorder="1" applyAlignment="1">
      <x:alignment horizontal="center" vertical="center" wrapText="1"/>
    </x:xf>
    <x:xf numFmtId="0" fontId="2" fillId="0" borderId="114" xfId="0" applyNumberFormat="1" applyFont="1" applyFill="1" applyBorder="1" applyAlignment="1">
      <x:alignment vertical="center" wrapText="1"/>
    </x:xf>
    <x:xf numFmtId="201" fontId="12" fillId="0" borderId="115" xfId="0" applyNumberFormat="1" applyFont="1" applyFill="1" applyBorder="1" applyAlignment="1">
      <x:alignment vertical="center" wrapText="1"/>
    </x:xf>
    <x:xf numFmtId="201" fontId="12" fillId="0" borderId="116" xfId="0" applyNumberFormat="1" applyFont="1" applyFill="1" applyBorder="1" applyAlignment="1">
      <x:alignment vertical="center" wrapText="1"/>
    </x:xf>
    <x:xf numFmtId="0" fontId="3" fillId="0" borderId="117" xfId="0" applyNumberFormat="1" applyFont="1" applyFill="1" applyBorder="1" applyAlignment="1">
      <x:alignment vertical="center" wrapText="1"/>
    </x:xf>
    <x:xf numFmtId="201" fontId="19" fillId="0" borderId="118" xfId="0" applyNumberFormat="1" applyFont="1" applyFill="1" applyBorder="1" applyAlignment="1">
      <x:alignment vertical="center" wrapText="1"/>
    </x:xf>
    <x:xf numFmtId="201" fontId="19" fillId="0" borderId="119" xfId="0" applyNumberFormat="1" applyFont="1" applyFill="1" applyBorder="1" applyAlignment="1">
      <x:alignment vertical="center" wrapText="1"/>
    </x:xf>
    <x:xf numFmtId="201" fontId="17" fillId="0" borderId="120" xfId="0" applyNumberFormat="1" applyFont="1" applyFill="1" applyBorder="1" applyAlignment="1">
      <x:alignment vertical="center" wrapText="1"/>
    </x:xf>
    <x:xf numFmtId="201" fontId="17" fillId="0" borderId="121" xfId="0" applyNumberFormat="1" applyFont="1" applyFill="1" applyBorder="1" applyAlignment="1">
      <x:alignment vertical="center" wrapText="1"/>
    </x:xf>
    <x:xf numFmtId="0" fontId="3" fillId="0" borderId="122" xfId="0" applyNumberFormat="1" applyFont="1" applyFill="1" applyBorder="1" applyAlignment="1">
      <x:alignment vertical="center" wrapText="1"/>
    </x:xf>
    <x:xf numFmtId="203" fontId="17" fillId="0" borderId="123" xfId="0" applyNumberFormat="1" applyFont="1" applyFill="1" applyBorder="1" applyAlignment="1">
      <x:alignment vertical="center" wrapText="1"/>
    </x:xf>
    <x:xf numFmtId="203" fontId="17" fillId="0" borderId="124" xfId="0" applyNumberFormat="1" applyFont="1" applyFill="1" applyBorder="1" applyAlignment="1">
      <x:alignment vertical="center" wrapText="1"/>
    </x:xf>
    <x:xf numFmtId="201" fontId="13" fillId="0" borderId="125" xfId="0" applyNumberFormat="1" applyFont="1" applyFill="1" applyBorder="1" applyAlignment="1">
      <x:alignment vertical="center" wrapText="0"/>
    </x:xf>
    <x:xf numFmtId="203" fontId="17" fillId="0" borderId="126" xfId="0" applyNumberFormat="1" applyFont="1" applyFill="1" applyBorder="1" applyAlignment="1">
      <x:alignment vertical="center" wrapText="0"/>
    </x:xf>
    <x:xf numFmtId="0" fontId="2" fillId="0" borderId="127" xfId="0" applyNumberFormat="1" applyFont="1" applyFill="1" applyBorder="1" applyAlignment="1">
      <x:alignment vertical="center" wrapText="0"/>
    </x:xf>
    <x:xf numFmtId="0" fontId="2" fillId="0" borderId="128" xfId="0" applyNumberFormat="1" applyFont="1" applyFill="1" applyBorder="1" applyAlignment="1">
      <x:alignment vertical="center" wrapText="0"/>
    </x:xf>
    <x:xf numFmtId="0" fontId="20" fillId="0" borderId="129" xfId="0" applyNumberFormat="1" applyFont="1" applyFill="1" applyBorder="1" applyAlignment="1">
      <x:alignment vertical="center" wrapText="0"/>
    </x:xf>
    <x:xf numFmtId="200" fontId="21" fillId="0" borderId="130" xfId="0" applyNumberFormat="1" applyFont="1" applyFill="1" applyBorder="1" applyAlignment="1">
      <x:alignment vertical="center" wrapText="0"/>
    </x:xf>
    <x:xf numFmtId="203" fontId="13" fillId="0" borderId="131" xfId="0" applyNumberFormat="1" applyFont="1" applyFill="1" applyBorder="1" applyAlignment="1">
      <x:alignment vertical="center" wrapText="1"/>
    </x:xf>
    <x:xf numFmtId="0" fontId="2" fillId="0" borderId="132" xfId="0" applyNumberFormat="1" applyFont="1" applyFill="1" applyBorder="1" applyAlignment="1">
      <x:alignment vertical="center" wrapText="1"/>
    </x:xf>
    <x:xf numFmtId="0" fontId="2" fillId="0" borderId="133" xfId="0" applyNumberFormat="1" applyFont="1" applyFill="1" applyBorder="1" applyAlignment="1">
      <x:alignment vertical="center" wrapText="1"/>
    </x:xf>
    <x:xf numFmtId="203" fontId="13" fillId="0" borderId="134" xfId="0" applyNumberFormat="1" applyFont="1" applyFill="1" applyBorder="1" applyAlignment="1">
      <x:alignment vertical="center" wrapText="1"/>
    </x:xf>
    <x:xf numFmtId="0" fontId="2" fillId="0" borderId="135" xfId="0" applyNumberFormat="1" applyFont="1" applyFill="1" applyBorder="1" applyAlignment="1">
      <x:alignment vertical="center" wrapText="0"/>
    </x:xf>
    <x:xf numFmtId="0" fontId="3" fillId="2" borderId="136" xfId="0" applyNumberFormat="1" applyFont="1" applyFill="1" applyBorder="1" applyAlignment="1">
      <x:alignment horizontal="center" vertical="center" wrapText="0"/>
    </x:xf>
    <x:xf numFmtId="202" fontId="2" fillId="0" borderId="137" xfId="0" applyNumberFormat="1" applyFont="1" applyFill="1" applyBorder="1" applyAlignment="1">
      <x:alignment vertical="center" wrapText="0"/>
    </x:xf>
    <x:xf numFmtId="201" fontId="12" fillId="0" borderId="138" xfId="0" applyNumberFormat="1" applyFont="1" applyFill="1" applyBorder="1" applyAlignment="1">
      <x:alignment vertical="center" wrapText="0"/>
    </x:xf>
    <x:xf numFmtId="0" fontId="2" fillId="0" borderId="139" xfId="0" applyNumberFormat="1" applyFont="1" applyFill="1" applyBorder="1" applyAlignment="1">
      <x:alignment vertical="center" wrapText="1"/>
    </x:xf>
    <x:xf numFmtId="202" fontId="2" fillId="0" borderId="140" xfId="0" applyNumberFormat="1" applyFont="1" applyFill="1" applyBorder="1" applyAlignment="1">
      <x:alignment vertical="center" wrapText="0"/>
    </x:xf>
    <x:xf numFmtId="201" fontId="12" fillId="0" borderId="141" xfId="0" applyNumberFormat="1" applyFont="1" applyFill="1" applyBorder="1" applyAlignment="1">
      <x:alignment vertical="center" wrapText="0"/>
    </x:xf>
    <x:xf numFmtId="0" fontId="2" fillId="0" borderId="142" xfId="0" applyNumberFormat="1" applyFont="1" applyFill="1" applyBorder="1" applyAlignment="1">
      <x:alignment vertical="center" wrapText="1"/>
    </x:xf>
    <x:xf numFmtId="0" fontId="3" fillId="2" borderId="143" xfId="0" applyNumberFormat="1" applyFont="1" applyFill="1" applyBorder="1" applyAlignment="1">
      <x:alignment horizontal="center" vertical="center" wrapText="0"/>
    </x:xf>
    <x:xf numFmtId="0" fontId="3" fillId="2" borderId="144" xfId="0" applyNumberFormat="1" applyFont="1" applyFill="1" applyBorder="1" applyAlignment="1">
      <x:alignment horizontal="center" vertical="center" wrapText="0"/>
    </x:xf>
    <x:xf numFmtId="0" fontId="2" fillId="0" borderId="145" xfId="0" applyNumberFormat="1" applyFont="1" applyFill="1" applyBorder="1" applyAlignment="1">
      <x:alignment vertical="center" wrapText="0"/>
    </x:xf>
    <x:xf numFmtId="201" fontId="13" fillId="0" borderId="146" xfId="0" applyNumberFormat="1" applyFont="1" applyFill="1" applyBorder="1" applyAlignment="1">
      <x:alignment vertical="center" wrapText="0"/>
    </x:xf>
    <x:xf numFmtId="0" fontId="2" fillId="0" borderId="147" xfId="0" applyNumberFormat="1" applyFont="1" applyFill="1" applyBorder="1" applyAlignment="1">
      <x:alignment vertical="center" wrapText="0"/>
    </x:xf>
    <x:xf numFmtId="201" fontId="13" fillId="0" borderId="148" xfId="0" applyNumberFormat="1" applyFont="1" applyFill="1" applyBorder="1" applyAlignment="1">
      <x:alignment vertical="center" wrapText="0"/>
    </x:xf>
    <x:xf numFmtId="0" fontId="2" fillId="0" borderId="149" xfId="0" applyNumberFormat="1" applyFont="1" applyFill="1" applyBorder="1" applyAlignment="1">
      <x:alignment vertical="center" wrapText="0"/>
    </x:xf>
    <x:xf numFmtId="201" fontId="12" fillId="0" borderId="150" xfId="0" applyNumberFormat="1" applyFont="1" applyFill="1" applyBorder="1" applyAlignment="1">
      <x:alignment vertical="center" wrapText="0"/>
    </x:xf>
    <x:xf numFmtId="201" fontId="3" fillId="2" borderId="151" xfId="0" applyNumberFormat="1" applyFont="1" applyFill="1" applyBorder="1" applyAlignment="1">
      <x:alignment horizontal="center" vertical="center" wrapText="0"/>
    </x:xf>
    <x:xf numFmtId="0" fontId="2" fillId="0" borderId="152" xfId="0" applyNumberFormat="1" applyFont="1" applyFill="1" applyBorder="1" applyAlignment="1">
      <x:alignment vertical="center" wrapText="0"/>
    </x:xf>
    <x:xf numFmtId="201" fontId="17" fillId="0" borderId="153" xfId="0" applyNumberFormat="1" applyFont="1" applyFill="1" applyBorder="1" applyAlignment="1">
      <x:alignment vertical="center" wrapText="0"/>
    </x:xf>
    <x:xf numFmtId="203" fontId="13" fillId="0" borderId="154" xfId="0" applyNumberFormat="1" applyFont="1" applyFill="1" applyBorder="1" applyAlignment="1">
      <x:alignment vertical="center" wrapText="0"/>
    </x:xf>
    <x:xf numFmtId="0" fontId="2" fillId="0" borderId="155" xfId="0" applyNumberFormat="1" applyFont="1" applyFill="1" applyBorder="1" applyAlignment="1">
      <x:alignment vertical="center" wrapText="0"/>
    </x:xf>
    <x:xf numFmtId="0" fontId="2" fillId="0" borderId="156" xfId="0" applyNumberFormat="1" applyFont="1" applyFill="1" applyBorder="1" applyAlignment="1">
      <x:alignment vertical="center" wrapText="1"/>
    </x:xf>
    <x:xf numFmtId="0" fontId="2" fillId="0" borderId="157" xfId="0" applyNumberFormat="1" applyFont="1" applyFill="1" applyBorder="1" applyAlignment="1">
      <x:alignment vertical="center" wrapText="1"/>
    </x:xf>
    <x:xf numFmtId="201" fontId="2" fillId="0" borderId="158" xfId="0" applyNumberFormat="1" applyFont="1" applyFill="1" applyBorder="1" applyAlignment="1">
      <x:alignment vertical="center" wrapText="1"/>
    </x:xf>
    <x:xf numFmtId="201" fontId="12" fillId="0" borderId="159" xfId="0" applyNumberFormat="1" applyFont="1" applyFill="1" applyBorder="1" applyAlignment="1">
      <x:alignment vertical="center" wrapText="1"/>
    </x:xf>
    <x:xf numFmtId="0" fontId="2" fillId="0" borderId="160" xfId="0" applyNumberFormat="1" applyFont="1" applyFill="1" applyBorder="1" applyAlignment="1">
      <x:alignment vertical="center" wrapText="1"/>
    </x:xf>
    <x:xf numFmtId="0" fontId="2" fillId="0" borderId="161" xfId="0" applyNumberFormat="1" applyFont="1" applyFill="1" applyBorder="1" applyAlignment="1">
      <x:alignment vertical="center" wrapText="1"/>
    </x:xf>
    <x:xf numFmtId="201" fontId="12" fillId="0" borderId="162" xfId="0" applyNumberFormat="1" applyFont="1" applyFill="1" applyBorder="1" applyAlignment="1">
      <x:alignment vertical="center" wrapText="0"/>
    </x:xf>
    <x:xf numFmtId="0" fontId="2" fillId="0" borderId="163" xfId="0" applyNumberFormat="1" applyFont="1" applyFill="1" applyBorder="1" applyAlignment="1">
      <x:alignment vertical="center" wrapText="0"/>
    </x:xf>
    <x:xf numFmtId="201" fontId="0" fillId="0" borderId="164" xfId="0" applyNumberFormat="1" applyFont="1" applyFill="1" applyBorder="1"/>
    <x:xf numFmtId="0" fontId="3" fillId="2" borderId="165" xfId="0" applyNumberFormat="1" applyFont="1" applyFill="1" applyBorder="1" applyAlignment="1">
      <x:alignment horizontal="center" vertical="center" wrapText="1"/>
    </x:xf>
    <x:xf numFmtId="201" fontId="15" fillId="0" borderId="166" xfId="0" applyNumberFormat="1" applyFont="1" applyFill="1" applyBorder="1" applyAlignment="1">
      <x:alignment vertical="center" wrapText="1"/>
    </x:xf>
    <x:xf numFmtId="202" fontId="2" fillId="0" borderId="167" xfId="0" applyNumberFormat="1" applyFont="1" applyFill="1" applyBorder="1" applyAlignment="1">
      <x:alignment vertical="center" wrapText="1"/>
    </x:xf>
    <x:xf numFmtId="0" fontId="2" fillId="0" borderId="168" xfId="0" applyNumberFormat="1" applyFont="1" applyFill="1" applyBorder="1" applyAlignment="1">
      <x:alignment vertical="center" wrapText="1"/>
    </x:xf>
    <x:xf numFmtId="0"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1"/>
    </x:xf>
    <x:xf numFmtId="202" fontId="2" fillId="0" borderId="171" xfId="0" applyNumberFormat="1" applyFont="1" applyFill="1" applyBorder="1" applyAlignment="1">
      <x:alignment vertical="center" wrapText="1"/>
    </x:xf>
    <x:xf numFmtId="201" fontId="15" fillId="0" borderId="172" xfId="0" applyNumberFormat="1" applyFont="1" applyFill="1" applyBorder="1" applyAlignment="1">
      <x:alignment vertical="center" wrapText="1"/>
    </x:xf>
    <x:xf numFmtId="202" fontId="2" fillId="0" borderId="173" xfId="0" applyNumberFormat="1" applyFont="1" applyFill="1" applyBorder="1" applyAlignment="1">
      <x:alignment vertical="center" wrapText="1"/>
    </x:xf>
    <x:xf numFmtId="0" fontId="2" fillId="0" borderId="174" xfId="0" applyNumberFormat="1" applyFont="1" applyFill="1" applyBorder="1" applyAlignment="1">
      <x:alignment vertical="center" wrapText="1"/>
    </x:xf>
    <x:xf numFmtId="0" fontId="3" fillId="2" borderId="175" xfId="0" applyNumberFormat="1" applyFont="1" applyFill="1" applyBorder="1" applyAlignment="1">
      <x:alignment horizontal="center" vertical="top" wrapText="1"/>
    </x:xf>
    <x:xf numFmtId="0" fontId="2" fillId="0" borderId="176" xfId="0" applyNumberFormat="1" applyFont="1" applyFill="1" applyBorder="1" applyAlignment="1">
      <x:alignment vertical="top" wrapText="1"/>
    </x:xf>
    <x:xf numFmtId="0" fontId="2" fillId="0" borderId="177" xfId="0" applyNumberFormat="1" applyFont="1" applyFill="1" applyBorder="1" applyAlignment="1">
      <x:alignment vertical="top" wrapText="1"/>
    </x:xf>
    <x:xf numFmtId="0" fontId="2" fillId="0" borderId="178" xfId="0" applyNumberFormat="1" applyFont="1" applyFill="1" applyBorder="1" applyAlignment="1">
      <x:alignment vertical="top" wrapText="1"/>
    </x:xf>
    <x:xf numFmtId="0" fontId="2" fillId="0" borderId="179" xfId="0" applyNumberFormat="1" applyFont="1" applyFill="1" applyBorder="1" applyAlignment="1">
      <x:alignment vertical="top" wrapText="1"/>
    </x:xf>
    <x:xf numFmtId="0" fontId="2" fillId="0" borderId="180" xfId="0" applyNumberFormat="1" applyFont="1" applyFill="1" applyBorder="1" applyAlignment="1">
      <x:alignment vertical="top" wrapText="1"/>
    </x:xf>
    <x:xf numFmtId="201" fontId="15" fillId="0" borderId="181" xfId="0" applyNumberFormat="1" applyFont="1" applyFill="1" applyBorder="1" applyAlignment="1">
      <x:alignment vertical="top" wrapText="1"/>
    </x:xf>
    <x:xf numFmtId="0" fontId="2" fillId="0" borderId="182" xfId="0" applyNumberFormat="1" applyFont="1" applyFill="1" applyBorder="1" applyAlignment="1">
      <x:alignment vertical="top" wrapText="1"/>
    </x:xf>
    <x:xf numFmtId="201" fontId="15" fillId="0" borderId="183" xfId="0" applyNumberFormat="1" applyFont="1" applyFill="1" applyBorder="1" applyAlignment="1">
      <x:alignment vertical="top" wrapText="1"/>
    </x:xf>
    <x:xf numFmtId="201" fontId="15" fillId="0" borderId="184" xfId="0" applyNumberFormat="1" applyFont="1" applyFill="1" applyBorder="1" applyAlignment="1">
      <x:alignment vertical="top" wrapText="1"/>
    </x:xf>
    <x:xf numFmtId="202" fontId="2" fillId="0" borderId="185" xfId="0" applyNumberFormat="1" applyFont="1" applyFill="1" applyBorder="1" applyAlignment="1">
      <x:alignment vertical="top" wrapText="1"/>
    </x:xf>
    <x:xf numFmtId="201" fontId="15" fillId="0" borderId="186" xfId="0" applyNumberFormat="1" applyFont="1" applyFill="1" applyBorder="1" applyAlignment="1">
      <x:alignment vertical="top" wrapText="1"/>
    </x:xf>
    <x:xf numFmtId="0" fontId="2" fillId="0" borderId="187" xfId="0" applyNumberFormat="1" applyFont="1" applyFill="1" applyBorder="1" applyAlignment="1">
      <x:alignment vertical="top" wrapText="1"/>
    </x:xf>
    <x:xf numFmtId="0" fontId="2" fillId="0" borderId="188" xfId="0" applyNumberFormat="1" applyFont="1" applyFill="1" applyBorder="1" applyAlignment="1">
      <x:alignment vertical="top" wrapText="1"/>
    </x:xf>
    <x:xf numFmtId="0" fontId="2" fillId="0" borderId="189" xfId="0" applyNumberFormat="1" applyFont="1" applyFill="1" applyBorder="1" applyAlignment="1">
      <x:alignment wrapText="1"/>
    </x:xf>
    <x:xf numFmtId="0" fontId="2" fillId="0" borderId="190" xfId="0" applyNumberFormat="1" applyFont="1" applyFill="1" applyBorder="1" applyAlignment="1">
      <x:alignment wrapText="1"/>
    </x:xf>
    <x:xf numFmtId="0" fontId="2" fillId="0" borderId="19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def46e5bf44115" /><Relationship Type="http://schemas.openxmlformats.org/officeDocument/2006/relationships/theme" Target="/xl/theme/theme1.xml" Id="R024bb16d23444a64" /><Relationship Type="http://schemas.openxmlformats.org/officeDocument/2006/relationships/sharedStrings" Target="/xl/sharedStrings.xml" Id="Rb0555aee1afc4643" /><Relationship Type="http://schemas.openxmlformats.org/officeDocument/2006/relationships/worksheet" Target="/xl/worksheets/sheet1.xml" Id="R6251040e8f384dbf" /><Relationship Type="http://schemas.openxmlformats.org/officeDocument/2006/relationships/worksheet" Target="/xl/worksheets/sheet2.xml" Id="Rd71c464d47cb4fe5" /><Relationship Type="http://schemas.openxmlformats.org/officeDocument/2006/relationships/worksheet" Target="/xl/worksheets/sheet3.xml" Id="R2140979ca36141a9" /><Relationship Type="http://schemas.openxmlformats.org/officeDocument/2006/relationships/worksheet" Target="/xl/worksheets/sheet4.xml" Id="R436484aba59d42df" /><Relationship Type="http://schemas.openxmlformats.org/officeDocument/2006/relationships/worksheet" Target="/xl/worksheets/sheet5.xml" Id="Rd302a8f77c454c52" /><Relationship Type="http://schemas.openxmlformats.org/officeDocument/2006/relationships/worksheet" Target="/xl/worksheets/sheet6.xml" Id="R798801041ba54c35" /><Relationship Type="http://schemas.openxmlformats.org/officeDocument/2006/relationships/worksheet" Target="/xl/worksheets/sheet7.xml" Id="R63c9cf7297314c88" /><Relationship Type="http://schemas.openxmlformats.org/officeDocument/2006/relationships/worksheet" Target="/xl/worksheets/sheet8.xml" Id="R0acfef3fa9574757" /><Relationship Type="http://schemas.openxmlformats.org/officeDocument/2006/relationships/worksheet" Target="/xl/worksheets/sheet9.xml" Id="Ra56e0ce3b96b44e5" /><Relationship Type="http://schemas.openxmlformats.org/officeDocument/2006/relationships/worksheet" Target="/xl/worksheets/sheet10.xml" Id="R2ebc697b99e44b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ddd9e453e40a8" /><Relationship Type="http://schemas.openxmlformats.org/officeDocument/2006/relationships/chart" Target="/xl/drawings/charts/chart2.xml" Id="R06e3fbeeb9544338" /></Relationships>
</file>

<file path=xl/drawings/_rels/drawing2.xml.rels>&#65279;<?xml version="1.0" encoding="utf-8"?><Relationships xmlns="http://schemas.openxmlformats.org/package/2006/relationships"><Relationship Type="http://schemas.openxmlformats.org/officeDocument/2006/relationships/chart" Target="/xl/drawings/charts/chart3.xml" Id="R7d0dfa807531411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ddd9e453e40a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e3fbeeb9544338"/>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0dfa807531411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c566f763f9944972" /></Relationships>
</file>

<file path=xl/worksheets/_rels/sheet7.xml.rels>&#65279;<?xml version="1.0" encoding="utf-8"?><Relationships xmlns="http://schemas.openxmlformats.org/package/2006/relationships"><Relationship Type="http://schemas.openxmlformats.org/officeDocument/2006/relationships/drawing" Target="/xl/drawings/drawing2.xml" Id="Rdca0f6fabf904b4f" /></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692819/000169281926000019/vistra-20260630.htm" TargetMode="External"/><Relationship Id="rIdSource2" Type="http://schemas.openxmlformats.org/officeDocument/2006/relationships/hyperlink" Target="https://www.sec.gov/Archives/edgar/data/1692819/000169281926000019/vistra-20260630.htm" TargetMode="External"/><Relationship Id="rIdSource3" Type="http://schemas.openxmlformats.org/officeDocument/2006/relationships/hyperlink" Target="https://www.sec.gov/Archives/edgar/data/1692819/000169281926000019/vistra-20260630.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19/vistra-20260630.htm" TargetMode="External"/><Relationship Id="rIdSource6" Type="http://schemas.openxmlformats.org/officeDocument/2006/relationships/hyperlink" Target="https://www.sec.gov/Archives/edgar/data/1692819/000169281926000019/vistra-20260630.htm" TargetMode="External"/><Relationship Id="rIdSource7" Type="http://schemas.openxmlformats.org/officeDocument/2006/relationships/hyperlink" Target="https://www.sec.gov/Archives/edgar/data/1692819/000169281926000019/vistra-20260630.htm" TargetMode="External"/><Relationship Id="rIdSource8" Type="http://schemas.openxmlformats.org/officeDocument/2006/relationships/hyperlink" Target="https://www.sec.gov/Archives/edgar/data/1692819/000169281926000019/vistra-20260630.htm" TargetMode="External"/><Relationship Id="rIdSource9" Type="http://schemas.openxmlformats.org/officeDocument/2006/relationships/hyperlink" Target="https://www.sec.gov/Archives/edgar/data/1692819/000169281926000019/vistra-20260630.htm" TargetMode="External"/><Relationship Id="rIdSource10" Type="http://schemas.openxmlformats.org/officeDocument/2006/relationships/hyperlink" Target="https://www.sec.gov/Archives/edgar/data/1692819/000169281926000019/vistra-20260630.htm" TargetMode="External"/><Relationship Id="rIdSource11" Type="http://schemas.openxmlformats.org/officeDocument/2006/relationships/hyperlink" Target="https://www.sec.gov/Archives/edgar/data/1692819/000169281926000019/vistra-20260630.htm" TargetMode="External"/><Relationship Id="rIdSource12" Type="http://schemas.openxmlformats.org/officeDocument/2006/relationships/hyperlink" Target="https://www.sec.gov/Archives/edgar/data/1692819/000169281926000019/vistra-20260630.htm" TargetMode="External"/><Relationship Id="rIdSource13" Type="http://schemas.openxmlformats.org/officeDocument/2006/relationships/hyperlink" Target="https://www.sec.gov/Archives/edgar/data/1692819/000169281926000019/vistra-20260630.htm" TargetMode="External"/><Relationship Id="rIdSource14" Type="http://schemas.openxmlformats.org/officeDocument/2006/relationships/hyperlink" Target="https://www.sec.gov/Archives/edgar/data/1692819/000169281926000019/vistra-20260630.htm" TargetMode="External"/><Relationship Id="rIdSource15" Type="http://schemas.openxmlformats.org/officeDocument/2006/relationships/hyperlink" Target="https://www.sec.gov/Archives/edgar/data/1692819/000169281926000019/vistra-20260630.htm" TargetMode="External"/><Relationship Id="rIdSource16" Type="http://schemas.openxmlformats.org/officeDocument/2006/relationships/hyperlink" Target="https://www.sec.gov/Archives/edgar/data/1692819/000169281926000019/vistra-20260630.htm" TargetMode="External"/><Relationship Id="rIdSource17" Type="http://schemas.openxmlformats.org/officeDocument/2006/relationships/hyperlink" Target="https://www.sec.gov/Archives/edgar/data/1692819/000169281926000019/vistra-20260630.htm" TargetMode="External"/><Relationship Id="rIdSource18" Type="http://schemas.openxmlformats.org/officeDocument/2006/relationships/hyperlink" Target="https://www.sec.gov/Archives/edgar/data/1692819/000169281926000019/vistra-20260630.htm"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htm" TargetMode="External"/><Relationship Id="rIdSource22" Type="http://schemas.openxmlformats.org/officeDocument/2006/relationships/hyperlink" Target="https://www.sec.gov/Archives/edgar/data/1692819/000169281926000019/vistra-20260630.htm" TargetMode="External"/><Relationship Id="rIdSource23" Type="http://schemas.openxmlformats.org/officeDocument/2006/relationships/hyperlink" Target="https://www.sec.gov/Archives/edgar/data/1692819/000169281926000019/vistra-20260630.htm" TargetMode="External"/><Relationship Id="rIdSource24" Type="http://schemas.openxmlformats.org/officeDocument/2006/relationships/hyperlink" Target="https://www.sec.gov/Archives/edgar/data/1692819/000169281926000019/vistra-20260630.htm" TargetMode="External"/><Relationship Id="rIdSource25" Type="http://schemas.openxmlformats.org/officeDocument/2006/relationships/hyperlink" Target="https://www.sec.gov/Archives/edgar/data/1692819/000169281926000019/vistra-20260630.htm" TargetMode="External"/><Relationship Id="rIdSource26" Type="http://schemas.openxmlformats.org/officeDocument/2006/relationships/hyperlink" Target="https://www.sec.gov/Archives/edgar/data/1692819/000169281926000019/vistra-20260630.htm" TargetMode="External"/><Relationship Id="rIdSource27" Type="http://schemas.openxmlformats.org/officeDocument/2006/relationships/hyperlink" Target="https://www.sec.gov/Archives/edgar/data/1692819/000169281926000019/vistra-20260630.htm" TargetMode="External"/><Relationship Id="rIdSource28" Type="http://schemas.openxmlformats.org/officeDocument/2006/relationships/hyperlink" Target="https://www.sec.gov/Archives/edgar/data/1692819/000169281926000019/vistra-20260630.htm" TargetMode="External"/><Relationship Id="rIdSource29" Type="http://schemas.openxmlformats.org/officeDocument/2006/relationships/hyperlink" Target="https://www.sec.gov/Archives/edgar/data/1692819/000169281926000019/vistra-20260630.htm" TargetMode="External"/><Relationship Id="rIdSource30" Type="http://schemas.openxmlformats.org/officeDocument/2006/relationships/hyperlink" Target="https://www.sec.gov/Archives/edgar/data/1692819/000169281926000019/vistra-20260630.htm" TargetMode="External"/><Relationship Id="rIdSource31" Type="http://schemas.openxmlformats.org/officeDocument/2006/relationships/hyperlink" Target="https://www.sec.gov/Archives/edgar/data/1692819/000169281926000019/vistra-20260630.htm" TargetMode="External"/><Relationship Id="rIdSource32" Type="http://schemas.openxmlformats.org/officeDocument/2006/relationships/hyperlink" Target="https://www.sec.gov/Archives/edgar/data/1692819/000169281926000019/vistra-20260630.htm" TargetMode="External"/><Relationship Id="rIdSource33" Type="http://schemas.openxmlformats.org/officeDocument/2006/relationships/hyperlink" Target="https://www.sec.gov/Archives/edgar/data/1692819/000169281926000019/vistra-20260630.htm" TargetMode="External"/><Relationship Id="rIdSource34" Type="http://schemas.openxmlformats.org/officeDocument/2006/relationships/hyperlink" Target="https://www.sec.gov/Archives/edgar/data/1692819/000169281926000019/vistra-20260630.htm" TargetMode="External"/><Relationship Id="rIdSource35" Type="http://schemas.openxmlformats.org/officeDocument/2006/relationships/hyperlink" Target="https://www.sec.gov/Archives/edgar/data/1692819/000169281926000019/vistra-20260630.htm" TargetMode="External"/><Relationship Id="rIdSource36" Type="http://schemas.openxmlformats.org/officeDocument/2006/relationships/hyperlink" Target="https://www.sec.gov/Archives/edgar/data/1692819/000169281926000019/vistra-20260630.htm" TargetMode="External"/><Relationship Id="rIdSource37" Type="http://schemas.openxmlformats.org/officeDocument/2006/relationships/hyperlink" Target="https://www.sec.gov/Archives/edgar/data/1692819/000169281926000019/vistra-20260630.htm" TargetMode="External"/><Relationship Id="rIdSource38" Type="http://schemas.openxmlformats.org/officeDocument/2006/relationships/hyperlink" Target="https://www.sec.gov/Archives/edgar/data/1692819/000169281926000019/vistra-20260630.htm" TargetMode="External"/><Relationship Id="rIdSource39" Type="http://schemas.openxmlformats.org/officeDocument/2006/relationships/hyperlink" Target="https://www.sec.gov/Archives/edgar/data/1692819/000169281926000019/vistra-20260630.htm" TargetMode="External"/><Relationship Id="rIdSource40" Type="http://schemas.openxmlformats.org/officeDocument/2006/relationships/hyperlink" Target="https://www.sec.gov/Archives/edgar/data/1692819/000169281926000019/vistra-20260630.htm" TargetMode="External"/><Relationship Id="rIdSource41" Type="http://schemas.openxmlformats.org/officeDocument/2006/relationships/hyperlink" Target="https://www.sec.gov/Archives/edgar/data/1692819/000169281926000019/vistra-20260630.htm" TargetMode="External"/><Relationship Id="rIdSource42" Type="http://schemas.openxmlformats.org/officeDocument/2006/relationships/hyperlink" Target="https://www.sec.gov/Archives/edgar/data/1692819/000169281926000019/vistra-20260630.htm" TargetMode="External"/><Relationship Id="rIdSource43" Type="http://schemas.openxmlformats.org/officeDocument/2006/relationships/hyperlink" Target="https://www.sec.gov/Archives/edgar/data/1692819/000169281926000019/vistra-20260630.htm" TargetMode="External"/><Relationship Id="rIdSource44" Type="http://schemas.openxmlformats.org/officeDocument/2006/relationships/hyperlink" Target="https://www.sec.gov/Archives/edgar/data/1692819/000169281926000019/vistra-20260630.htm" TargetMode="External"/><Relationship Id="rIdSource45" Type="http://schemas.openxmlformats.org/officeDocument/2006/relationships/hyperlink" Target="https://www.sec.gov/Archives/edgar/data/1692819/000169281926000019/vistra-20260630.htm" TargetMode="External"/><Relationship Id="rIdSource46" Type="http://schemas.openxmlformats.org/officeDocument/2006/relationships/hyperlink" Target="https://www.sec.gov/Archives/edgar/data/1692819/000169281926000019/vistra-20260630.htm" TargetMode="External"/><Relationship Id="rIdSource47" Type="http://schemas.openxmlformats.org/officeDocument/2006/relationships/hyperlink" Target="https://www.sec.gov/Archives/edgar/data/1692819/000169281926000019/vistra-20260630.htm" TargetMode="External"/><Relationship Id="rIdSource48" Type="http://schemas.openxmlformats.org/officeDocument/2006/relationships/hyperlink" Target="https://www.sec.gov/Archives/edgar/data/1692819/000169281926000019/vistra-20260630.htm" TargetMode="External"/><Relationship Id="rIdSource49" Type="http://schemas.openxmlformats.org/officeDocument/2006/relationships/hyperlink" Target="https://www.sec.gov/Archives/edgar/data/1692819/000169281926000019/vistra-20260630.htm" TargetMode="External"/><Relationship Id="rIdSource50" Type="http://schemas.openxmlformats.org/officeDocument/2006/relationships/hyperlink" Target="https://www.sec.gov/Archives/edgar/data/1692819/000169281926000019/vistra-20260630.htm" TargetMode="External"/><Relationship Id="rIdSource51" Type="http://schemas.openxmlformats.org/officeDocument/2006/relationships/hyperlink" Target="https://www.sec.gov/Archives/edgar/data/1692819/000169281926000019/vistra-20260630.htm" TargetMode="External"/><Relationship Id="rIdSource52" Type="http://schemas.openxmlformats.org/officeDocument/2006/relationships/hyperlink" Target="https://www.sec.gov/Archives/edgar/data/1692819/000169281926000019/vistra-20260630.htm" TargetMode="External"/><Relationship Id="rIdSource53" Type="http://schemas.openxmlformats.org/officeDocument/2006/relationships/hyperlink" Target="https://www.sec.gov/Archives/edgar/data/1692819/000169281926000019/vistra-20260630.htm" TargetMode="External"/><Relationship Id="rIdSource54" Type="http://schemas.openxmlformats.org/officeDocument/2006/relationships/hyperlink" Target="https://www.sec.gov/Archives/edgar/data/1692819/000169281926000019/vistra-20260630.htm" TargetMode="External"/><Relationship Id="rIdSource55" Type="http://schemas.openxmlformats.org/officeDocument/2006/relationships/hyperlink" Target="https://www.sec.gov/Archives/edgar/data/1692819/000169281926000019/vistra-20260630.htm" TargetMode="External"/><Relationship Id="rIdSource56" Type="http://schemas.openxmlformats.org/officeDocument/2006/relationships/hyperlink" Target="https://www.sec.gov/Archives/edgar/data/1692819/000169281926000019/vistra-20260630.htm" TargetMode="External"/><Relationship Id="rIdSource57" Type="http://schemas.openxmlformats.org/officeDocument/2006/relationships/hyperlink" Target="https://www.sec.gov/Archives/edgar/data/1692819/000169281926000019/vistra-20260630.htm" TargetMode="External"/><Relationship Id="rIdSource58" Type="http://schemas.openxmlformats.org/officeDocument/2006/relationships/hyperlink" Target="https://www.sec.gov/Archives/edgar/data/1692819/000169281926000019/vistra-20260630.htm" TargetMode="External"/><Relationship Id="rIdSource59" Type="http://schemas.openxmlformats.org/officeDocument/2006/relationships/hyperlink" Target="https://www.sec.gov/Archives/edgar/data/1692819/000169281926000019/vistra-20260630.htm" TargetMode="External"/><Relationship Id="rIdSource60" Type="http://schemas.openxmlformats.org/officeDocument/2006/relationships/hyperlink" Target="https://www.sec.gov/Archives/edgar/data/1692819/000169281926000019/vistra-20260630.htm" TargetMode="External"/><Relationship Id="rIdSource61" Type="http://schemas.openxmlformats.org/officeDocument/2006/relationships/hyperlink" Target="https://www.sec.gov/Archives/edgar/data/1692819/000169281926000019/vistra-20260630.htm" TargetMode="External"/><Relationship Id="rIdSource62" Type="http://schemas.openxmlformats.org/officeDocument/2006/relationships/hyperlink" Target="https://www.sec.gov/Archives/edgar/data/1692819/000169281926000019/vistra-20260630.htm" TargetMode="External"/><Relationship Id="rIdSource63" Type="http://schemas.openxmlformats.org/officeDocument/2006/relationships/hyperlink" Target="https://www.sec.gov/Archives/edgar/data/1692819/000169281926000019/vistra-20260630.htm" TargetMode="External"/><Relationship Id="rIdSource64" Type="http://schemas.openxmlformats.org/officeDocument/2006/relationships/hyperlink" Target="https://www.sec.gov/Archives/edgar/data/1692819/000169281926000019/vistra-20260630.htm" TargetMode="External"/><Relationship Id="rIdSource65" Type="http://schemas.openxmlformats.org/officeDocument/2006/relationships/hyperlink" Target="https://www.sec.gov/Archives/edgar/data/1692819/000169281926000019/vistra-20260630.htm" TargetMode="External"/><Relationship Id="rIdSource66" Type="http://schemas.openxmlformats.org/officeDocument/2006/relationships/hyperlink" Target="https://www.sec.gov/Archives/edgar/data/1692819/000169281926000019/vistra-20260630.htm" TargetMode="External"/><Relationship Id="rIdSource67" Type="http://schemas.openxmlformats.org/officeDocument/2006/relationships/hyperlink" Target="https://www.sec.gov/Archives/edgar/data/1692819/000169281926000019/vistra-20260630.htm" TargetMode="External"/><Relationship Id="rIdSource68" Type="http://schemas.openxmlformats.org/officeDocument/2006/relationships/hyperlink" Target="https://www.sec.gov/Archives/edgar/data/1692819/000169281926000019/vistra-20260630.htm" TargetMode="External"/><Relationship Id="rIdSource69" Type="http://schemas.openxmlformats.org/officeDocument/2006/relationships/hyperlink" Target="https://www.sec.gov/Archives/edgar/data/1692819/000169281926000006/vistra-20251231.htm" TargetMode="External"/><Relationship Id="rIdSource70" Type="http://schemas.openxmlformats.org/officeDocument/2006/relationships/hyperlink" Target="https://www.sec.gov/Archives/edgar/data/1692819/000169281926000006/vistra-20251231.htm" TargetMode="External"/><Relationship Id="rIdSource71" Type="http://schemas.openxmlformats.org/officeDocument/2006/relationships/hyperlink" Target="https://www.sec.gov/Archives/edgar/data/1692819/000169281926000006/vistra-20251231.htm" TargetMode="External"/><Relationship Id="rIdSource72" Type="http://schemas.openxmlformats.org/officeDocument/2006/relationships/hyperlink" Target="https://www.sec.gov/Archives/edgar/data/1692819/000169281926000006/vistra-20251231.htm" TargetMode="External"/><Relationship Id="rIdSource73" Type="http://schemas.openxmlformats.org/officeDocument/2006/relationships/hyperlink" Target="https://www.sec.gov/Archives/edgar/data/1692819/000169281926000006/vistra-20251231.htm" TargetMode="External"/><Relationship Id="rIdSource74" Type="http://schemas.openxmlformats.org/officeDocument/2006/relationships/hyperlink" Target="https://www.sec.gov/Archives/edgar/data/1692819/000169281926000006/vistra-20251231.htm" TargetMode="External"/><Relationship Id="rIdSource75" Type="http://schemas.openxmlformats.org/officeDocument/2006/relationships/hyperlink" Target="https://www.sec.gov/Archives/edgar/data/1692819/000169281926000006/vistra-20251231.htm" TargetMode="External"/><Relationship Id="rIdSource76" Type="http://schemas.openxmlformats.org/officeDocument/2006/relationships/hyperlink" Target="https://www.sec.gov/Archives/edgar/data/1692819/000169281926000006/vistra-20251231.htm" TargetMode="External"/><Relationship Id="rIdSource77" Type="http://schemas.openxmlformats.org/officeDocument/2006/relationships/hyperlink" Target="https://www.sec.gov/Archives/edgar/data/1692819/000169281926000006/vistra-20251231.htm" TargetMode="External"/><Relationship Id="rIdSource78" Type="http://schemas.openxmlformats.org/officeDocument/2006/relationships/hyperlink" Target="https://www.sec.gov/Archives/edgar/data/1692819/000169281926000006/vistra-20251231.htm" TargetMode="External"/><Relationship Id="rIdSource79" Type="http://schemas.openxmlformats.org/officeDocument/2006/relationships/hyperlink" Target="https://www.sec.gov/Archives/edgar/data/1692819/000169281926000006/vistra-20251231.htm" TargetMode="External"/><Relationship Id="rIdSource80" Type="http://schemas.openxmlformats.org/officeDocument/2006/relationships/hyperlink" Target="https://www.sec.gov/Archives/edgar/data/1692819/000169281926000006/vistra-20251231.htm" TargetMode="External"/><Relationship Id="rIdSource81" Type="http://schemas.openxmlformats.org/officeDocument/2006/relationships/hyperlink" Target="https://www.sec.gov/Archives/edgar/data/1692819/000169281926000006/vistra-20251231.htm" TargetMode="External"/><Relationship Id="rIdSource82" Type="http://schemas.openxmlformats.org/officeDocument/2006/relationships/hyperlink" Target="https://www.sec.gov/Archives/edgar/data/1692819/000169281926000006/vistra-20251231.htm" TargetMode="External"/><Relationship Id="rIdSource83" Type="http://schemas.openxmlformats.org/officeDocument/2006/relationships/hyperlink" Target="https://www.sec.gov/Archives/edgar/data/1692819/000169281926000006/vistra-20251231.htm" TargetMode="External"/><Relationship Id="rIdSource84" Type="http://schemas.openxmlformats.org/officeDocument/2006/relationships/hyperlink" Target="https://www.sec.gov/Archives/edgar/data/1692819/000169281926000006/vistra-20251231.htm" TargetMode="External"/><Relationship Id="rIdSource85" Type="http://schemas.openxmlformats.org/officeDocument/2006/relationships/hyperlink" Target="https://www.sec.gov/Archives/edgar/data/1692819/000169281926000019/vistra-20260630.htm" TargetMode="External"/><Relationship Id="rIdSource86" Type="http://schemas.openxmlformats.org/officeDocument/2006/relationships/hyperlink" Target="https://www.sec.gov/Archives/edgar/data/1692819/000169281926000019/vistra-20260630.htm" TargetMode="External"/><Relationship Id="rIdSource87" Type="http://schemas.openxmlformats.org/officeDocument/2006/relationships/hyperlink" Target="https://www.sec.gov/Archives/edgar/data/1692819/000169281926000019/vistra-20260630.htm" TargetMode="External"/><Relationship Id="rIdSource88" Type="http://schemas.openxmlformats.org/officeDocument/2006/relationships/hyperlink" Target="https://www.sec.gov/Archives/edgar/data/1692819/000169281926000019/vistra-20260630.htm" TargetMode="External"/><Relationship Id="rIdSource89" Type="http://schemas.openxmlformats.org/officeDocument/2006/relationships/hyperlink" Target="https://www.sec.gov/Archives/edgar/data/1692819/000169281926000019/vistra-20260630.htm" TargetMode="External"/><Relationship Id="rIdSource90" Type="http://schemas.openxmlformats.org/officeDocument/2006/relationships/hyperlink" Target="https://www.sec.gov/Archives/edgar/data/1692819/000169281926000019/vistra-20260630.htm" TargetMode="External"/><Relationship Id="rIdSource91" Type="http://schemas.openxmlformats.org/officeDocument/2006/relationships/hyperlink" Target="https://www.sec.gov/Archives/edgar/data/1692819/000169281926000019/vistra-20260630.htm" TargetMode="External"/><Relationship Id="rIdSource92" Type="http://schemas.openxmlformats.org/officeDocument/2006/relationships/hyperlink" Target="https://www.sec.gov/Archives/edgar/data/1692819/000169281926000019/vistra-20260630.htm" TargetMode="External"/><Relationship Id="rIdSource93" Type="http://schemas.openxmlformats.org/officeDocument/2006/relationships/hyperlink" Target="https://www.sec.gov/Archives/edgar/data/1692819/000169281926000019/vistra-20260630.htm" TargetMode="External"/><Relationship Id="rIdSource94" Type="http://schemas.openxmlformats.org/officeDocument/2006/relationships/hyperlink" Target="https://www.sec.gov/Archives/edgar/data/1692819/000169281926000019/vistra-20260630.htm" TargetMode="External"/><Relationship Id="rIdSource95" Type="http://schemas.openxmlformats.org/officeDocument/2006/relationships/hyperlink" Target="https://www.sec.gov/Archives/edgar/data/1692819/000169281926000019/vistra-20260630.htm" TargetMode="External"/><Relationship Id="rIdSource96" Type="http://schemas.openxmlformats.org/officeDocument/2006/relationships/hyperlink" Target="https://www.sec.gov/Archives/edgar/data/1692819/000169281926000019/vistra-20260630.htm" TargetMode="External"/><Relationship Id="rIdSource97" Type="http://schemas.openxmlformats.org/officeDocument/2006/relationships/hyperlink" Target="https://www.sec.gov/Archives/edgar/data/1692819/000169281926000019/vistra-20260630.htm" TargetMode="External"/><Relationship Id="rIdSource98" Type="http://schemas.openxmlformats.org/officeDocument/2006/relationships/hyperlink" Target="https://www.sec.gov/Archives/edgar/data/1692819/000169281926000019/vistra-20260630.htm" TargetMode="External"/><Relationship Id="rIdSource99" Type="http://schemas.openxmlformats.org/officeDocument/2006/relationships/hyperlink" Target="https://www.sec.gov/Archives/edgar/data/1692819/000169281926000019/vistra-20260630.htm" TargetMode="External"/><Relationship Id="rIdSource100" Type="http://schemas.openxmlformats.org/officeDocument/2006/relationships/hyperlink" Target="https://www.sec.gov/Archives/edgar/data/1692819/000169281926000019/vistra-20260630.htm" TargetMode="External"/><Relationship Id="rIdSource101" Type="http://schemas.openxmlformats.org/officeDocument/2006/relationships/hyperlink" Target="https://www.sec.gov/Archives/edgar/data/1692819/000169281925000085/vistra-20250630.htm" TargetMode="External"/><Relationship Id="rIdSource102" Type="http://schemas.openxmlformats.org/officeDocument/2006/relationships/hyperlink" Target="https://www.sec.gov/Archives/edgar/data/1692819/000169281925000085/vistra-20250630.htm" TargetMode="External"/><Relationship Id="rIdSource103" Type="http://schemas.openxmlformats.org/officeDocument/2006/relationships/hyperlink" Target="https://www.sec.gov/Archives/edgar/data/1692819/000169281925000085/vistra-20250630.htm" TargetMode="External"/><Relationship Id="rIdSource104" Type="http://schemas.openxmlformats.org/officeDocument/2006/relationships/hyperlink" Target="https://www.sec.gov/Archives/edgar/data/1692819/000169281925000085/vistra-20250630.htm" TargetMode="External"/><Relationship Id="rIdSource105" Type="http://schemas.openxmlformats.org/officeDocument/2006/relationships/hyperlink" Target="https://www.sec.gov/Archives/edgar/data/1692819/000169281925000085/vistra-20250630.htm" TargetMode="External"/><Relationship Id="rIdSource106" Type="http://schemas.openxmlformats.org/officeDocument/2006/relationships/hyperlink" Target="https://www.sec.gov/Archives/edgar/data/1692819/000169281925000085/vistra-20250630.htm" TargetMode="External"/><Relationship Id="rIdSource107" Type="http://schemas.openxmlformats.org/officeDocument/2006/relationships/hyperlink" Target="https://www.sec.gov/Archives/edgar/data/1692819/000169281925000085/vistra-20250630.htm" TargetMode="External"/><Relationship Id="rIdSource108" Type="http://schemas.openxmlformats.org/officeDocument/2006/relationships/hyperlink" Target="https://www.sec.gov/Archives/edgar/data/1692819/000169281925000085/vistra-20250630.htm" TargetMode="External"/><Relationship Id="rIdSource109" Type="http://schemas.openxmlformats.org/officeDocument/2006/relationships/hyperlink" Target="https://www.sec.gov/Archives/edgar/data/1692819/000169281926000019/vistra-20260630.htm" TargetMode="External"/><Relationship Id="rIdSource110" Type="http://schemas.openxmlformats.org/officeDocument/2006/relationships/hyperlink" Target="https://www.sec.gov/Archives/edgar/data/1692819/000169281926000019/vistra-20260630.htm" TargetMode="External"/><Relationship Id="rIdSource111" Type="http://schemas.openxmlformats.org/officeDocument/2006/relationships/hyperlink" Target="https://www.sec.gov/Archives/edgar/data/1692819/000169281926000006/vistra-20251231.htm" TargetMode="External"/><Relationship Id="rIdSource112" Type="http://schemas.openxmlformats.org/officeDocument/2006/relationships/hyperlink" Target="https://www.sec.gov/Archives/edgar/data/1692819/000114036126026944/ef20077059_ex10-1.htm" TargetMode="External"/><Relationship Id="rIdSource113" Type="http://schemas.openxmlformats.org/officeDocument/2006/relationships/hyperlink" Target="https://www.sec.gov/Archives/edgar/data/1692819/000169281926000019/vistra-20260630.htm" TargetMode="External"/><Relationship Id="rIdSource114" Type="http://schemas.openxmlformats.org/officeDocument/2006/relationships/hyperlink" Target="https://www.sec.gov/Archives/edgar/data/1692819/000169281926000019/vistra-20260630.htm" TargetMode="External"/><Relationship Id="rIdSource115" Type="http://schemas.openxmlformats.org/officeDocument/2006/relationships/hyperlink" Target="https://www.sec.gov/Archives/edgar/data/1692819/000169281926000006/vistra-20251231.htm" TargetMode="External"/><Relationship Id="rIdSource116" Type="http://schemas.openxmlformats.org/officeDocument/2006/relationships/hyperlink" Target="https://www.sec.gov/Archives/edgar/data/1692819/000114036126026944/ef20077059_ex10-1.htm" TargetMode="External"/><Relationship Id="rIdSource117" Type="http://schemas.openxmlformats.org/officeDocument/2006/relationships/hyperlink" Target="https://www.sec.gov/Archives/edgar/data/1692819/000114036126037577/ef20082680_8k.htm" TargetMode="External"/><Relationship Id="rIdSource118" Type="http://schemas.openxmlformats.org/officeDocument/2006/relationships/hyperlink" Target="https://www.sec.gov/Archives/edgar/data/1692819/000169281926000019/vistra-20260630.htm" TargetMode="External"/><Relationship Id="rIdSource119" Type="http://schemas.openxmlformats.org/officeDocument/2006/relationships/hyperlink" Target="https://www.sec.gov/Archives/edgar/data/1692819/000169281926000006/vistra-20251231.htm" TargetMode="External"/><Relationship Id="rIdSource120" Type="http://schemas.openxmlformats.org/officeDocument/2006/relationships/hyperlink" Target="https://www.sec.gov/Archives/edgar/data/1692819/000169281926000019/vistra-20260630.htm" TargetMode="External"/><Relationship Id="rIdSource121" Type="http://schemas.openxmlformats.org/officeDocument/2006/relationships/hyperlink" Target="https://www.sec.gov/Archives/edgar/data/1692819/000169281926000019/vistra-20260630.htm" TargetMode="External"/><Relationship Id="rIdSource122" Type="http://schemas.openxmlformats.org/officeDocument/2006/relationships/hyperlink" Target="https://www.sec.gov/Archives/edgar/data/1692819/000169281926000019/vistra-20260630.htm" TargetMode="External"/><Relationship Id="rIdSource123" Type="http://schemas.openxmlformats.org/officeDocument/2006/relationships/hyperlink" Target="https://www.sec.gov/Archives/edgar/data/1692819/000169281926000019/vistra-20260630.htm" TargetMode="External"/><Relationship Id="rIdSource124" Type="http://schemas.openxmlformats.org/officeDocument/2006/relationships/hyperlink" Target="https://www.sec.gov/Archives/edgar/data/1692819/000169281926000019/vistra-20260630.htm" TargetMode="External"/><Relationship Id="rIdSource125" Type="http://schemas.openxmlformats.org/officeDocument/2006/relationships/hyperlink" Target="https://www.sec.gov/Archives/edgar/data/1692819/000169281926000006/vistra-20251231.htm" TargetMode="External"/><Relationship Id="rIdSource126" Type="http://schemas.openxmlformats.org/officeDocument/2006/relationships/hyperlink" Target="https://www.sec.gov/Archives/edgar/data/1692819/000169281926000006/vistra-20251231.htm" TargetMode="External"/><Relationship Id="rIdSource127" Type="http://schemas.openxmlformats.org/officeDocument/2006/relationships/hyperlink" Target="https://www.sec.gov/Archives/edgar/data/1692819/000169281926000006/vistra-20251231.htm" TargetMode="External"/><Relationship Id="rIdSource128" Type="http://schemas.openxmlformats.org/officeDocument/2006/relationships/hyperlink" Target="https://www.sec.gov/Archives/edgar/data/1692819/000169281926000006/vistra-20251231.htm" TargetMode="External"/><Relationship Id="rIdSource129" Type="http://schemas.openxmlformats.org/officeDocument/2006/relationships/hyperlink" Target="https://www.sec.gov/Archives/edgar/data/1692819/000169281926000006/vistra-20251231.htm" TargetMode="External"/><Relationship Id="rIdSource130" Type="http://schemas.openxmlformats.org/officeDocument/2006/relationships/hyperlink" Target="https://www.sec.gov/Archives/edgar/data/1692819/000169281926000006/vistra-20251231.htm" TargetMode="External"/><Relationship Id="rIdSource131" Type="http://schemas.openxmlformats.org/officeDocument/2006/relationships/hyperlink" Target="https://www.sec.gov/Archives/edgar/data/1692819/000169281926000019/vistra-20260630.htm" TargetMode="External"/><Relationship Id="rIdSource132" Type="http://schemas.openxmlformats.org/officeDocument/2006/relationships/hyperlink" Target="https://www.sec.gov/Archives/edgar/data/1692819/000169281926000019/vistra-20260630.htm" TargetMode="External"/><Relationship Id="rIdSource133" Type="http://schemas.openxmlformats.org/officeDocument/2006/relationships/hyperlink" Target="https://www.sec.gov/Archives/edgar/data/1692819/000169281926000019/vistra-20260630.htm" TargetMode="External"/><Relationship Id="rIdSource134" Type="http://schemas.openxmlformats.org/officeDocument/2006/relationships/hyperlink" Target="https://www.sec.gov/Archives/edgar/data/1692819/000169281926000019/vistra-20260630.htm" TargetMode="External"/><Relationship Id="rIdSource135" Type="http://schemas.openxmlformats.org/officeDocument/2006/relationships/hyperlink" Target="https://www.sec.gov/Archives/edgar/data/1692819/000169281926000019/vistra-20260630.htm" TargetMode="External"/><Relationship Id="rIdSource136" Type="http://schemas.openxmlformats.org/officeDocument/2006/relationships/hyperlink" Target="https://www.sec.gov/Archives/edgar/data/1692819/000169281926000019/vistra-20260630.htm" TargetMode="External"/><Relationship Id="rIdSource137" Type="http://schemas.openxmlformats.org/officeDocument/2006/relationships/hyperlink" Target="https://www.sec.gov/Archives/edgar/data/1692819/000169281926000019/vistra-20260630.htm" TargetMode="External"/><Relationship Id="rIdSource138" Type="http://schemas.openxmlformats.org/officeDocument/2006/relationships/hyperlink" Target="https://www.sec.gov/Archives/edgar/data/1692819/000169281926000019/vistra-20260630.htm" TargetMode="External"/><Relationship Id="rIdSource139" Type="http://schemas.openxmlformats.org/officeDocument/2006/relationships/hyperlink" Target="https://www.sec.gov/Archives/edgar/data/1692819/000169281926000006/vistra-20251231.htm" TargetMode="External"/><Relationship Id="rIdSource140" Type="http://schemas.openxmlformats.org/officeDocument/2006/relationships/hyperlink" Target="https://www.sec.gov/Archives/edgar/data/1692819/000169281926000019/vistra-20260630.htm" TargetMode="External"/><Relationship Id="rIdSource141" Type="http://schemas.openxmlformats.org/officeDocument/2006/relationships/hyperlink" Target="https://www.sec.gov/Archives/edgar/data/1692819/000169281926000019/vistra-20260630.htm" TargetMode="External"/><Relationship Id="rIdSource142" Type="http://schemas.openxmlformats.org/officeDocument/2006/relationships/hyperlink" Target="https://www.sec.gov/Archives/edgar/data/1692819/000169281926000006/vistra-20251231.htm" TargetMode="External"/><Relationship Id="rIdSource143" Type="http://schemas.openxmlformats.org/officeDocument/2006/relationships/hyperlink" Target="https://www.sec.gov/Archives/edgar/data/1692819/000169281926000019/vistra-20260630.htm" TargetMode="External"/><Relationship Id="rIdSource144" Type="http://schemas.openxmlformats.org/officeDocument/2006/relationships/hyperlink" Target="https://www.sec.gov/Archives/edgar/data/1692819/000169281926000019/vistra-20260630.htm" TargetMode="External"/><Relationship Id="rIdSource145" Type="http://schemas.openxmlformats.org/officeDocument/2006/relationships/hyperlink" Target="https://www.sec.gov/Archives/edgar/data/1692819/000169281926000006/vistra-20251231.htm" TargetMode="External"/><Relationship Id="rIdSource146" Type="http://schemas.openxmlformats.org/officeDocument/2006/relationships/hyperlink" Target="https://www.sec.gov/Archives/edgar/data/1692819/000169281926000006/vistra-20251231.htm" TargetMode="External"/><Relationship Id="rIdSource147" Type="http://schemas.openxmlformats.org/officeDocument/2006/relationships/hyperlink" Target="https://www.sec.gov/Archives/edgar/data/1692819/000169281926000006/vistra-20251231.htm" TargetMode="External"/><Relationship Id="rIdSource148" Type="http://schemas.openxmlformats.org/officeDocument/2006/relationships/hyperlink" Target="https://www.sec.gov/Archives/edgar/data/1692819/000169281926000006/vistra-20251231.htm" TargetMode="External"/><Relationship Id="rIdSource149" Type="http://schemas.openxmlformats.org/officeDocument/2006/relationships/hyperlink" Target="https://www.sec.gov/Archives/edgar/data/1692819/000169281926000006/vistra-202512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692819/000114036126026944/ef20077059_ex10-1.htm" TargetMode="External"/><Relationship Id="rIdSource2" Type="http://schemas.openxmlformats.org/officeDocument/2006/relationships/hyperlink" Target="https://www.sec.gov/Archives/edgar/data/1692819/000114036126038468/ef20083016_ex10-1.htm" TargetMode="External"/><Relationship Id="rIdSource3" Type="http://schemas.openxmlformats.org/officeDocument/2006/relationships/hyperlink" Target="https://www.sec.gov/Archives/edgar/data/1692819/000114036126028619/ef20077984_ex4-1.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06/vistra-20251231.htm" TargetMode="External"/><Relationship Id="rIdSource6" Type="http://schemas.openxmlformats.org/officeDocument/2006/relationships/hyperlink" Target="https://www.sec.gov/Archives/edgar/data/1692819/000114036126026944/ef20077059_8k.htm" TargetMode="External"/><Relationship Id="rIdSource7" Type="http://schemas.openxmlformats.org/officeDocument/2006/relationships/hyperlink" Target="https://www.sec.gov/Archives/edgar/data/1692819/000114036126028619/ef20077984_8k.htm" TargetMode="External"/><Relationship Id="rIdSource8" Type="http://schemas.openxmlformats.org/officeDocument/2006/relationships/hyperlink" Target="https://www.sec.gov/Archives/edgar/data/1692819/000114036126028454/ef20077988_8k.htm" TargetMode="External"/><Relationship Id="rIdSource9" Type="http://schemas.openxmlformats.org/officeDocument/2006/relationships/hyperlink" Target="https://www.sec.gov/Archives/edgar/data/1692819/000169281926000017/vistra-20260807.htm" TargetMode="External"/><Relationship Id="rIdSource10" Type="http://schemas.openxmlformats.org/officeDocument/2006/relationships/hyperlink" Target="https://www.sec.gov/Archives/edgar/data/1692819/000114036126035954/ny20081693x1_s3asr.htm" TargetMode="External"/><Relationship Id="rIdSource11" Type="http://schemas.openxmlformats.org/officeDocument/2006/relationships/hyperlink" Target="https://www.sec.gov/Archives/edgar/data/1692819/000114036126036130/ny20081693x2_424b5.htm" TargetMode="External"/><Relationship Id="rIdSource12" Type="http://schemas.openxmlformats.org/officeDocument/2006/relationships/hyperlink" Target="https://www.sec.gov/Archives/edgar/data/1692819/000114036126036245/ef20081902_fwp.htm" TargetMode="External"/><Relationship Id="rIdSource13" Type="http://schemas.openxmlformats.org/officeDocument/2006/relationships/hyperlink" Target="https://www.sec.gov/Archives/edgar/data/1692819/000114036126036415/ny20081693x3_424b2.htm" TargetMode="External"/><Relationship Id="rIdSource14" Type="http://schemas.openxmlformats.org/officeDocument/2006/relationships/hyperlink" Target="https://www.sec.gov/Archives/edgar/data/1692819/000114036126037577/ef20082680_8k.htm" TargetMode="External"/><Relationship Id="rIdSource15" Type="http://schemas.openxmlformats.org/officeDocument/2006/relationships/hyperlink" Target="https://www.sec.gov/Archives/edgar/data/1692819/000114036126038468/ef20083016_8k.htm" TargetMode="External"/><Relationship Id="rIdSource16" Type="http://schemas.openxmlformats.org/officeDocument/2006/relationships/hyperlink" Target="https://data.sec.gov/submissions/CIK0001692819.json" TargetMode="External"/><Relationship Id="rIdSource17" Type="http://schemas.openxmlformats.org/officeDocument/2006/relationships/hyperlink" Target="https://www.sec.gov/Archives/edgar/data/1692819/000114036126038468/0001140361-26-038468-index.html" TargetMode="External"/><Relationship Id="rIdSource18" Type="http://schemas.openxmlformats.org/officeDocument/2006/relationships/hyperlink" Target="https://github.com/jackconnolly1000-ux/sec-filing-research-terminal/blob/main/docs/vistra_interest_coverage.md"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xsd" TargetMode="External"/><Relationship Id="rIdSource22" Type="http://schemas.openxmlformats.org/officeDocument/2006/relationships/hyperlink" Target="https://github.com/jackconnolly1000-ux/sec-filing-research-terminal/blob/main/docs/borrowing_lease_presentation.md" TargetMode="External"/><Relationship Id="rIdSource23" Type="http://schemas.openxmlformats.org/officeDocument/2006/relationships/hyperlink" Target="https://github.com/jackconnolly1000-ux/sec-filing-research-terminal/blob/main/docs/ratio_reconciliation.md" TargetMode="External"/><Relationship Id="rIdSource24" Type="http://schemas.openxmlformats.org/officeDocument/2006/relationships/hyperlink" Target="https://github.com/jackconnolly1000-ux/sec-filing-research-terminal/blob/main/docs/company_history.md" TargetMode="External"/><Relationship Id="rIdSource25" Type="http://schemas.openxmlformats.org/officeDocument/2006/relationships/hyperlink" Target="https://github.com/jackconnolly1000-ux/sec-filing-research-terminal/blob/main/docs/core_charts.md" TargetMode="External"/><Relationship Id="rIdSource2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4"/>
      <x:c r="B1" s="315"/>
    </x:row>
    <x:row r="2" ht="26" customHeight="1">
      <x:c r="A2" s="316" t="str">
        <x:v>Vistra Corp. funding conclusion</x:v>
      </x:c>
      <x:c r="B2" s="315"/>
    </x:row>
    <x:row r="3" ht="24" customHeight="1">
      <x:c r="A3" s="317" t="str">
        <x:v>Balance sheet 2026-06-30. Interpretation checked 2026-10-16. Source dates remain historical.</x:v>
      </x:c>
      <x:c r="B3" s="315"/>
    </x:row>
    <x:row r="4">
      <x:c r="A4" s="314"/>
      <x:c r="B4" s="315"/>
    </x:row>
    <x:row r="5">
      <x:c r="A5" s="318" t="str">
        <x:v>Question</x:v>
      </x:c>
      <x:c r="B5" s="319" t="str">
        <x:v>Checked interpretation</x:v>
      </x:c>
    </x:row>
    <x:row r="6" ht="55" customHeight="1">
      <x:c r="A6" s="320" t="str">
        <x:v>Conclusion</x:v>
      </x:c>
      <x:c r="B6" s="321"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320" t="str">
        <x:v>Near-term obligations</x:v>
      </x:c>
      <x:c r="B7" s="321"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320" t="str">
        <x:v>Resources and access</x:v>
      </x:c>
      <x:c r="B8" s="321"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320" t="str">
        <x:v>Competing cash uses</x:v>
      </x:c>
      <x:c r="B9" s="321"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322" t="str">
        <x:v>Decisive unknowns</x:v>
      </x:c>
      <x:c r="B10" s="323"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314"/>
      <x:c r="B11" s="315"/>
    </x:row>
    <x:row r="12" ht="32" customHeight="1">
      <x:c r="A12" s="318" t="str">
        <x:v>Historical interest coverage</x:v>
      </x:c>
      <x:c r="B12" s="319" t="str">
        <x:v>Multiple; historical accrual earnings / interest, not repayment coverage</x:v>
      </x:c>
    </x:row>
    <x:row r="13">
      <x:c r="A13" s="324" t="str">
        <x:v>TTM coverage (x)</x:v>
      </x:c>
      <x:c r="B13" s="325" t="n">
        <x:f>IF(ISNUMBER('Cash review'!B79),'Cash review'!B79,NA())</x:f>
        <x:v>3.189794091316025</x:v>
      </x:c>
    </x:row>
    <x:row r="14" ht="72" customHeight="1">
      <x:c r="A14" s="326" t="str">
        <x:v>Company-specific basis</x:v>
      </x:c>
      <x:c r="B14" s="321"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327" t="str">
        <x:v>Interpretation across companies</x:v>
      </x:c>
      <x:c r="B15" s="323"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4"/>
      <x:c r="B16" s="315"/>
    </x:row>
    <x:row r="17" ht="42" customHeight="1">
      <x:c r="A17" s="328" t="str">
        <x:v>Future funding coverage</x:v>
      </x:c>
      <x:c r="B17" s="329" t="str">
        <x:v>Unavailable: payment timing, accessible resources and future cash generation are not jointly established.</x:v>
      </x:c>
    </x:row>
    <x:row r="18" ht="42" customHeight="1">
      <x:c r="A18" s="330" t="str">
        <x:v>Source interpretation</x:v>
      </x:c>
      <x:c r="B18" s="329" t="str">
        <x:v>Narrative reflects the checked source snapshot. Editing workbook inputs updates calculations but requires a new review of the narrative.</x:v>
      </x:c>
    </x:row>
    <x:row r="20" ht="44" customHeight="1">
      <x:c r="A20" s="318" t="str">
        <x:v>Workbook contents — select the named tab</x:v>
      </x:c>
      <x:c r="B20" s="319" t="str">
        <x:v>Question / evidence</x:v>
      </x:c>
    </x:row>
    <x:row r="21" ht="44" customHeight="1">
      <x:c r="A21" s="320" t="str">
        <x:v>Funding conclusion</x:v>
      </x:c>
      <x:c r="B21" s="321" t="str">
        <x:v>Start here: obligations, accessible resources, competing uses and decisive unknowns.</x:v>
      </x:c>
    </x:row>
    <x:row r="22" ht="44" customHeight="1">
      <x:c r="A22" s="320" t="str">
        <x:v>Borrowing and leases</x:v>
      </x:c>
      <x:c r="B22" s="321" t="str">
        <x:v>Borrowing components, dated lease liabilities and uncommenced commitments, separately.</x:v>
      </x:c>
    </x:row>
    <x:row r="23" ht="44" customHeight="1">
      <x:c r="A23" s="320" t="str">
        <x:v>Debt and liquidity</x:v>
      </x:c>
      <x:c r="B23" s="321" t="str">
        <x:v>Latest checked ratios, formulas, periods and company-specific limits.</x:v>
      </x:c>
    </x:row>
    <x:row r="24" ht="44" customHeight="1">
      <x:c r="A24" s="320" t="str">
        <x:v>History</x:v>
      </x:c>
      <x:c r="B24" s="321" t="str">
        <x:v>Annual versus latest dated balances; overlapping FY and TTM flows. Unavailable is not zero.</x:v>
      </x:c>
    </x:row>
    <x:row r="25" ht="44" customHeight="1">
      <x:c r="A25" s="320" t="str">
        <x:v>Core charts</x:v>
      </x:c>
      <x:c r="B25" s="321" t="str">
        <x:v>What remained after capital spending, and how checked cash/borrowing balances changed.</x:v>
      </x:c>
    </x:row>
    <x:row r="26" ht="44" customHeight="1">
      <x:c r="A26" s="320" t="str">
        <x:v>Cash review</x:v>
      </x:c>
      <x:c r="B26" s="321" t="str">
        <x:v>Cash uses and interest/swaps/extinguishment/capitalization reconciliation.</x:v>
      </x:c>
    </x:row>
    <x:row r="27" ht="44" customHeight="1">
      <x:c r="A27" s="320" t="str">
        <x:v>Payment dates</x:v>
      </x:c>
      <x:c r="B27" s="321" t="str">
        <x:v>Selected Nuveen, Helix and project payments; conditional or unknown dates stay explicit.</x:v>
      </x:c>
    </x:row>
    <x:row r="28" ht="44" customHeight="1">
      <x:c r="A28" s="320" t="str">
        <x:v>Financing capacity</x:v>
      </x:c>
      <x:c r="B28" s="321" t="str">
        <x:v>Resource access, letters of credit, facility conditions and Parent restrictions.</x:v>
      </x:c>
    </x:row>
    <x:row r="29" ht="44" customHeight="1">
      <x:c r="A29" s="320" t="str">
        <x:v>Data</x:v>
      </x:c>
      <x:c r="B29" s="321" t="str">
        <x:v>Reported inputs with filing dates, accessions, tags, contexts and source URLs; separate evidence blocks.</x:v>
      </x:c>
    </x:row>
    <x:row r="30" ht="44" customHeight="1">
      <x:c r="A30" s="322" t="str">
        <x:v>About</x:v>
      </x:c>
      <x:c r="B30" s="323" t="str">
        <x:v>Definitions, source scope, missing values, colors and methodology references.</x:v>
      </x:c>
    </x:row>
    <x:row r="32" ht="55" customHeight="1">
      <x:c r="A32" s="331" t="str">
        <x:v>Units and dates</x:v>
      </x:c>
      <x:c r="B32" s="332" t="str">
        <x:v>Amounts are stored as whole USD and displayed in millions unless marked x or %. Balance sheets are instants; FY and later TTM are overlapping twelve-month windows.</x:v>
      </x:c>
    </x:row>
    <x:row r="33" ht="55" customHeight="1">
      <x:c r="A33" s="326" t="str">
        <x:v>Colors</x:v>
      </x:c>
      <x:c r="B33" s="321" t="str">
        <x:v>Blue numeric cells are reported inputs; green formulas reference other sheets; black formulas calculate within a sheet. Green does not mean favorable or recurring cash.</x:v>
      </x:c>
    </x:row>
    <x:row r="34" ht="55" customHeight="1">
      <x:c r="A34" s="326" t="str">
        <x:v>Evidence and uncertainty</x:v>
      </x:c>
      <x:c r="B34" s="321" t="str">
        <x:v>Data contains source URLs and filing metadata. Select a source URL to open it in a browser. Unavailable is never zero; capacity and later events do not update balance-sheet cash or borrowing.</x:v>
      </x:c>
    </x:row>
    <x:row r="35" ht="55" customHeight="1">
      <x:c r="A35" s="327" t="str">
        <x:v>Reading the charts</x:v>
      </x:c>
      <x:c r="B35" s="323"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4"/>
      <x:c r="B1" s="333"/>
      <x:c r="C1" s="333"/>
      <x:c r="D1" s="333"/>
      <x:c r="E1" s="315"/>
    </x:row>
    <x:row r="2" ht="25" customHeight="1">
      <x:c r="A2" s="316" t="str">
        <x:v>Vistra Corp. borrowing and leases</x:v>
      </x:c>
      <x:c r="B2" s="333"/>
      <x:c r="C2" s="333"/>
      <x:c r="D2" s="333"/>
      <x:c r="E2" s="315"/>
    </x:row>
    <x:row r="3" ht="25" customHeight="1">
      <x:c r="A3" s="317" t="str">
        <x:v>Amounts in USD millions. Each balance retains its own date. Baseline borrowing excludes leases.</x:v>
      </x:c>
      <x:c r="B3" s="333"/>
      <x:c r="C3" s="333"/>
      <x:c r="D3" s="333"/>
      <x:c r="E3" s="315"/>
    </x:row>
    <x:row r="4" ht="12" customHeight="1">
      <x:c r="A4" s="314"/>
      <x:c r="B4" s="333"/>
      <x:c r="C4" s="333"/>
      <x:c r="D4" s="333"/>
      <x:c r="E4" s="315"/>
    </x:row>
    <x:row r="5" ht="28" customHeight="1">
      <x:c r="A5" s="318" t="str">
        <x:v>Borrowing component</x:v>
      </x:c>
      <x:c r="B5" s="334" t="str">
        <x:v>USD millions</x:v>
      </x:c>
      <x:c r="C5" s="334" t="str">
        <x:v>As of</x:v>
      </x:c>
      <x:c r="D5" s="334" t="str">
        <x:v>Source / filing</x:v>
      </x:c>
      <x:c r="E5" s="319" t="str">
        <x:v>Basis</x:v>
      </x:c>
    </x:row>
    <x:row r="6" ht="42" customHeight="1">
      <x:c r="A6" s="326" t="str">
        <x:v>Long-term debt, current portion</x:v>
      </x:c>
      <x:c r="B6" s="335" t="n">
        <x:f>IF(ISNUMBER('Data'!B127),'Data'!B127,NA())</x:f>
        <x:v>1876000000</x:v>
      </x:c>
      <x:c r="C6" s="336" t="d">
        <x:v>2026-06-30T00:00:00.000Z</x:v>
      </x:c>
      <x:c r="D6" s="337" t="str">
        <x:v>10-Q balance sheet, p. 2; Note 12, p. 20; filed 2026-08-10</x:v>
      </x:c>
      <x:c r="E6" s="321" t="str">
        <x:v>Long-term debt due currently</x:v>
      </x:c>
    </x:row>
    <x:row r="7" ht="42" customHeight="1">
      <x:c r="A7" s="326" t="str">
        <x:v>Long-term debt, noncurrent</x:v>
      </x:c>
      <x:c r="B7" s="335" t="n">
        <x:f>IF(ISNUMBER('Data'!B128),'Data'!B128,NA())</x:f>
        <x:v>17719000000</x:v>
      </x:c>
      <x:c r="C7" s="336" t="d">
        <x:v>2026-06-30T00:00:00.000Z</x:v>
      </x:c>
      <x:c r="D7" s="337" t="str">
        <x:v>10-Q balance sheet, p. 2; Note 12, p. 20; filed 2026-08-10</x:v>
      </x:c>
      <x:c r="E7" s="321" t="str">
        <x:v>Long-term debt, less amounts due currently</x:v>
      </x:c>
    </x:row>
    <x:row r="8" ht="42" customHeight="1">
      <x:c r="A8" s="326" t="str">
        <x:v>Short-term borrowings</x:v>
      </x:c>
      <x:c r="B8" s="335" t="n">
        <x:f>IF(ISNUMBER('Data'!B129),'Data'!B129,NA())</x:f>
        <x:v>0</x:v>
      </x:c>
      <x:c r="C8" s="336" t="d">
        <x:v>2026-06-30T00:00:00.000Z</x:v>
      </x:c>
      <x:c r="D8" s="337" t="str">
        <x:v>10-Q balance sheet, p. 2; Note 12, p. 20; filed 2026-08-10</x:v>
      </x:c>
      <x:c r="E8" s="321" t="str">
        <x:v>Reported zero, not a missing input.</x:v>
      </x:c>
    </x:row>
    <x:row r="9" ht="42" customHeight="1">
      <x:c r="A9" s="326" t="str">
        <x:v>Accounts receivable financing</x:v>
      </x:c>
      <x:c r="B9" s="335" t="n">
        <x:f>IF(ISNUMBER('Data'!B130),'Data'!B130,NA())</x:f>
        <x:v>300000000</x:v>
      </x:c>
      <x:c r="C9" s="336" t="d">
        <x:v>2026-06-30T00:00:00.000Z</x:v>
      </x:c>
      <x:c r="D9" s="337" t="str">
        <x:v>10-Q balance sheet, p. 2; Note 12, p. 20; filed 2026-08-10</x:v>
      </x:c>
      <x:c r="E9" s="321" t="str">
        <x:v>Accounts receivable financing</x:v>
      </x:c>
    </x:row>
    <x:row r="10" ht="42" customHeight="1">
      <x:c r="A10" s="338" t="str">
        <x:v>Baseline gross debt</x:v>
      </x:c>
      <x:c r="B10" s="339" t="n">
        <x:f>SUM(B6:B9)</x:f>
        <x:v>19895000000</x:v>
      </x:c>
      <x:c r="C10" s="340" t="d">
        <x:v>2026-06-30T00:00:00.000Z</x:v>
      </x:c>
      <x:c r="D10" s="341" t="str">
        <x:v>Derived from the components above</x:v>
      </x:c>
      <x:c r="E10" s="342" t="str">
        <x:v>Carrying amount; excludes leases.</x:v>
      </x:c>
    </x:row>
    <x:row r="11" ht="12" customHeight="1">
      <x:c r="A11" s="314"/>
      <x:c r="B11" s="343"/>
      <x:c r="C11" s="344"/>
      <x:c r="D11" s="333"/>
      <x:c r="E11" s="315"/>
    </x:row>
    <x:row r="12" ht="58" customHeight="1">
      <x:c r="A12" s="330" t="str">
        <x:v>Borrowing scope</x:v>
      </x:c>
      <x:c r="B12" s="343"/>
      <x:c r="C12" s="344"/>
      <x:c r="D12" s="333"/>
      <x:c r="E12" s="329" t="str">
        <x:v>Project-level debt is already included in long-term debt. Nuveen's purchase obligation and affiliate margin-deposit financing remain separate. Note 12's debt itemization contains no lease line.</x:v>
      </x:c>
    </x:row>
    <x:row r="13" ht="12" customHeight="1">
      <x:c r="A13" s="314"/>
      <x:c r="B13" s="343"/>
      <x:c r="C13" s="344"/>
      <x:c r="D13" s="333"/>
      <x:c r="E13" s="315"/>
    </x:row>
    <x:row r="14" ht="12" customHeight="1">
      <x:c r="A14" s="314"/>
      <x:c r="B14" s="343"/>
      <x:c r="C14" s="344"/>
      <x:c r="D14" s="333"/>
      <x:c r="E14" s="315"/>
    </x:row>
    <x:row r="15" ht="28" customHeight="1">
      <x:c r="A15" s="318" t="str">
        <x:v>Lease liability / commitment</x:v>
      </x:c>
      <x:c r="B15" s="345" t="str">
        <x:v>USD millions</x:v>
      </x:c>
      <x:c r="C15" s="346" t="str">
        <x:v>As of</x:v>
      </x:c>
      <x:c r="D15" s="334" t="str">
        <x:v>Source / filing</x:v>
      </x:c>
      <x:c r="E15" s="319" t="str">
        <x:v>Basis / Unavailable reason</x:v>
      </x:c>
    </x:row>
    <x:row r="16" ht="42" customHeight="1">
      <x:c r="A16" s="326" t="str">
        <x:v>Lease liabilities at latest balance sheet</x:v>
      </x:c>
      <x:c r="B16" s="347" t="str">
        <x:v>Unavailable</x:v>
      </x:c>
      <x:c r="C16" s="336" t="d">
        <x:v>2026-06-30T00:00:00.000Z</x:v>
      </x:c>
      <x:c r="D16" s="337" t="str">
        <x:v>Checked 10-Q review</x:v>
      </x:c>
      <x:c r="E16" s="321" t="str">
        <x:v>No lease liability amounts established in this 10-Q. Older amounts below are not substituted.</x:v>
      </x:c>
    </x:row>
    <x:row r="17" ht="42" customHeight="1">
      <x:c r="A17" s="326" t="str">
        <x:v>Operating lease liabilities — current</x:v>
      </x:c>
      <x:c r="B17" s="335" t="n">
        <x:f>IF(ISNUMBER('Data'!B132),'Data'!B132,NA())</x:f>
        <x:v>13000000</x:v>
      </x:c>
      <x:c r="C17" s="336" t="d">
        <x:v>2025-12-31T00:00:00.000Z</x:v>
      </x:c>
      <x:c r="D17" s="337" t="str">
        <x:v>10-K lease note, pp. 122–123; filed 2026-02-27</x:v>
      </x:c>
      <x:c r="E17" s="321" t="str">
        <x:v>Recognized lease liability; excluded from baseline borrowing.</x:v>
      </x:c>
    </x:row>
    <x:row r="18" ht="42" customHeight="1">
      <x:c r="A18" s="326" t="str">
        <x:v>Operating lease liabilities — noncurrent</x:v>
      </x:c>
      <x:c r="B18" s="335" t="n">
        <x:f>IF(ISNUMBER('Data'!B133),'Data'!B133,NA())</x:f>
        <x:v>92000000</x:v>
      </x:c>
      <x:c r="C18" s="336" t="d">
        <x:v>2025-12-31T00:00:00.000Z</x:v>
      </x:c>
      <x:c r="D18" s="337" t="str">
        <x:v>10-K lease note, pp. 122–123; filed 2026-02-27</x:v>
      </x:c>
      <x:c r="E18" s="321" t="str">
        <x:v>Recognized lease liability; excluded from baseline borrowing.</x:v>
      </x:c>
    </x:row>
    <x:row r="19" ht="42" customHeight="1">
      <x:c r="A19" s="348" t="str">
        <x:v>Operating lease liabilities — total</x:v>
      </x:c>
      <x:c r="B19" s="349" t="n">
        <x:f>B17+B18</x:f>
        <x:v>105000000</x:v>
      </x:c>
      <x:c r="C19" s="350" t="d">
        <x:v>2025-12-31T00:00:00.000Z</x:v>
      </x:c>
      <x:c r="D19" s="351" t="str">
        <x:v>10-K lease note, pp. 122–123</x:v>
      </x:c>
      <x:c r="E19" s="352" t="str">
        <x:v>Components match the reported total.</x:v>
      </x:c>
    </x:row>
    <x:row r="20" ht="42" customHeight="1">
      <x:c r="A20" s="326" t="str">
        <x:v>Finance lease liabilities — current</x:v>
      </x:c>
      <x:c r="B20" s="335" t="n">
        <x:f>IF(ISNUMBER('Data'!B135),'Data'!B135,NA())</x:f>
        <x:v>4000000</x:v>
      </x:c>
      <x:c r="C20" s="336" t="d">
        <x:v>2025-12-31T00:00:00.000Z</x:v>
      </x:c>
      <x:c r="D20" s="337" t="str">
        <x:v>10-K lease note, pp. 122–123; filed 2026-02-27</x:v>
      </x:c>
      <x:c r="E20" s="321" t="str">
        <x:v>Recognized lease liability; excluded from baseline borrowing.</x:v>
      </x:c>
    </x:row>
    <x:row r="21" ht="42" customHeight="1">
      <x:c r="A21" s="326" t="str">
        <x:v>Finance lease liabilities — noncurrent</x:v>
      </x:c>
      <x:c r="B21" s="335" t="n">
        <x:f>IF(ISNUMBER('Data'!B136),'Data'!B136,NA())</x:f>
        <x:v>218000000</x:v>
      </x:c>
      <x:c r="C21" s="336" t="d">
        <x:v>2025-12-31T00:00:00.000Z</x:v>
      </x:c>
      <x:c r="D21" s="337" t="str">
        <x:v>10-K lease note, pp. 122–123; filed 2026-02-27</x:v>
      </x:c>
      <x:c r="E21" s="321" t="str">
        <x:v>Recognized lease liability; excluded from baseline borrowing.</x:v>
      </x:c>
    </x:row>
    <x:row r="22" ht="42" customHeight="1">
      <x:c r="A22" s="338" t="str">
        <x:v>Finance lease liabilities — total</x:v>
      </x:c>
      <x:c r="B22" s="339" t="n">
        <x:f>B20+B21</x:f>
        <x:v>222000000</x:v>
      </x:c>
      <x:c r="C22" s="340" t="d">
        <x:v>2025-12-31T00:00:00.000Z</x:v>
      </x:c>
      <x:c r="D22" s="341" t="str">
        <x:v>10-K lease note, pp. 122–123</x:v>
      </x:c>
      <x:c r="E22" s="342" t="str">
        <x:v>Components match the reported total.</x:v>
      </x:c>
    </x:row>
    <x:row r="23" ht="12" customHeight="1">
      <x:c r="A23" s="314"/>
      <x:c r="B23" s="343"/>
      <x:c r="C23" s="344"/>
      <x:c r="D23" s="333"/>
      <x:c r="E23" s="315"/>
    </x:row>
    <x:row r="24" ht="54" customHeight="1">
      <x:c r="A24" s="353" t="str">
        <x:v>Leases not yet commenced</x:v>
      </x:c>
      <x:c r="B24" s="354" t="str">
        <x:v>Unavailable</x:v>
      </x:c>
      <x:c r="C24" s="355" t="d">
        <x:v>2026-06-30T00:00:00.000Z</x:v>
      </x:c>
      <x:c r="D24" s="356" t="str">
        <x:v>Saved pilot evidence; 10-Q review</x:v>
      </x:c>
      <x:c r="E24" s="35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8" t="str">
        <x:v>Vistra Corp.</x:v>
      </x:c>
    </x:row>
    <x:row r="3">
      <x:c r="A3" s="359" t="str">
        <x:v>Balance sheet 2026-06-30. TTM 2025-07-01 to 2026-06-30. USD millions, except ratios (x) and percentages (%).</x:v>
      </x:c>
    </x:row>
    <x:row r="5">
      <x:c r="A5" s="318" t="str">
        <x:v>Measure</x:v>
      </x:c>
      <x:c r="B5" s="334" t="str">
        <x:v>Value (USD millions / x / %)</x:v>
      </x:c>
      <x:c r="C5" s="334" t="str">
        <x:v>Period end</x:v>
      </x:c>
      <x:c r="D5" s="319" t="str">
        <x:v>Formula / basis / limitation</x:v>
      </x:c>
    </x:row>
    <x:row r="6" ht="50" customHeight="1">
      <x:c r="A6" s="326" t="str">
        <x:v>Cash and cash equivalents</x:v>
      </x:c>
      <x:c r="B6" s="335" t="n">
        <x:f>IF(ISNUMBER('Data'!B142),'Data'!B142,NA())</x:f>
        <x:v>435000000</x:v>
      </x:c>
      <x:c r="C6" s="336" t="d">
        <x:v>2026-06-30T00:00:00.000Z</x:v>
      </x:c>
      <x:c r="D6" s="360" t="str">
        <x:v>Cash and cash equivalents excluding restricted cash. Investments are not substituted.</x:v>
      </x:c>
    </x:row>
    <x:row r="7" ht="50" customHeight="1">
      <x:c r="A7" s="348" t="str">
        <x:v>Baseline gross debt</x:v>
      </x:c>
      <x:c r="B7" s="361" t="n">
        <x:f>IF(AND(IF(ISNUMBER('Data'!B143),'Data'!B143,NA())&gt;=0,IF(ISNUMBER('Data'!B144),'Data'!B144,NA())&gt;=0,IF(ISNUMBER('Data'!B145),'Data'!B145,NA())&gt;=0,IF(ISNUMBER('Data'!B146),'Data'!B146,NA())&gt;=0),IF(ISNUMBER('Data'!B143),'Data'!B143,NA())+IF(ISNUMBER('Data'!B144),'Data'!B144,NA())+IF(ISNUMBER('Data'!B145),'Data'!B145,NA())+IF(ISNUMBER('Data'!B146),'Data'!B146,NA()),NA())</x:f>
        <x:v>19895000000</x:v>
      </x:c>
      <x:c r="C7" s="350" t="d">
        <x:v>2026-06-30T00:00:00.000Z</x:v>
      </x:c>
      <x:c r="D7" s="362" t="str">
        <x:v>Carrying amount of borrowing. Operating/finance leases and commitments are excluded. </x:v>
      </x:c>
    </x:row>
    <x:row r="8" ht="50" customHeight="1">
      <x:c r="A8" s="348" t="str">
        <x:v>Net debt</x:v>
      </x:c>
      <x:c r="B8" s="349" t="n">
        <x:f>B7-B6</x:f>
        <x:v>19460000000</x:v>
      </x:c>
      <x:c r="C8" s="350" t="d">
        <x:v>2026-06-30T00:00:00.000Z</x:v>
      </x:c>
      <x:c r="D8" s="362" t="str">
        <x:v>Baseline borrowing less cash excluding restricted cash. Same date and filing. Negative net debt is retained.</x:v>
      </x:c>
    </x:row>
    <x:row r="9" ht="53" customHeight="1">
      <x:c r="A9" s="326" t="str">
        <x:v>Current ratio</x:v>
      </x:c>
      <x:c r="B9" s="363" t="n">
        <x:f>IF(IF(ISNUMBER('Data'!B147),'Data'!B147,NA())&gt;0,IF(ISNUMBER('Data'!B148),'Data'!B148,NA())/IF(ISNUMBER('Data'!B147),'Data'!B147,NA()),NA())</x:f>
        <x:v>0.9733825897508762</x:v>
      </x:c>
      <x:c r="C9" s="336" t="d">
        <x:v>2026-06-30T00:00:00.000Z</x:v>
      </x:c>
      <x:c r="D9" s="360" t="str">
        <x:v>Total current assets / total current liabilities from one balance sheet. Liabilities include more than borrowing; assets include more than cash.</x:v>
      </x:c>
    </x:row>
    <x:row r="10" ht="50" customHeight="1">
      <x:c r="A10" s="326" t="str">
        <x:v>Operating cash flow</x:v>
      </x:c>
      <x:c r="B10" s="335" t="n">
        <x:f>(1*IF(ISNUMBER('Data'!B149),'Data'!B149,NA()))+(1*IF(ISNUMBER('Data'!B150),'Data'!B150,NA()))+(-1*IF(ISNUMBER('Data'!B151),'Data'!B151,NA()))</x:f>
        <x:v>5121000000</x:v>
      </x:c>
      <x:c r="C10" s="336" t="d">
        <x:v>2026-06-30T00:00:00.000Z</x:v>
      </x:c>
      <x:c r="D10" s="360" t="str">
        <x:v>Reported historical OCF; recurrence is not established. Uses FY + current YTD - prior YTD.</x:v>
      </x:c>
    </x:row>
    <x:row r="11" ht="53" customHeight="1">
      <x:c r="A11" s="326" t="str">
        <x:v>Capital expenditures, including nuclear fuel and LTSA prepayments</x:v>
      </x:c>
      <x:c r="B11" s="335" t="n">
        <x:f>(1*IF(ISNUMBER('Data'!B152),'Data'!B152,NA()))+(1*IF(ISNUMBER('Data'!B153),'Data'!B153,NA()))+(-1*IF(ISNUMBER('Data'!B154),'Data'!B154,NA()))</x:f>
        <x:v>2866000000</x:v>
      </x:c>
      <x:c r="C11" s="336" t="d">
        <x:v>2026-06-30T00:00:00.000Z</x:v>
      </x:c>
      <x:c r="D11" s="360" t="str">
        <x:v>The reported capex line includes nuclear fuel purchases and long-term service agreement (LTSA) prepayments. It is used as reported; acquisitions and other investing cash flows are excluded.</x:v>
      </x:c>
    </x:row>
    <x:row r="12" ht="50" customHeight="1">
      <x:c r="A12" s="348" t="str">
        <x:v>Free cash flow</x:v>
      </x:c>
      <x:c r="B12" s="349" t="n">
        <x:f>B10-B11</x:f>
        <x:v>2255000000</x:v>
      </x:c>
      <x:c r="C12" s="350" t="d">
        <x:v>2026-06-30T00:00:00.000Z</x:v>
      </x:c>
      <x:c r="D12" s="362" t="str">
        <x:v>OCF less reported capital spending. Uses the spending basis above; excludes acquisitions, dividends and other cash uses.</x:v>
      </x:c>
    </x:row>
    <x:row r="13" ht="50" customHeight="1">
      <x:c r="A13" s="326" t="str">
        <x:v>Operating cash flow / debt</x:v>
      </x:c>
      <x:c r="B13" s="364" t="n">
        <x:f>IF(B7&gt;0,B10/B7,NA())</x:f>
        <x:v>0.25740135712490575</x:v>
      </x:c>
      <x:c r="C13" s="336" t="d">
        <x:v>2026-06-30T00:00:00.000Z</x:v>
      </x:c>
      <x:c r="D13" s="360" t="str">
        <x:v>Historical TTM OCF / period-end baseline borrowing, not average debt or repayment coverage. The reported OCF basis above is retained.</x:v>
      </x:c>
    </x:row>
    <x:row r="14" ht="50" customHeight="1">
      <x:c r="A14" s="326" t="str">
        <x:v>Free cash flow / debt</x:v>
      </x:c>
      <x:c r="B14" s="364" t="n">
        <x:f>IF(B7&gt;0,B12/B7,NA())</x:f>
        <x:v>0.11334506157325962</x:v>
      </x:c>
      <x:c r="C14" s="336" t="d">
        <x:v>2026-06-30T00:00:00.000Z</x:v>
      </x:c>
      <x:c r="D14" s="360" t="str">
        <x:v>Historical TTM FCF / period-end baseline borrowing. Uses the spending basis above; not repayment coverage.</x:v>
      </x:c>
    </x:row>
    <x:row r="15" ht="92" customHeight="1">
      <x:c r="A15" s="327" t="str">
        <x:v>Historical interest coverage</x:v>
      </x:c>
      <x:c r="B15" s="365" t="n">
        <x:f>'Cash review'!B79</x:f>
        <x:v>3.189794091316025</x:v>
      </x:c>
      <x:c r="C15" s="366" t="d">
        <x:v>2026-06-30T00:00:00.000Z</x:v>
      </x:c>
      <x:c r="D15" s="367"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318" t="str">
        <x:v>Method</x:v>
      </x:c>
      <x:c r="B17" s="368"/>
      <x:c r="C17" s="368"/>
      <x:c r="D17" s="319" t="str">
        <x:v>Explanation</x:v>
      </x:c>
    </x:row>
    <x:row r="18" ht="60" customHeight="1">
      <x:c r="A18" s="326" t="str">
        <x:v>Periods</x:v>
      </x:c>
      <x:c r="B18" s="369"/>
      <x:c r="C18" s="369"/>
      <x:c r="D18" s="321" t="str">
        <x:v>All cash-flow and interest ratios use the TTM above. FY + current YTD − prior YTD. Balance-sheet denominators use the period end, not average debt.</x:v>
      </x:c>
    </x:row>
    <x:row r="19" ht="145" customHeight="1">
      <x:c r="A19" s="326" t="str">
        <x:v>Historical interest basis</x:v>
      </x:c>
      <x:c r="B19" s="369"/>
      <x:c r="C19" s="369"/>
      <x:c r="D19" s="32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326" t="str">
        <x:v>Recalculation</x:v>
      </x:c>
      <x:c r="B20" s="369"/>
      <x:c r="C20" s="369"/>
      <x:c r="D20" s="321" t="str">
        <x:v>The historical interest ratio links to its existing detailed build. Editing source inputs updates formulas; the checked narrative requires a new review.</x:v>
      </x:c>
    </x:row>
    <x:row r="21" ht="72" customHeight="1">
      <x:c r="A21" s="327" t="str">
        <x:v>Interpretation</x:v>
      </x:c>
      <x:c r="B21" s="370"/>
      <x:c r="C21" s="370"/>
      <x:c r="D21" s="323"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4"/>
      <x:c r="B1" s="333"/>
      <x:c r="C1" s="333"/>
      <x:c r="D1" s="315"/>
    </x:row>
    <x:row r="2">
      <x:c r="A2" s="316" t="str">
        <x:v>Vistra Corp. — dated history</x:v>
      </x:c>
      <x:c r="B2" s="333"/>
      <x:c r="C2" s="333"/>
      <x:c r="D2" s="315"/>
    </x:row>
    <x:row r="3">
      <x:c r="A3" s="317" t="str">
        <x:v>USD millions, except ratios (x) and percentages (%). Fiscal year and later TTM both span twelve months and overlap.</x:v>
      </x:c>
      <x:c r="B3" s="333"/>
      <x:c r="C3" s="333"/>
      <x:c r="D3" s="315"/>
    </x:row>
    <x:row r="4">
      <x:c r="A4" s="314"/>
      <x:c r="B4" s="333"/>
      <x:c r="C4" s="333"/>
      <x:c r="D4" s="315"/>
    </x:row>
    <x:row r="5" ht="32" customHeight="1">
      <x:c r="A5" s="318" t="str">
        <x:v>Measure</x:v>
      </x:c>
      <x:c r="B5" s="334" t="str">
        <x:v>As of / FY ended 2025-12-31</x:v>
      </x:c>
      <x:c r="C5" s="334" t="str">
        <x:v>As of / TTM ended 2026-06-30</x:v>
      </x:c>
      <x:c r="D5" s="319" t="str">
        <x:v>Basis / limits</x:v>
      </x:c>
    </x:row>
    <x:row r="6" ht="45" customHeight="1">
      <x:c r="A6" s="326" t="str">
        <x:v>Cash and cash equivalents</x:v>
      </x:c>
      <x:c r="B6" s="335" t="n">
        <x:f>IF(ISNUMBER('Data'!B158),'Data'!B158,NA())</x:f>
        <x:v>785000000</x:v>
      </x:c>
      <x:c r="C6" s="335" t="n">
        <x:f>'Debt and liquidity'!B6</x:f>
        <x:v>435000000</x:v>
      </x:c>
      <x:c r="D6" s="321" t="str">
        <x:v>Cash and cash equivalents excluding restricted cash. Investments are not substituted.</x:v>
      </x:c>
    </x:row>
    <x:row r="7" ht="45" customHeight="1">
      <x:c r="A7" s="326" t="str">
        <x:v>Baseline gross debt</x:v>
      </x:c>
      <x:c r="B7" s="371" t="str">
        <x:v>Unavailable</x:v>
      </x:c>
      <x:c r="C7" s="335" t="n">
        <x:f>'Debt and liquidity'!B7</x:f>
        <x:v>19895000000</x:v>
      </x:c>
      <x:c r="D7" s="321" t="str">
        <x:v>Older borrowing presentation was not checked; older net debt and flow/debt ratios are also Unavailable.</x:v>
      </x:c>
    </x:row>
    <x:row r="8" ht="45" customHeight="1">
      <x:c r="A8" s="326" t="str">
        <x:v>Net debt</x:v>
      </x:c>
      <x:c r="B8" s="371" t="str">
        <x:v>Unavailable</x:v>
      </x:c>
      <x:c r="C8" s="335" t="n">
        <x:f>'Debt and liquidity'!B8</x:f>
        <x:v>19460000000</x:v>
      </x:c>
      <x:c r="D8" s="321" t="str">
        <x:v>Older borrowing presentation was not checked; older net debt and flow/debt ratios are also Unavailable.</x:v>
      </x:c>
    </x:row>
    <x:row r="9" ht="49" customHeight="1">
      <x:c r="A9" s="326" t="str">
        <x:v>Current ratio</x:v>
      </x:c>
      <x:c r="B9" s="363" t="n">
        <x:f>IF(IF(ISNUMBER('Data'!B160),'Data'!B160,NA())&gt;0,IF(ISNUMBER('Data'!B159),'Data'!B159,NA())/IF(ISNUMBER('Data'!B160),'Data'!B160,NA()),NA())</x:f>
        <x:v>0.7769595395293719</x:v>
      </x:c>
      <x:c r="C9" s="363" t="n">
        <x:f>'Debt and liquidity'!B9</x:f>
        <x:v>0.9733825897508762</x:v>
      </x:c>
      <x:c r="D9" s="321" t="str">
        <x:v>Total current assets / total current liabilities from one balance sheet. Liabilities include more than borrowing; assets include more than cash.</x:v>
      </x:c>
    </x:row>
    <x:row r="10" ht="49" customHeight="1">
      <x:c r="A10" s="326" t="str">
        <x:v>Operating cash flow</x:v>
      </x:c>
      <x:c r="B10" s="335" t="n">
        <x:f>IF(ISNUMBER('Data'!B161),'Data'!B161,NA())</x:f>
        <x:v>4070000000</x:v>
      </x:c>
      <x:c r="C10" s="335" t="n">
        <x:f>'Debt and liquidity'!B10</x:f>
        <x:v>5121000000</x:v>
      </x:c>
      <x:c r="D10" s="321" t="str">
        <x:v>Annual column: reported fiscal-year OCF. Latest column only: Reported historical OCF; recurrence is not established. Uses FY + current YTD - prior YTD.</x:v>
      </x:c>
    </x:row>
    <x:row r="11" ht="49" customHeight="1">
      <x:c r="A11" s="326" t="str">
        <x:v>Capital expenditures, including nuclear fuel and LTSA prepayments</x:v>
      </x:c>
      <x:c r="B11" s="335" t="n">
        <x:f>IF(ISNUMBER('Data'!B162),'Data'!B162,NA())</x:f>
        <x:v>2752000000</x:v>
      </x:c>
      <x:c r="C11" s="335" t="n">
        <x:f>'Debt and liquidity'!B11</x:f>
        <x:v>2866000000</x:v>
      </x:c>
      <x:c r="D11" s="321" t="str">
        <x:v>The reported capex line includes nuclear fuel purchases and long-term service agreement (LTSA) prepayments. It is used as reported; acquisitions and other investing cash flows are excluded.</x:v>
      </x:c>
    </x:row>
    <x:row r="12" ht="45" customHeight="1">
      <x:c r="A12" s="326" t="str">
        <x:v>Free cash flow</x:v>
      </x:c>
      <x:c r="B12" s="372" t="n">
        <x:f>B10-B11</x:f>
        <x:v>1318000000</x:v>
      </x:c>
      <x:c r="C12" s="335" t="n">
        <x:f>'Debt and liquidity'!B12</x:f>
        <x:v>2255000000</x:v>
      </x:c>
      <x:c r="D12" s="321" t="str">
        <x:v>OCF less reported capital spending. Uses the spending basis above; excludes acquisitions, dividends and other cash uses.</x:v>
      </x:c>
    </x:row>
    <x:row r="13" ht="45" customHeight="1">
      <x:c r="A13" s="326" t="str">
        <x:v>Operating cash flow / debt</x:v>
      </x:c>
      <x:c r="B13" s="373" t="str">
        <x:v>Unavailable</x:v>
      </x:c>
      <x:c r="C13" s="374" t="n">
        <x:f>'Debt and liquidity'!B13</x:f>
        <x:v>0.25740135712490575</x:v>
      </x:c>
      <x:c r="D13" s="321" t="str">
        <x:v>Older borrowing presentation was not checked; older net debt and flow/debt ratios are also Unavailable.</x:v>
      </x:c>
    </x:row>
    <x:row r="14" ht="45" customHeight="1">
      <x:c r="A14" s="326" t="str">
        <x:v>Free cash flow / debt</x:v>
      </x:c>
      <x:c r="B14" s="373" t="str">
        <x:v>Unavailable</x:v>
      </x:c>
      <x:c r="C14" s="374" t="n">
        <x:f>'Debt and liquidity'!B14</x:f>
        <x:v>0.11334506157325962</x:v>
      </x:c>
      <x:c r="D14" s="321" t="str">
        <x:v>Older borrowing presentation was not checked; older net debt and flow/debt ratios are also Unavailable.</x:v>
      </x:c>
    </x:row>
    <x:row r="15" ht="49" customHeight="1">
      <x:c r="A15" s="327" t="str">
        <x:v>Historical interest coverage</x:v>
      </x:c>
      <x:c r="B15" s="365" t="n">
        <x:f>IF(AND('Cash review'!B57&gt;0,'Cash review'!B65=0),'Cash review'!B56/'Cash review'!B57,NA())</x:f>
        <x:v>1.7217705510388437</x:v>
      </x:c>
      <x:c r="C15" s="365" t="n">
        <x:f>'Debt and liquidity'!B15</x:f>
        <x:v>3.189794091316025</x:v>
      </x:c>
      <x:c r="D15" s="323" t="str">
        <x:v>Annual and later TTM use the separate interest component before the capitalized-interest deduction; swaps and extinguishment effects are not added to the denominator.</x:v>
      </x:c>
    </x:row>
    <x:row r="16">
      <x:c r="A16" s="314"/>
      <x:c r="B16" s="333"/>
      <x:c r="C16" s="333"/>
      <x:c r="D16" s="315"/>
    </x:row>
    <x:row r="17" ht="70" customHeight="1">
      <x:c r="A17" s="330" t="str">
        <x:v>Period definitions</x:v>
      </x:c>
      <x:c r="B17" s="333"/>
      <x:c r="C17" s="333"/>
      <x:c r="D17" s="329"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30" t="str">
        <x:v>Fiscal-year flows</x:v>
      </x:c>
      <x:c r="B18" s="333"/>
      <x:c r="C18" s="333"/>
      <x:c r="D18" s="329" t="str">
        <x:v>2025-01-01 to 2025-12-31</x:v>
      </x:c>
    </x:row>
    <x:row r="19">
      <x:c r="A19" s="330" t="str">
        <x:v>Later TTM flows</x:v>
      </x:c>
      <x:c r="B19" s="333"/>
      <x:c r="C19" s="333"/>
      <x:c r="D19" s="329" t="str">
        <x:v>2025-07-01 to 2026-06-30</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4"/>
      <x:c r="B1" s="333"/>
      <x:c r="C1" s="333"/>
      <x:c r="D1" s="315"/>
      <x:c r="E1" s="375"/>
      <x:c r="F1" s="375"/>
      <x:c r="G1" s="375"/>
      <x:c r="H1" s="375"/>
      <x:c r="I1" s="375"/>
      <x:c r="J1" s="375"/>
      <x:c r="K1" s="375"/>
      <x:c r="L1" s="375"/>
      <x:c r="M1" s="375"/>
      <x:c r="N1" s="375"/>
      <x:c r="O1" s="375"/>
    </x:row>
    <x:row r="2" ht="35" customHeight="1">
      <x:c r="A2" s="316" t="str">
        <x:v>VST — two chart questions</x:v>
      </x:c>
      <x:c r="B2" s="333"/>
      <x:c r="C2" s="333"/>
      <x:c r="D2" s="315"/>
      <x:c r="E2" s="375"/>
      <x:c r="F2" s="375"/>
      <x:c r="G2" s="375"/>
      <x:c r="H2" s="375"/>
      <x:c r="I2" s="375"/>
      <x:c r="J2" s="375"/>
      <x:c r="K2" s="375"/>
      <x:c r="L2" s="375"/>
      <x:c r="M2" s="375"/>
      <x:c r="N2" s="375"/>
      <x:c r="O2" s="375"/>
    </x:row>
    <x:row r="3" ht="35" customHeight="1">
      <x:c r="A3" s="317" t="str">
        <x:v>TTM 2025-07-01 to 2026-06-30. Values stored in USD, displayed in millions.</x:v>
      </x:c>
      <x:c r="B3" s="333"/>
      <x:c r="C3" s="333"/>
      <x:c r="D3" s="315"/>
      <x:c r="E3" s="375"/>
      <x:c r="F3" s="375"/>
      <x:c r="G3" s="375"/>
      <x:c r="H3" s="375"/>
      <x:c r="I3" s="375"/>
      <x:c r="J3" s="375"/>
      <x:c r="K3" s="375"/>
      <x:c r="L3" s="375"/>
      <x:c r="M3" s="375"/>
      <x:c r="N3" s="375"/>
      <x:c r="O3" s="375"/>
    </x:row>
    <x:row r="4" ht="35" customHeight="1">
      <x:c r="A4" s="314"/>
      <x:c r="B4" s="333"/>
      <x:c r="C4" s="333"/>
      <x:c r="D4" s="315"/>
      <x:c r="E4" s="375"/>
      <x:c r="F4" s="375"/>
      <x:c r="G4" s="375"/>
      <x:c r="H4" s="375"/>
      <x:c r="I4" s="375"/>
      <x:c r="J4" s="375"/>
      <x:c r="K4" s="375"/>
      <x:c r="L4" s="375"/>
      <x:c r="M4" s="375"/>
      <x:c r="N4" s="375"/>
      <x:c r="O4" s="375"/>
    </x:row>
    <x:row r="5" ht="35" customHeight="1">
      <x:c r="A5" s="318" t="str">
        <x:v>TTM measure</x:v>
      </x:c>
      <x:c r="B5" s="376" t="str">
        <x:v>USD millions</x:v>
      </x:c>
      <x:c r="C5" s="333"/>
      <x:c r="D5" s="315"/>
      <x:c r="E5" s="375"/>
      <x:c r="F5" s="375"/>
      <x:c r="G5" s="375"/>
      <x:c r="H5" s="375"/>
      <x:c r="I5" s="375"/>
      <x:c r="J5" s="375"/>
      <x:c r="K5" s="375"/>
      <x:c r="L5" s="375"/>
      <x:c r="M5" s="375"/>
      <x:c r="N5" s="375"/>
      <x:c r="O5" s="375"/>
    </x:row>
    <x:row r="6" ht="35" customHeight="1">
      <x:c r="A6" s="326" t="str">
        <x:v>Operating cash flow</x:v>
      </x:c>
      <x:c r="B6" s="377" t="n">
        <x:f>'Debt and liquidity'!B10</x:f>
        <x:v>5121000000</x:v>
      </x:c>
      <x:c r="C6" s="333"/>
      <x:c r="D6" s="315"/>
      <x:c r="E6" s="375"/>
      <x:c r="F6" s="375"/>
      <x:c r="G6" s="375"/>
      <x:c r="H6" s="375"/>
      <x:c r="I6" s="375"/>
      <x:c r="J6" s="375"/>
      <x:c r="K6" s="375"/>
      <x:c r="L6" s="375"/>
      <x:c r="M6" s="375"/>
      <x:c r="N6" s="375"/>
      <x:c r="O6" s="375"/>
    </x:row>
    <x:row r="7" ht="35" customHeight="1">
      <x:c r="A7" s="326" t="str">
        <x:v>Capital spending</x:v>
      </x:c>
      <x:c r="B7" s="377" t="n">
        <x:f>-'Debt and liquidity'!B11</x:f>
        <x:v>-2866000000</x:v>
      </x:c>
      <x:c r="C7" s="333"/>
      <x:c r="D7" s="315"/>
      <x:c r="E7" s="375"/>
      <x:c r="F7" s="375"/>
      <x:c r="G7" s="375"/>
      <x:c r="H7" s="375"/>
      <x:c r="I7" s="375"/>
      <x:c r="J7" s="375"/>
      <x:c r="K7" s="375"/>
      <x:c r="L7" s="375"/>
      <x:c r="M7" s="375"/>
      <x:c r="N7" s="375"/>
      <x:c r="O7" s="375"/>
    </x:row>
    <x:row r="8" ht="35" customHeight="1">
      <x:c r="A8" s="327" t="str">
        <x:v>Free cash flow</x:v>
      </x:c>
      <x:c r="B8" s="378" t="n">
        <x:f>'Debt and liquidity'!B12</x:f>
        <x:v>2255000000</x:v>
      </x:c>
      <x:c r="C8" s="333"/>
      <x:c r="D8" s="315"/>
      <x:c r="E8" s="375"/>
      <x:c r="F8" s="375"/>
      <x:c r="G8" s="375"/>
      <x:c r="H8" s="375"/>
      <x:c r="I8" s="375"/>
      <x:c r="J8" s="375"/>
      <x:c r="K8" s="375"/>
      <x:c r="L8" s="375"/>
      <x:c r="M8" s="375"/>
      <x:c r="N8" s="375"/>
      <x:c r="O8" s="375"/>
    </x:row>
    <x:row r="9" ht="35" customHeight="1">
      <x:c r="A9" s="314"/>
      <x:c r="B9" s="333"/>
      <x:c r="C9" s="333"/>
      <x:c r="D9" s="315"/>
      <x:c r="E9" s="375"/>
      <x:c r="F9" s="375"/>
      <x:c r="G9" s="375"/>
      <x:c r="H9" s="375"/>
      <x:c r="I9" s="375"/>
      <x:c r="J9" s="375"/>
      <x:c r="K9" s="375"/>
      <x:c r="L9" s="375"/>
      <x:c r="M9" s="375"/>
      <x:c r="N9" s="375"/>
      <x:c r="O9" s="375"/>
    </x:row>
    <x:row r="10" ht="80" customHeight="1">
      <x:c r="A10" s="330" t="str">
        <x:v>Calculation basis</x:v>
      </x:c>
      <x:c r="B10" s="333"/>
      <x:c r="C10" s="333"/>
      <x:c r="D10" s="329" t="str">
        <x:v>FCF = OCF − capital spending. FCF is a result, not an additional cash flow. Capital spending is shown negative.</x:v>
      </x:c>
      <x:c r="E10" s="375"/>
      <x:c r="F10" s="375"/>
      <x:c r="G10" s="375"/>
      <x:c r="H10" s="375"/>
      <x:c r="I10" s="375"/>
      <x:c r="J10" s="375"/>
      <x:c r="K10" s="375"/>
      <x:c r="L10" s="375"/>
      <x:c r="M10" s="375"/>
      <x:c r="N10" s="375"/>
      <x:c r="O10" s="375"/>
    </x:row>
    <x:row r="11" ht="35" customHeight="1">
      <x:c r="A11" s="314"/>
      <x:c r="B11" s="333"/>
      <x:c r="C11" s="333"/>
      <x:c r="D11" s="315"/>
      <x:c r="E11" s="375"/>
      <x:c r="F11" s="375"/>
      <x:c r="G11" s="375"/>
      <x:c r="H11" s="375"/>
      <x:c r="I11" s="375"/>
      <x:c r="J11" s="375"/>
      <x:c r="K11" s="375"/>
      <x:c r="L11" s="375"/>
      <x:c r="M11" s="375"/>
      <x:c r="N11" s="375"/>
      <x:c r="O11" s="375"/>
    </x:row>
    <x:row r="12" ht="35" customHeight="1">
      <x:c r="A12" s="314"/>
      <x:c r="B12" s="333"/>
      <x:c r="C12" s="333"/>
      <x:c r="D12" s="315"/>
      <x:c r="E12" s="375"/>
      <x:c r="F12" s="375"/>
      <x:c r="G12" s="375"/>
      <x:c r="H12" s="375"/>
      <x:c r="I12" s="375"/>
      <x:c r="J12" s="375"/>
      <x:c r="K12" s="375"/>
      <x:c r="L12" s="375"/>
      <x:c r="M12" s="375"/>
      <x:c r="N12" s="375"/>
      <x:c r="O12" s="375"/>
    </x:row>
    <x:row r="13" ht="35" customHeight="1">
      <x:c r="A13" s="314"/>
      <x:c r="B13" s="333"/>
      <x:c r="C13" s="333"/>
      <x:c r="D13" s="315"/>
      <x:c r="E13" s="375"/>
      <x:c r="F13" s="375"/>
      <x:c r="G13" s="375"/>
      <x:c r="H13" s="375"/>
      <x:c r="I13" s="375"/>
      <x:c r="J13" s="375"/>
      <x:c r="K13" s="375"/>
      <x:c r="L13" s="375"/>
      <x:c r="M13" s="375"/>
      <x:c r="N13" s="375"/>
      <x:c r="O13" s="375"/>
    </x:row>
    <x:row r="14" ht="35" customHeight="1">
      <x:c r="A14" s="314"/>
      <x:c r="B14" s="333"/>
      <x:c r="C14" s="333"/>
      <x:c r="D14" s="315"/>
      <x:c r="E14" s="375"/>
      <x:c r="F14" s="375"/>
      <x:c r="G14" s="375"/>
      <x:c r="H14" s="375"/>
      <x:c r="I14" s="375"/>
      <x:c r="J14" s="375"/>
      <x:c r="K14" s="375"/>
      <x:c r="L14" s="375"/>
      <x:c r="M14" s="375"/>
      <x:c r="N14" s="375"/>
      <x:c r="O14" s="375"/>
    </x:row>
    <x:row r="15" ht="35" customHeight="1">
      <x:c r="A15" s="314"/>
      <x:c r="B15" s="333"/>
      <x:c r="C15" s="333"/>
      <x:c r="D15" s="315"/>
      <x:c r="E15" s="375"/>
      <x:c r="F15" s="375"/>
      <x:c r="G15" s="375"/>
      <x:c r="H15" s="375"/>
      <x:c r="I15" s="375"/>
      <x:c r="J15" s="375"/>
      <x:c r="K15" s="375"/>
      <x:c r="L15" s="375"/>
      <x:c r="M15" s="375"/>
      <x:c r="N15" s="375"/>
      <x:c r="O15" s="375"/>
    </x:row>
    <x:row r="16" ht="35" customHeight="1">
      <x:c r="A16" s="314"/>
      <x:c r="B16" s="333"/>
      <x:c r="C16" s="333"/>
      <x:c r="D16" s="315"/>
      <x:c r="E16" s="375"/>
      <x:c r="F16" s="375"/>
      <x:c r="G16" s="375"/>
      <x:c r="H16" s="375"/>
      <x:c r="I16" s="375"/>
      <x:c r="J16" s="375"/>
      <x:c r="K16" s="375"/>
      <x:c r="L16" s="375"/>
      <x:c r="M16" s="375"/>
      <x:c r="N16" s="375"/>
      <x:c r="O16" s="375"/>
    </x:row>
    <x:row r="17" ht="35" customHeight="1">
      <x:c r="A17" s="314"/>
      <x:c r="B17" s="333"/>
      <x:c r="C17" s="333"/>
      <x:c r="D17" s="315"/>
      <x:c r="E17" s="375"/>
      <x:c r="F17" s="375"/>
      <x:c r="G17" s="375"/>
      <x:c r="H17" s="375"/>
      <x:c r="I17" s="375"/>
      <x:c r="J17" s="375"/>
      <x:c r="K17" s="375"/>
      <x:c r="L17" s="375"/>
      <x:c r="M17" s="375"/>
      <x:c r="N17" s="375"/>
      <x:c r="O17" s="375"/>
    </x:row>
    <x:row r="18" ht="35" customHeight="1">
      <x:c r="A18" s="314"/>
      <x:c r="B18" s="333"/>
      <x:c r="C18" s="333"/>
      <x:c r="D18" s="315"/>
      <x:c r="E18" s="375"/>
      <x:c r="F18" s="375"/>
      <x:c r="G18" s="375"/>
      <x:c r="H18" s="375"/>
      <x:c r="I18" s="375"/>
      <x:c r="J18" s="375"/>
      <x:c r="K18" s="375"/>
      <x:c r="L18" s="375"/>
      <x:c r="M18" s="375"/>
      <x:c r="N18" s="375"/>
      <x:c r="O18" s="375"/>
    </x:row>
    <x:row r="19" ht="35" customHeight="1">
      <x:c r="A19" s="314"/>
      <x:c r="B19" s="333"/>
      <x:c r="C19" s="333"/>
      <x:c r="D19" s="315"/>
      <x:c r="E19" s="375"/>
      <x:c r="F19" s="375"/>
      <x:c r="G19" s="375"/>
      <x:c r="H19" s="375"/>
      <x:c r="I19" s="375"/>
      <x:c r="J19" s="375"/>
      <x:c r="K19" s="375"/>
      <x:c r="L19" s="375"/>
      <x:c r="M19" s="375"/>
      <x:c r="N19" s="375"/>
      <x:c r="O19" s="375"/>
    </x:row>
    <x:row r="20" ht="35" customHeight="1">
      <x:c r="A20" s="314"/>
      <x:c r="B20" s="333"/>
      <x:c r="C20" s="333"/>
      <x:c r="D20" s="315"/>
      <x:c r="E20" s="375"/>
      <x:c r="F20" s="375"/>
      <x:c r="G20" s="375"/>
      <x:c r="H20" s="375"/>
      <x:c r="I20" s="375"/>
      <x:c r="J20" s="375"/>
      <x:c r="K20" s="375"/>
      <x:c r="L20" s="375"/>
      <x:c r="M20" s="375"/>
      <x:c r="N20" s="375"/>
      <x:c r="O20" s="375"/>
    </x:row>
    <x:row r="21" ht="35" customHeight="1">
      <x:c r="A21" s="314"/>
      <x:c r="B21" s="333"/>
      <x:c r="C21" s="333"/>
      <x:c r="D21" s="315"/>
      <x:c r="E21" s="375"/>
      <x:c r="F21" s="375"/>
      <x:c r="G21" s="375"/>
      <x:c r="H21" s="375"/>
      <x:c r="I21" s="375"/>
      <x:c r="J21" s="375"/>
      <x:c r="K21" s="375"/>
      <x:c r="L21" s="375"/>
      <x:c r="M21" s="375"/>
      <x:c r="N21" s="375"/>
      <x:c r="O21" s="375"/>
    </x:row>
    <x:row r="22" ht="35" customHeight="1">
      <x:c r="A22" s="314"/>
      <x:c r="B22" s="333"/>
      <x:c r="C22" s="333"/>
      <x:c r="D22" s="315"/>
      <x:c r="E22" s="375"/>
      <x:c r="F22" s="375"/>
      <x:c r="G22" s="375"/>
      <x:c r="H22" s="375"/>
      <x:c r="I22" s="375"/>
      <x:c r="J22" s="375"/>
      <x:c r="K22" s="375"/>
      <x:c r="L22" s="375"/>
      <x:c r="M22" s="375"/>
      <x:c r="N22" s="375"/>
      <x:c r="O22" s="375"/>
    </x:row>
    <x:row r="23" ht="35" customHeight="1">
      <x:c r="A23" s="314"/>
      <x:c r="B23" s="333"/>
      <x:c r="C23" s="333"/>
      <x:c r="D23" s="315"/>
      <x:c r="E23" s="375"/>
      <x:c r="F23" s="375"/>
      <x:c r="G23" s="375"/>
      <x:c r="H23" s="375"/>
      <x:c r="I23" s="375"/>
      <x:c r="J23" s="375"/>
      <x:c r="K23" s="375"/>
      <x:c r="L23" s="375"/>
      <x:c r="M23" s="375"/>
      <x:c r="N23" s="375"/>
      <x:c r="O23" s="375"/>
    </x:row>
    <x:row r="24" ht="35" customHeight="1">
      <x:c r="A24" s="318" t="str">
        <x:v>Balance-sheet date</x:v>
      </x:c>
      <x:c r="B24" s="376" t="str">
        <x:v>Cash and equivalents</x:v>
      </x:c>
      <x:c r="C24" s="333"/>
      <x:c r="D24" s="315"/>
      <x:c r="E24" s="375"/>
      <x:c r="F24" s="375"/>
      <x:c r="G24" s="375"/>
      <x:c r="H24" s="375"/>
      <x:c r="I24" s="375"/>
      <x:c r="J24" s="375"/>
      <x:c r="K24" s="375"/>
      <x:c r="L24" s="375"/>
      <x:c r="M24" s="375"/>
      <x:c r="N24" s="375"/>
      <x:c r="O24" s="375"/>
    </x:row>
    <x:row r="25" ht="35" customHeight="1">
      <x:c r="A25" s="326" t="str">
        <x:v>2025-12-31</x:v>
      </x:c>
      <x:c r="B25" s="377" t="n">
        <x:f>'History'!B6</x:f>
        <x:v>785000000</x:v>
      </x:c>
      <x:c r="C25" s="379"/>
      <x:c r="D25" s="315"/>
      <x:c r="E25" s="375"/>
      <x:c r="F25" s="375"/>
      <x:c r="G25" s="375"/>
      <x:c r="H25" s="375"/>
      <x:c r="I25" s="375"/>
      <x:c r="J25" s="375"/>
      <x:c r="K25" s="375"/>
      <x:c r="L25" s="375"/>
      <x:c r="M25" s="375"/>
      <x:c r="N25" s="375"/>
      <x:c r="O25" s="375"/>
    </x:row>
    <x:row r="26" ht="35" customHeight="1">
      <x:c r="A26" s="327" t="str">
        <x:v>2026-06-30</x:v>
      </x:c>
      <x:c r="B26" s="378" t="n">
        <x:f>'History'!C6</x:f>
        <x:v>435000000</x:v>
      </x:c>
      <x:c r="C26" s="379"/>
      <x:c r="D26" s="315"/>
      <x:c r="E26" s="375"/>
      <x:c r="F26" s="375"/>
      <x:c r="G26" s="375"/>
      <x:c r="H26" s="375"/>
      <x:c r="I26" s="375"/>
      <x:c r="J26" s="375"/>
      <x:c r="K26" s="375"/>
      <x:c r="L26" s="375"/>
      <x:c r="M26" s="375"/>
      <x:c r="N26" s="375"/>
      <x:c r="O26" s="375"/>
    </x:row>
    <x:row r="27" ht="35" customHeight="1">
      <x:c r="A27" s="314"/>
      <x:c r="B27" s="333"/>
      <x:c r="C27" s="333"/>
      <x:c r="D27" s="315"/>
      <x:c r="E27" s="375"/>
      <x:c r="F27" s="375"/>
      <x:c r="G27" s="375"/>
      <x:c r="H27" s="375"/>
      <x:c r="I27" s="375"/>
      <x:c r="J27" s="375"/>
      <x:c r="K27" s="375"/>
      <x:c r="L27" s="375"/>
      <x:c r="M27" s="375"/>
      <x:c r="N27" s="375"/>
      <x:c r="O27" s="375"/>
    </x:row>
    <x:row r="28" ht="35" customHeight="1">
      <x:c r="A28" s="314"/>
      <x:c r="B28" s="333"/>
      <x:c r="C28" s="333"/>
      <x:c r="D28" s="315"/>
      <x:c r="E28" s="375"/>
      <x:c r="F28" s="375"/>
      <x:c r="G28" s="375"/>
      <x:c r="H28" s="375"/>
      <x:c r="I28" s="375"/>
      <x:c r="J28" s="375"/>
      <x:c r="K28" s="375"/>
      <x:c r="L28" s="375"/>
      <x:c r="M28" s="375"/>
      <x:c r="N28" s="375"/>
      <x:c r="O28" s="375"/>
    </x:row>
    <x:row r="29" ht="95" customHeight="1">
      <x:c r="A29" s="330" t="str">
        <x:v>Scope / missing history</x:v>
      </x:c>
      <x:c r="B29" s="333"/>
      <x:c r="C29" s="333"/>
      <x:c r="D29" s="329" t="str">
        <x:v>Older borrowing is Unavailable, so this chart compares cash only. No zero borrowing value or debt trend is inferred. Cash excludes restricted cash and investments.</x:v>
      </x:c>
      <x:c r="E29" s="375"/>
      <x:c r="F29" s="375"/>
      <x:c r="G29" s="375"/>
      <x:c r="H29" s="375"/>
      <x:c r="I29" s="375"/>
      <x:c r="J29" s="375"/>
      <x:c r="K29" s="375"/>
      <x:c r="L29" s="375"/>
      <x:c r="M29" s="375"/>
      <x:c r="N29" s="375"/>
      <x:c r="O29" s="375"/>
    </x:row>
    <x:row r="30" ht="35" customHeight="1">
      <x:c r="A30" s="314"/>
      <x:c r="B30" s="333"/>
      <x:c r="C30" s="333"/>
      <x:c r="D30" s="315"/>
      <x:c r="E30" s="375"/>
      <x:c r="F30" s="375"/>
      <x:c r="G30" s="375"/>
      <x:c r="H30" s="375"/>
      <x:c r="I30" s="375"/>
      <x:c r="J30" s="375"/>
      <x:c r="K30" s="375"/>
      <x:c r="L30" s="375"/>
      <x:c r="M30" s="375"/>
      <x:c r="N30" s="375"/>
      <x:c r="O30" s="375"/>
    </x:row>
    <x:row r="31" ht="35" customHeight="1">
      <x:c r="A31" s="314"/>
      <x:c r="B31" s="333"/>
      <x:c r="C31" s="333"/>
      <x:c r="D31" s="315"/>
      <x:c r="E31" s="375"/>
      <x:c r="F31" s="375"/>
      <x:c r="G31" s="375"/>
      <x:c r="H31" s="375"/>
      <x:c r="I31" s="375"/>
      <x:c r="J31" s="375"/>
      <x:c r="K31" s="375"/>
      <x:c r="L31" s="375"/>
      <x:c r="M31" s="375"/>
      <x:c r="N31" s="375"/>
      <x:c r="O31" s="375"/>
    </x:row>
    <x:row r="32" ht="35" customHeight="1">
      <x:c r="A32" s="314"/>
      <x:c r="B32" s="333"/>
      <x:c r="C32" s="333"/>
      <x:c r="D32" s="315"/>
      <x:c r="E32" s="375"/>
      <x:c r="F32" s="375"/>
      <x:c r="G32" s="375"/>
      <x:c r="H32" s="375"/>
      <x:c r="I32" s="375"/>
      <x:c r="J32" s="375"/>
      <x:c r="K32" s="375"/>
      <x:c r="L32" s="375"/>
      <x:c r="M32" s="375"/>
      <x:c r="N32" s="375"/>
      <x:c r="O32" s="375"/>
    </x:row>
    <x:row r="33" ht="35" customHeight="1">
      <x:c r="A33" s="314"/>
      <x:c r="B33" s="333"/>
      <x:c r="C33" s="333"/>
      <x:c r="D33" s="315"/>
      <x:c r="E33" s="375"/>
      <x:c r="F33" s="375"/>
      <x:c r="G33" s="375"/>
      <x:c r="H33" s="375"/>
      <x:c r="I33" s="375"/>
      <x:c r="J33" s="375"/>
      <x:c r="K33" s="375"/>
      <x:c r="L33" s="375"/>
      <x:c r="M33" s="375"/>
      <x:c r="N33" s="375"/>
      <x:c r="O33" s="375"/>
    </x:row>
    <x:row r="34" ht="35" customHeight="1">
      <x:c r="A34" s="314"/>
      <x:c r="B34" s="333"/>
      <x:c r="C34" s="333"/>
      <x:c r="D34" s="315"/>
      <x:c r="E34" s="375"/>
      <x:c r="F34" s="375"/>
      <x:c r="G34" s="375"/>
      <x:c r="H34" s="375"/>
      <x:c r="I34" s="375"/>
      <x:c r="J34" s="375"/>
      <x:c r="K34" s="375"/>
      <x:c r="L34" s="375"/>
      <x:c r="M34" s="375"/>
      <x:c r="N34" s="375"/>
      <x:c r="O34" s="375"/>
    </x:row>
    <x:row r="35" ht="35" customHeight="1">
      <x:c r="A35" s="314"/>
      <x:c r="B35" s="333"/>
      <x:c r="C35" s="333"/>
      <x:c r="D35" s="315"/>
      <x:c r="E35" s="375"/>
      <x:c r="F35" s="375"/>
      <x:c r="G35" s="375"/>
      <x:c r="H35" s="375"/>
      <x:c r="I35" s="375"/>
      <x:c r="J35" s="375"/>
      <x:c r="K35" s="375"/>
      <x:c r="L35" s="375"/>
      <x:c r="M35" s="375"/>
      <x:c r="N35" s="375"/>
      <x:c r="O35" s="375"/>
    </x:row>
    <x:row r="36" ht="35" customHeight="1">
      <x:c r="A36" s="314"/>
      <x:c r="B36" s="333"/>
      <x:c r="C36" s="333"/>
      <x:c r="D36" s="315"/>
      <x:c r="E36" s="375"/>
      <x:c r="F36" s="375"/>
      <x:c r="G36" s="375"/>
      <x:c r="H36" s="375"/>
      <x:c r="I36" s="375"/>
      <x:c r="J36" s="375"/>
      <x:c r="K36" s="375"/>
      <x:c r="L36" s="375"/>
      <x:c r="M36" s="375"/>
      <x:c r="N36" s="375"/>
      <x:c r="O36" s="375"/>
    </x:row>
    <x:row r="37" ht="35" customHeight="1">
      <x:c r="A37" s="314"/>
      <x:c r="B37" s="333"/>
      <x:c r="C37" s="333"/>
      <x:c r="D37" s="315"/>
      <x:c r="E37" s="375"/>
      <x:c r="F37" s="375"/>
      <x:c r="G37" s="375"/>
      <x:c r="H37" s="375"/>
      <x:c r="I37" s="375"/>
      <x:c r="J37" s="375"/>
      <x:c r="K37" s="375"/>
      <x:c r="L37" s="375"/>
      <x:c r="M37" s="375"/>
      <x:c r="N37" s="375"/>
      <x:c r="O37" s="375"/>
    </x:row>
    <x:row r="38" ht="35" customHeight="1">
      <x:c r="A38" s="314"/>
      <x:c r="B38" s="333"/>
      <x:c r="C38" s="333"/>
      <x:c r="D38" s="315"/>
      <x:c r="E38" s="375"/>
      <x:c r="F38" s="375"/>
      <x:c r="G38" s="375"/>
      <x:c r="H38" s="375"/>
      <x:c r="I38" s="375"/>
      <x:c r="J38" s="375"/>
      <x:c r="K38" s="375"/>
      <x:c r="L38" s="375"/>
      <x:c r="M38" s="375"/>
      <x:c r="N38" s="375"/>
      <x:c r="O38" s="375"/>
    </x:row>
    <x:row r="39" ht="35" customHeight="1">
      <x:c r="A39" s="314"/>
      <x:c r="B39" s="333"/>
      <x:c r="C39" s="333"/>
      <x:c r="D39" s="315"/>
      <x:c r="E39" s="375"/>
      <x:c r="F39" s="375"/>
      <x:c r="G39" s="375"/>
      <x:c r="H39" s="375"/>
      <x:c r="I39" s="375"/>
      <x:c r="J39" s="375"/>
      <x:c r="K39" s="375"/>
      <x:c r="L39" s="375"/>
      <x:c r="M39" s="375"/>
      <x:c r="N39" s="375"/>
      <x:c r="O39" s="375"/>
    </x:row>
    <x:row r="40" ht="35" customHeight="1">
      <x:c r="A40" s="314"/>
      <x:c r="B40" s="333"/>
      <x:c r="C40" s="333"/>
      <x:c r="D40" s="315"/>
      <x:c r="E40" s="375"/>
      <x:c r="F40" s="375"/>
      <x:c r="G40" s="375"/>
      <x:c r="H40" s="375"/>
      <x:c r="I40" s="375"/>
      <x:c r="J40" s="375"/>
      <x:c r="K40" s="375"/>
      <x:c r="L40" s="375"/>
      <x:c r="M40" s="375"/>
      <x:c r="N40" s="375"/>
      <x:c r="O40" s="375"/>
    </x:row>
    <x:row r="41" ht="65" customHeight="1">
      <x:c r="A41" s="330" t="str">
        <x:v>Evidence trail</x:v>
      </x:c>
      <x:c r="B41" s="333"/>
      <x:c r="C41" s="333"/>
      <x:c r="D41" s="329" t="str">
        <x:v>Chart values link to Debt and liquidity and History. Data retains the exact input periods, tags, accessions and source URLs.</x:v>
      </x:c>
      <x:c r="E41" s="375"/>
      <x:c r="F41" s="375"/>
      <x:c r="G41" s="375"/>
      <x:c r="H41" s="375"/>
      <x:c r="I41" s="375"/>
      <x:c r="J41" s="375"/>
      <x:c r="K41" s="375"/>
      <x:c r="L41" s="375"/>
      <x:c r="M41" s="375"/>
      <x:c r="N41" s="375"/>
      <x:c r="O41" s="375"/>
    </x:row>
    <x:row r="42" ht="35" customHeight="1">
      <x:c r="A42" s="314"/>
      <x:c r="B42" s="333"/>
      <x:c r="C42" s="333"/>
      <x:c r="D42" s="315"/>
      <x:c r="E42" s="375"/>
      <x:c r="F42" s="375"/>
      <x:c r="G42" s="375"/>
      <x:c r="H42" s="375"/>
      <x:c r="I42" s="375"/>
      <x:c r="J42" s="375"/>
      <x:c r="K42" s="375"/>
      <x:c r="L42" s="375"/>
      <x:c r="M42" s="375"/>
      <x:c r="N42" s="375"/>
      <x:c r="O42" s="375"/>
    </x:row>
    <x:row r="43" ht="35" customHeight="1">
      <x:c r="A43" s="314"/>
      <x:c r="B43" s="333"/>
      <x:c r="C43" s="333"/>
      <x:c r="D43" s="315"/>
      <x:c r="E43" s="375"/>
      <x:c r="F43" s="375"/>
      <x:c r="G43" s="375"/>
      <x:c r="H43" s="375"/>
      <x:c r="I43" s="375"/>
      <x:c r="J43" s="375"/>
      <x:c r="K43" s="375"/>
      <x:c r="L43" s="375"/>
      <x:c r="M43" s="375"/>
      <x:c r="N43" s="375"/>
      <x:c r="O43" s="375"/>
    </x:row>
  </x:sheetData>
  <x:pageMargins left="0.7" right="0.7" top="0.75" bottom="0.75" header="0.3" footer="0.3"/>
  <x:drawing ns1:id="Rc566f763f9944972"/>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80" t="str">
        <x:v>Vistra cash generation and repayment</x:v>
      </x:c>
      <x:c r="B2" s="381"/>
      <x:c r="C2" s="381"/>
      <x:c r="D2" s="381"/>
    </x:row>
    <x:row r="3" ht="25" customHeight="1">
      <x:c r="A3" s="382" t="str">
        <x:v>Jan 1–Jun 30, 2026. USD millions. Historical cash flows, not a forecast.</x:v>
      </x:c>
      <x:c r="B3" s="381"/>
      <x:c r="C3" s="381"/>
      <x:c r="D3" s="381"/>
    </x:row>
    <x:row r="4" ht="25" customHeight="1">
      <x:c r="A4" s="383"/>
      <x:c r="B4" s="381"/>
      <x:c r="C4" s="381"/>
      <x:c r="D4" s="381"/>
    </x:row>
    <x:row r="5" ht="25" customHeight="1">
      <x:c r="A5" s="384" t="str">
        <x:v>Cash measure</x:v>
      </x:c>
      <x:c r="B5" s="385" t="str">
        <x:v>USD millions</x:v>
      </x:c>
      <x:c r="C5" s="386"/>
      <x:c r="D5" s="386"/>
      <x:c r="E5" s="387"/>
    </x:row>
    <x:row r="6" ht="28" customHeight="1">
      <x:c r="A6" s="388" t="str">
        <x:v>Operating cash flow</x:v>
      </x:c>
      <x:c r="B6" s="389" t="n">
        <x:f>IF(ISNUMBER(Data!B2),Data!B2,NA())</x:f>
        <x:v>2222000000</x:v>
      </x:c>
      <x:c r="C6" s="381"/>
      <x:c r="D6" s="390" t="str">
        <x:v>Capital spending includes nuclear fuel and LTSA prepayments.</x:v>
      </x:c>
    </x:row>
    <x:row r="7" ht="28" customHeight="1">
      <x:c r="A7" s="388" t="str">
        <x:v>Capital spending</x:v>
      </x:c>
      <x:c r="B7" s="389" t="n">
        <x:f>IF(ISNUMBER(Data!B3),Data!B3,NA())</x:f>
        <x:v>1572000000</x:v>
      </x:c>
      <x:c r="C7" s="381"/>
      <x:c r="D7" s="391"/>
    </x:row>
    <x:row r="8" ht="28" customHeight="1">
      <x:c r="A8" s="392" t="str">
        <x:v>Cash flow after capital spending</x:v>
      </x:c>
      <x:c r="B8" s="393" t="n">
        <x:f>B6-B7</x:f>
        <x:v>650000000</x:v>
      </x:c>
      <x:c r="C8" s="381"/>
      <x:c r="D8" s="391"/>
    </x:row>
    <x:row r="9" ht="28" customHeight="1">
      <x:c r="A9" s="383"/>
      <x:c r="B9" s="394"/>
      <x:c r="C9" s="381"/>
      <x:c r="D9" s="390" t="str">
        <x:v>Reported operating cash flow contains working-capital and margin movements; recurrence is not established.</x:v>
      </x:c>
    </x:row>
    <x:row r="10" ht="28" customHeight="1">
      <x:c r="A10" s="395" t="str">
        <x:v>Stock repurchases</x:v>
      </x:c>
      <x:c r="B10" s="396" t="n">
        <x:f>IF(ISNUMBER(Data!B21),Data!B21,NA())</x:f>
        <x:v>709000000</x:v>
      </x:c>
      <x:c r="C10" s="381"/>
      <x:c r="D10" s="391"/>
    </x:row>
    <x:row r="11" ht="28" customHeight="1">
      <x:c r="A11" s="388" t="str">
        <x:v>Common dividends</x:v>
      </x:c>
      <x:c r="B11" s="389" t="n">
        <x:f>IF(ISNUMBER(Data!B22),Data!B22,NA())</x:f>
        <x:v>154000000</x:v>
      </x:c>
      <x:c r="C11" s="381"/>
      <x:c r="D11" s="391"/>
    </x:row>
    <x:row r="12" ht="28" customHeight="1">
      <x:c r="A12" s="388" t="str">
        <x:v>Preferred dividends</x:v>
      </x:c>
      <x:c r="B12" s="389" t="n">
        <x:f>IF(ISNUMBER(Data!B23),Data!B23,NA())</x:f>
        <x:v>96000000</x:v>
      </x:c>
      <x:c r="C12" s="381"/>
      <x:c r="D12" s="390" t="str">
        <x:v>Operating cash flow is seasonal and weighted toward the second half; H1 is not annualized.</x:v>
      </x:c>
    </x:row>
    <x:row r="13" ht="28" customHeight="1">
      <x:c r="A13" s="397" t="str">
        <x:v>Buybacks and dividends</x:v>
      </x:c>
      <x:c r="B13" s="398" t="n">
        <x:f>SUM(B10:B12)</x:f>
        <x:v>959000000</x:v>
      </x:c>
      <x:c r="C13" s="381"/>
      <x:c r="D13" s="391"/>
    </x:row>
    <x:row r="14" ht="28" customHeight="1">
      <x:c r="A14" s="392" t="str">
        <x:v>After capex, buybacks and dividends</x:v>
      </x:c>
      <x:c r="B14" s="393" t="n">
        <x:f>B8-B13</x:f>
        <x:v>-309000000</x:v>
      </x:c>
      <x:c r="C14" s="381"/>
      <x:c r="D14" s="391"/>
    </x:row>
    <x:row r="15" ht="28" customHeight="1">
      <x:c r="A15" s="383"/>
      <x:c r="B15" s="394"/>
      <x:c r="C15" s="381"/>
      <x:c r="D15" s="390" t="str">
        <x:v>Nuveen interest already included in operating cash flow is not subtracted again.</x:v>
      </x:c>
    </x:row>
    <x:row r="16" ht="28" customHeight="1">
      <x:c r="A16" s="395" t="str">
        <x:v>Debt issuance cash proceeds</x:v>
      </x:c>
      <x:c r="B16" s="396" t="n">
        <x:f>IF(ISNUMBER(Data!B13),Data!B13,NA())</x:f>
        <x:v>6422000000</x:v>
      </x:c>
      <x:c r="C16" s="381"/>
      <x:c r="D16" s="391"/>
    </x:row>
    <x:row r="17" ht="28" customHeight="1">
      <x:c r="A17" s="388" t="str">
        <x:v>Corporate revolver borrowings</x:v>
      </x:c>
      <x:c r="B17" s="389" t="n">
        <x:f>IF(ISNUMBER(Data!B16),Data!B16,NA())</x:f>
        <x:v>400000000</x:v>
      </x:c>
      <x:c r="C17" s="381"/>
      <x:c r="D17" s="391"/>
    </x:row>
    <x:row r="18" ht="28" customHeight="1">
      <x:c r="A18" s="388" t="str">
        <x:v>Commodity-linked borrowings</x:v>
      </x:c>
      <x:c r="B18" s="389" t="n">
        <x:f>IF(ISNUMBER(Data!B18),Data!B18,NA())</x:f>
        <x:v>0</x:v>
      </x:c>
      <x:c r="C18" s="381"/>
      <x:c r="D18" s="390" t="str">
        <x:v>Trust-security turnover is not gross cash available to fund corporate debt.</x:v>
      </x:c>
    </x:row>
    <x:row r="19" ht="28" customHeight="1">
      <x:c r="A19" s="388" t="str">
        <x:v>Debt repayments and repurchases</x:v>
      </x:c>
      <x:c r="B19" s="389" t="n">
        <x:f>IF(ISNUMBER(Data!B14),Data!B14,NA())</x:f>
        <x:v>3859000000</x:v>
      </x:c>
      <x:c r="C19" s="381"/>
      <x:c r="D19" s="391"/>
    </x:row>
    <x:row r="20" ht="28" customHeight="1">
      <x:c r="A20" s="388" t="str">
        <x:v>Revolver repayments</x:v>
      </x:c>
      <x:c r="B20" s="389" t="n">
        <x:f>IF(ISNUMBER(Data!B17),Data!B17,NA())</x:f>
        <x:v>780000000</x:v>
      </x:c>
      <x:c r="C20" s="381"/>
      <x:c r="D20" s="391"/>
    </x:row>
    <x:row r="21" ht="28" customHeight="1">
      <x:c r="A21" s="388" t="str">
        <x:v>Commodity-linked repayments</x:v>
      </x:c>
      <x:c r="B21" s="389" t="n">
        <x:f>IF(ISNUMBER(Data!B19),Data!B19,NA())</x:f>
        <x:v>1420000000</x:v>
      </x:c>
      <x:c r="C21" s="381"/>
      <x:c r="D21" s="390" t="str">
        <x:v>Cash after capex fell short of buybacks and dividends by 309M in this historical period.</x:v>
      </x:c>
    </x:row>
    <x:row r="22" ht="28" customHeight="1">
      <x:c r="A22" s="388" t="str">
        <x:v>Net receivables financing cash flow</x:v>
      </x:c>
      <x:c r="B22" s="389" t="n">
        <x:f>IF(ISNUMBER(Data!B15),Data!B15,NA())</x:f>
        <x:v>-925000000</x:v>
      </x:c>
      <x:c r="C22" s="381"/>
      <x:c r="D22" s="391"/>
    </x:row>
    <x:row r="23" ht="28" customHeight="1">
      <x:c r="A23" s="392" t="str">
        <x:v>Net debt cash flow</x:v>
      </x:c>
      <x:c r="B23" s="393" t="n">
        <x:f>SUM(B16:B18)-SUM(B19:B21)+B22</x:f>
        <x:v>-162000000</x:v>
      </x:c>
      <x:c r="C23" s="381"/>
      <x:c r="D23" s="391"/>
    </x:row>
    <x:row r="24" ht="28" customHeight="1">
      <x:c r="A24" s="383"/>
      <x:c r="B24" s="394"/>
      <x:c r="C24" s="381"/>
      <x:c r="D24" s="391"/>
    </x:row>
    <x:row r="25" ht="28" customHeight="1">
      <x:c r="A25" s="395" t="str">
        <x:v>Other investing cash flow</x:v>
      </x:c>
      <x:c r="B25" s="396" t="n">
        <x:f>-IF(ISNUMBER(Data!B4),Data!B4,NA())+IF(ISNUMBER(Data!B5),Data!B5,NA())-IF(ISNUMBER(Data!B6),Data!B6,NA())+IF(ISNUMBER(Data!B7),Data!B7,NA())-IF(ISNUMBER(Data!B8),Data!B8,NA())+IF(ISNUMBER(Data!B9),Data!B9,NA())+IF(ISNUMBER(Data!B10),Data!B10,NA())-IF(ISNUMBER(Data!B11),Data!B11,NA())</x:f>
        <x:v>293000000</x:v>
      </x:c>
      <x:c r="C25" s="381"/>
      <x:c r="D25" s="381"/>
    </x:row>
    <x:row r="26" ht="28" customHeight="1">
      <x:c r="A26" s="388" t="str">
        <x:v>Debt issuance costs</x:v>
      </x:c>
      <x:c r="B26" s="389" t="n">
        <x:f>IF(ISNUMBER(Data!B20),Data!B20,NA())</x:f>
        <x:v>72000000</x:v>
      </x:c>
      <x:c r="C26" s="381"/>
      <x:c r="D26" s="381"/>
    </x:row>
    <x:row r="27" ht="28" customHeight="1">
      <x:c r="A27" s="388" t="str">
        <x:v>Share compensation tax withholding</x:v>
      </x:c>
      <x:c r="B27" s="389" t="n">
        <x:f>IF(ISNUMBER(Data!B24),Data!B24,NA())</x:f>
        <x:v>69000000</x:v>
      </x:c>
      <x:c r="C27" s="381"/>
      <x:c r="D27" s="381"/>
    </x:row>
    <x:row r="28" ht="28" customHeight="1">
      <x:c r="A28" s="388" t="str">
        <x:v>Nuveen principal paid</x:v>
      </x:c>
      <x:c r="B28" s="389" t="n">
        <x:f>IF(ISNUMBER(Data!B25),Data!B25,NA())</x:f>
        <x:v>19000000</x:v>
      </x:c>
      <x:c r="C28" s="381"/>
      <x:c r="D28" s="381"/>
    </x:row>
    <x:row r="29" ht="28" customHeight="1">
      <x:c r="A29" s="388" t="str">
        <x:v>Other financing cash flow</x:v>
      </x:c>
      <x:c r="B29" s="389" t="n">
        <x:f>IF(ISNUMBER(Data!B26),Data!B26,NA())</x:f>
        <x:v>-3000000</x:v>
      </x:c>
      <x:c r="C29" s="381"/>
      <x:c r="D29" s="381"/>
    </x:row>
    <x:row r="30" ht="28" customHeight="1">
      <x:c r="A30" s="397" t="str">
        <x:v>Calculated net investing cash flow</x:v>
      </x:c>
      <x:c r="B30" s="398" t="n">
        <x:f>B25-B7</x:f>
        <x:v>-1279000000</x:v>
      </x:c>
      <x:c r="C30" s="381"/>
      <x:c r="D30" s="381"/>
    </x:row>
    <x:row r="31" ht="28" customHeight="1">
      <x:c r="A31" s="388" t="str">
        <x:v>Reported net investing cash flow</x:v>
      </x:c>
      <x:c r="B31" s="389" t="n">
        <x:f>IF(ISNUMBER(Data!B12),Data!B12,NA())</x:f>
        <x:v>-1279000000</x:v>
      </x:c>
      <x:c r="C31" s="381"/>
      <x:c r="D31" s="381"/>
    </x:row>
    <x:row r="32" ht="28" customHeight="1">
      <x:c r="A32" s="388" t="str">
        <x:v>Investing reconciliation difference</x:v>
      </x:c>
      <x:c r="B32" s="399" t="n">
        <x:f>B30-B31</x:f>
        <x:v>0</x:v>
      </x:c>
      <x:c r="C32" s="381"/>
      <x:c r="D32" s="381"/>
    </x:row>
    <x:row r="33" ht="28" customHeight="1">
      <x:c r="A33" s="397" t="str">
        <x:v>Calculated net financing cash flow</x:v>
      </x:c>
      <x:c r="B33" s="398" t="n">
        <x:f>B23-B13-B26-B27-B28+B29</x:f>
        <x:v>-1284000000</x:v>
      </x:c>
      <x:c r="C33" s="381"/>
      <x:c r="D33" s="381"/>
    </x:row>
    <x:row r="34" ht="28" customHeight="1">
      <x:c r="A34" s="388" t="str">
        <x:v>Reported net financing cash flow</x:v>
      </x:c>
      <x:c r="B34" s="389" t="n">
        <x:f>IF(ISNUMBER(Data!B27),Data!B27,NA())</x:f>
        <x:v>-1284000000</x:v>
      </x:c>
      <x:c r="C34" s="381"/>
      <x:c r="D34" s="381"/>
    </x:row>
    <x:row r="35" ht="28" customHeight="1">
      <x:c r="A35" s="400" t="str">
        <x:v>Financing reconciliation difference</x:v>
      </x:c>
      <x:c r="B35" s="401" t="n">
        <x:f>B33-B34</x:f>
        <x:v>0</x:v>
      </x:c>
      <x:c r="C35" s="381"/>
      <x:c r="D35" s="381"/>
    </x:row>
    <x:row r="36" ht="28" customHeight="1">
      <x:c r="A36" s="383"/>
      <x:c r="B36" s="394"/>
      <x:c r="C36" s="381"/>
      <x:c r="D36" s="381"/>
    </x:row>
    <x:row r="37" ht="28" customHeight="1">
      <x:c r="A37" s="397" t="str">
        <x:v>Calculated cash change</x:v>
      </x:c>
      <x:c r="B37" s="398" t="n">
        <x:f>B6+B30+B33</x:f>
        <x:v>-341000000</x:v>
      </x:c>
      <x:c r="C37" s="381"/>
      <x:c r="D37" s="381"/>
    </x:row>
    <x:row r="38" ht="28" customHeight="1">
      <x:c r="A38" s="388" t="str">
        <x:v>Reported cash change</x:v>
      </x:c>
      <x:c r="B38" s="389" t="n">
        <x:f>IF(ISNUMBER(Data!B28),Data!B28,NA())</x:f>
        <x:v>-341000000</x:v>
      </x:c>
      <x:c r="C38" s="381"/>
      <x:c r="D38" s="381"/>
    </x:row>
    <x:row r="39" ht="28" customHeight="1">
      <x:c r="A39" s="400" t="str">
        <x:v>Cash-change reconciliation difference</x:v>
      </x:c>
      <x:c r="B39" s="401" t="n">
        <x:f>B37-B38</x:f>
        <x:v>0</x:v>
      </x:c>
      <x:c r="C39" s="381"/>
      <x:c r="D39" s="381"/>
    </x:row>
    <x:row r="40" ht="28" customHeight="1">
      <x:c r="A40" s="383"/>
      <x:c r="B40" s="394"/>
      <x:c r="C40" s="381"/>
      <x:c r="D40" s="381"/>
    </x:row>
    <x:row r="41" ht="28" customHeight="1">
      <x:c r="A41" s="395" t="str">
        <x:v>Opening cash including restricted cash</x:v>
      </x:c>
      <x:c r="B41" s="396" t="n">
        <x:f>IF(ISNUMBER(Data!B29),Data!B29,NA())</x:f>
        <x:v>822000000</x:v>
      </x:c>
      <x:c r="C41" s="381"/>
      <x:c r="D41" s="381"/>
    </x:row>
    <x:row r="42" ht="28" customHeight="1">
      <x:c r="A42" s="397" t="str">
        <x:v>Calculated ending cash including restricted cash</x:v>
      </x:c>
      <x:c r="B42" s="398" t="n">
        <x:f>B41+B37</x:f>
        <x:v>481000000</x:v>
      </x:c>
      <x:c r="C42" s="381"/>
      <x:c r="D42" s="381"/>
    </x:row>
    <x:row r="43" ht="28" customHeight="1">
      <x:c r="A43" s="388" t="str">
        <x:v>Reported ending cash including restricted cash</x:v>
      </x:c>
      <x:c r="B43" s="389" t="n">
        <x:f>IF(ISNUMBER(Data!B30),Data!B30,NA())</x:f>
        <x:v>481000000</x:v>
      </x:c>
      <x:c r="C43" s="381"/>
      <x:c r="D43" s="381"/>
    </x:row>
    <x:row r="44" ht="28" customHeight="1">
      <x:c r="A44" s="388" t="str">
        <x:v>Ending-cash reconciliation difference</x:v>
      </x:c>
      <x:c r="B44" s="399" t="n">
        <x:f>B42-B43</x:f>
        <x:v>0</x:v>
      </x:c>
      <x:c r="C44" s="381"/>
      <x:c r="D44" s="381"/>
    </x:row>
    <x:row r="45" ht="28" customHeight="1">
      <x:c r="A45" s="388" t="str">
        <x:v>Current restricted cash</x:v>
      </x:c>
      <x:c r="B45" s="389" t="n">
        <x:f>IF(ISNUMBER(Data!B32),Data!B32,NA())</x:f>
        <x:v>41000000</x:v>
      </x:c>
      <x:c r="C45" s="381"/>
      <x:c r="D45" s="381"/>
    </x:row>
    <x:row r="46" ht="28" customHeight="1">
      <x:c r="A46" s="388" t="str">
        <x:v>Noncurrent restricted cash</x:v>
      </x:c>
      <x:c r="B46" s="389" t="n">
        <x:f>IF(ISNUMBER(Data!B33),Data!B33,NA())</x:f>
        <x:v>5000000</x:v>
      </x:c>
      <x:c r="C46" s="381"/>
      <x:c r="D46" s="381"/>
    </x:row>
    <x:row r="47" ht="28" customHeight="1">
      <x:c r="A47" s="397" t="str">
        <x:v>Cash excluding restricted cash</x:v>
      </x:c>
      <x:c r="B47" s="398" t="n">
        <x:f>B42-SUM(B45:B46)</x:f>
        <x:v>435000000</x:v>
      </x:c>
      <x:c r="C47" s="381"/>
      <x:c r="D47" s="381"/>
    </x:row>
    <x:row r="48" ht="28" customHeight="1">
      <x:c r="A48" s="388" t="str">
        <x:v>Reported cash and equivalents</x:v>
      </x:c>
      <x:c r="B48" s="389" t="n">
        <x:f>IF(ISNUMBER(Data!B31),Data!B31,NA())</x:f>
        <x:v>435000000</x:v>
      </x:c>
      <x:c r="C48" s="381"/>
      <x:c r="D48" s="381"/>
    </x:row>
    <x:row r="49" ht="28" customHeight="1">
      <x:c r="A49" s="400" t="str">
        <x:v>Balance-sheet cash reconciliation difference</x:v>
      </x:c>
      <x:c r="B49" s="401" t="n">
        <x:f>B47-B48</x:f>
        <x:v>0</x:v>
      </x:c>
      <x:c r="C49" s="381"/>
      <x:c r="D49" s="381"/>
    </x:row>
    <x:row r="50" ht="25" customHeight="1">
      <x:c r="A50" s="383"/>
      <x:c r="B50" s="394"/>
      <x:c r="C50" s="381"/>
      <x:c r="D50" s="381"/>
    </x:row>
    <x:row r="51" ht="25" customHeight="1">
      <x:c r="A51" s="383"/>
      <x:c r="B51" s="394"/>
      <x:c r="C51" s="381"/>
      <x:c r="D51" s="381"/>
    </x:row>
    <x:row r="52" ht="25" customHeight="1">
      <x:c r="A52" s="380" t="str">
        <x:v>Historical operating-income interest coverage</x:v>
      </x:c>
      <x:c r="B52" s="394"/>
      <x:c r="C52" s="381"/>
      <x:c r="D52" s="381"/>
    </x:row>
    <x:row r="53" ht="25" customHeight="1">
      <x:c r="A53" s="402" t="str">
        <x:v>TTM July 1, 2025–June 30, 2026. Selected interest component before capitalized interest.</x:v>
      </x:c>
      <x:c r="B53" s="394"/>
      <x:c r="C53" s="381"/>
      <x:c r="D53" s="381"/>
    </x:row>
    <x:row r="54" ht="25" customHeight="1">
      <x:c r="A54" s="383"/>
      <x:c r="B54" s="394"/>
      <x:c r="C54" s="381"/>
      <x:c r="D54" s="381"/>
    </x:row>
    <x:row r="55" ht="32" customHeight="1">
      <x:c r="A55" s="403" t="str">
        <x:v>Build, USD millions</x:v>
      </x:c>
      <x:c r="B55" s="404" t="str">
        <x:v>FY2025</x:v>
      </x:c>
      <x:c r="C55" s="404" t="str">
        <x:v>+ H1 2026</x:v>
      </x:c>
      <x:c r="D55" s="405" t="str">
        <x:v>− H1 2025</x:v>
      </x:c>
    </x:row>
    <x:row r="56" ht="32" customHeight="1">
      <x:c r="A56" s="406" t="str">
        <x:v>Reported operating income</x:v>
      </x:c>
      <x:c r="B56" s="407" t="n">
        <x:f>IF(ISNUMBER(Data!B78),Data!B78,NA())</x:f>
        <x:v>1906000000</x:v>
      </x:c>
      <x:c r="C56" s="407" t="n">
        <x:f>IF(ISNUMBER(Data!B86),Data!B86,NA())</x:f>
        <x:v>2052000000</x:v>
      </x:c>
      <x:c r="D56" s="408" t="n">
        <x:f>IF(ISNUMBER(Data!B94),Data!B94,NA())</x:f>
        <x:v>395000000</x:v>
      </x:c>
    </x:row>
    <x:row r="57" ht="32" customHeight="1">
      <x:c r="A57" s="409" t="str">
        <x:v>Selected interest component</x:v>
      </x:c>
      <x:c r="B57" s="410" t="n">
        <x:f>IF(ISNUMBER(Data!B79),Data!B79,NA())</x:f>
        <x:v>1107000000</x:v>
      </x:c>
      <x:c r="C57" s="410" t="n">
        <x:f>IF(ISNUMBER(Data!B87),Data!B87,NA())</x:f>
        <x:v>557000000</x:v>
      </x:c>
      <x:c r="D57" s="411" t="n">
        <x:f>IF(ISNUMBER(Data!B95),Data!B95,NA())</x:f>
        <x:v>547000000</x:v>
      </x:c>
    </x:row>
    <x:row r="58" ht="32" customHeight="1">
      <x:c r="A58" s="406" t="str">
        <x:v>Unrealized swap (gain) loss</x:v>
      </x:c>
      <x:c r="B58" s="407" t="n">
        <x:f>-IF(ISNUMBER(Data!B80),Data!B80,NA())</x:f>
        <x:v>67000000</x:v>
      </x:c>
      <x:c r="C58" s="407" t="n">
        <x:f>-IF(ISNUMBER(Data!B88),Data!B88,NA())</x:f>
        <x:v>-7000000</x:v>
      </x:c>
      <x:c r="D58" s="408" t="n">
        <x:f>-IF(ISNUMBER(Data!B96),Data!B96,NA())</x:f>
        <x:v>74000000</x:v>
      </x:c>
    </x:row>
    <x:row r="59" ht="32" customHeight="1">
      <x:c r="A59" s="406" t="str">
        <x:v>Debt-cost amortization</x:v>
      </x:c>
      <x:c r="B59" s="407" t="n">
        <x:f>IF(ISNUMBER(Data!B81),Data!B81,NA())</x:f>
        <x:v>46000000</x:v>
      </x:c>
      <x:c r="C59" s="407" t="n">
        <x:f>IF(ISNUMBER(Data!B89),Data!B89,NA())</x:f>
        <x:v>21000000</x:v>
      </x:c>
      <x:c r="D59" s="408" t="n">
        <x:f>IF(ISNUMBER(Data!B97),Data!B97,NA())</x:f>
        <x:v>22000000</x:v>
      </x:c>
    </x:row>
    <x:row r="60" ht="32" customHeight="1">
      <x:c r="A60" s="406" t="str">
        <x:v>Extinguishment (gain) loss</x:v>
      </x:c>
      <x:c r="B60" s="407" t="n">
        <x:f>-IF(ISNUMBER(Data!B82),Data!B82,NA())</x:f>
        <x:v>0</x:v>
      </x:c>
      <x:c r="C60" s="407" t="n">
        <x:f>-IF(ISNUMBER(Data!B90),Data!B90,NA())</x:f>
        <x:v>35000000</x:v>
      </x:c>
      <x:c r="D60" s="408" t="n">
        <x:f>-IF(ISNUMBER(Data!B98),Data!B98,NA())</x:f>
        <x:v>0</x:v>
      </x:c>
    </x:row>
    <x:row r="61" ht="32" customHeight="1">
      <x:c r="A61" s="406" t="str">
        <x:v>Less capitalized interest</x:v>
      </x:c>
      <x:c r="B61" s="407" t="n">
        <x:f>-IF(ISNUMBER(Data!B83),Data!B83,NA())</x:f>
        <x:v>-125000000</x:v>
      </x:c>
      <x:c r="C61" s="407" t="n">
        <x:f>-IF(ISNUMBER(Data!B91),Data!B91,NA())</x:f>
        <x:v>-82000000</x:v>
      </x:c>
      <x:c r="D61" s="408" t="n">
        <x:f>-IF(ISNUMBER(Data!B99),Data!B99,NA())</x:f>
        <x:v>-56000000</x:v>
      </x:c>
    </x:row>
    <x:row r="62" ht="32" customHeight="1">
      <x:c r="A62" s="406" t="str">
        <x:v>Other</x:v>
      </x:c>
      <x:c r="B62" s="407" t="n">
        <x:f>IF(ISNUMBER(Data!B84),Data!B84,NA())</x:f>
        <x:v>84000000</x:v>
      </x:c>
      <x:c r="C62" s="407" t="n">
        <x:f>IF(ISNUMBER(Data!B92),Data!B92,NA())</x:f>
        <x:v>51000000</x:v>
      </x:c>
      <x:c r="D62" s="408" t="n">
        <x:f>IF(ISNUMBER(Data!B100),Data!B100,NA())</x:f>
        <x:v>35000000</x:v>
      </x:c>
    </x:row>
    <x:row r="63" ht="32" customHeight="1">
      <x:c r="A63" s="409" t="str">
        <x:v>Reconstructed mixed interest total</x:v>
      </x:c>
      <x:c r="B63" s="412" t="n">
        <x:f>SUM(B57:B62)</x:f>
        <x:v>1179000000</x:v>
      </x:c>
      <x:c r="C63" s="412" t="n">
        <x:f>SUM(C57:C62)</x:f>
        <x:v>575000000</x:v>
      </x:c>
      <x:c r="D63" s="413" t="n">
        <x:f>SUM(D57:D62)</x:f>
        <x:v>622000000</x:v>
      </x:c>
    </x:row>
    <x:row r="64" ht="32" customHeight="1">
      <x:c r="A64" s="409" t="str">
        <x:v>Reported mixed interest total</x:v>
      </x:c>
      <x:c r="B64" s="410" t="n">
        <x:f>IF(ISNUMBER(Data!B85),Data!B85,NA())</x:f>
        <x:v>1179000000</x:v>
      </x:c>
      <x:c r="C64" s="410" t="n">
        <x:f>IF(ISNUMBER(Data!B93),Data!B93,NA())</x:f>
        <x:v>575000000</x:v>
      </x:c>
      <x:c r="D64" s="411" t="n">
        <x:f>IF(ISNUMBER(Data!B101),Data!B101,NA())</x:f>
        <x:v>622000000</x:v>
      </x:c>
    </x:row>
    <x:row r="65" ht="32" customHeight="1">
      <x:c r="A65" s="414" t="str">
        <x:v>Reconciliation difference, zero = matched</x:v>
      </x:c>
      <x:c r="B65" s="415" t="n">
        <x:f>B63-B64</x:f>
        <x:v>0</x:v>
      </x:c>
      <x:c r="C65" s="415" t="n">
        <x:f>C63-C64</x:f>
        <x:v>0</x:v>
      </x:c>
      <x:c r="D65" s="416" t="n">
        <x:f>D63-D64</x:f>
        <x:v>0</x:v>
      </x:c>
    </x:row>
    <x:row r="66" ht="25" customHeight="1">
      <x:c r="A66" s="383"/>
      <x:c r="B66" s="381"/>
      <x:c r="C66" s="381"/>
      <x:c r="D66" s="381"/>
    </x:row>
    <x:row r="67" ht="25" customHeight="1">
      <x:c r="A67" s="383"/>
      <x:c r="B67" s="381"/>
      <x:c r="C67" s="381"/>
      <x:c r="D67" s="381"/>
    </x:row>
    <x:row r="68" ht="32" customHeight="1">
      <x:c r="A68" s="397" t="str">
        <x:v>TTM reported operating income</x:v>
      </x:c>
      <x:c r="B68" s="398" t="n">
        <x:f>B56+C56-D56</x:f>
        <x:v>3563000000</x:v>
      </x:c>
      <x:c r="C68" s="381"/>
      <x:c r="D68" s="381"/>
    </x:row>
    <x:row r="69" ht="32" customHeight="1">
      <x:c r="A69" s="397" t="str">
        <x:v>TTM selected interest component</x:v>
      </x:c>
      <x:c r="B69" s="398" t="n">
        <x:f>B57+C57-D57</x:f>
        <x:v>1117000000</x:v>
      </x:c>
      <x:c r="C69" s="381"/>
      <x:c r="D69" s="381"/>
    </x:row>
    <x:row r="70" ht="32" customHeight="1">
      <x:c r="A70" s="388" t="str">
        <x:v>TTM unrealized swap (gain) loss</x:v>
      </x:c>
      <x:c r="B70" s="417" t="n">
        <x:f>B58+C58-D58</x:f>
        <x:v>-14000000</x:v>
      </x:c>
      <x:c r="C70" s="381"/>
      <x:c r="D70" s="381"/>
    </x:row>
    <x:row r="71" ht="32" customHeight="1">
      <x:c r="A71" s="388" t="str">
        <x:v>TTM debt-cost amortization</x:v>
      </x:c>
      <x:c r="B71" s="417" t="n">
        <x:f>B59+C59-D59</x:f>
        <x:v>45000000</x:v>
      </x:c>
      <x:c r="C71" s="381"/>
      <x:c r="D71" s="381"/>
    </x:row>
    <x:row r="72" ht="32" customHeight="1">
      <x:c r="A72" s="388" t="str">
        <x:v>TTM extinguishment (gain) loss</x:v>
      </x:c>
      <x:c r="B72" s="417" t="n">
        <x:f>B60+C60-D60</x:f>
        <x:v>35000000</x:v>
      </x:c>
      <x:c r="C72" s="381"/>
      <x:c r="D72" s="381"/>
    </x:row>
    <x:row r="73" ht="32" customHeight="1">
      <x:c r="A73" s="388" t="str">
        <x:v>TTM capitalized-interest deduction</x:v>
      </x:c>
      <x:c r="B73" s="417" t="n">
        <x:f>B61+C61-D61</x:f>
        <x:v>-151000000</x:v>
      </x:c>
      <x:c r="C73" s="381"/>
      <x:c r="D73" s="381"/>
    </x:row>
    <x:row r="74" ht="32" customHeight="1">
      <x:c r="A74" s="388" t="str">
        <x:v>TTM Other</x:v>
      </x:c>
      <x:c r="B74" s="417" t="n">
        <x:f>B62+C62-D62</x:f>
        <x:v>100000000</x:v>
      </x:c>
      <x:c r="C74" s="381"/>
      <x:c r="D74" s="381"/>
    </x:row>
    <x:row r="75" ht="32" customHeight="1">
      <x:c r="A75" s="397" t="str">
        <x:v>TTM reconstructed mixed interest total</x:v>
      </x:c>
      <x:c r="B75" s="398" t="n">
        <x:f>SUM(B69:B74)</x:f>
        <x:v>1132000000</x:v>
      </x:c>
      <x:c r="C75" s="381"/>
      <x:c r="D75" s="381"/>
    </x:row>
    <x:row r="76" ht="32" customHeight="1">
      <x:c r="A76" s="397" t="str">
        <x:v>TTM reported mixed interest total</x:v>
      </x:c>
      <x:c r="B76" s="398" t="n">
        <x:f>B64+C64-D64</x:f>
        <x:v>1132000000</x:v>
      </x:c>
      <x:c r="C76" s="381"/>
      <x:c r="D76" s="381"/>
    </x:row>
    <x:row r="77" ht="32" customHeight="1">
      <x:c r="A77" s="397" t="str">
        <x:v>TTM reconciliation difference</x:v>
      </x:c>
      <x:c r="B77" s="418" t="n">
        <x:f>B75-B76</x:f>
        <x:v>0</x:v>
      </x:c>
      <x:c r="C77" s="381"/>
      <x:c r="D77" s="381"/>
    </x:row>
    <x:row r="78" ht="32" customHeight="1">
      <x:c r="A78" s="419"/>
      <x:c r="B78" s="420"/>
      <x:c r="C78" s="381"/>
      <x:c r="D78" s="381"/>
    </x:row>
    <x:row r="79" ht="32" customHeight="1">
      <x:c r="A79" s="421" t="str">
        <x:v>Historical interest-component coverage</x:v>
      </x:c>
      <x:c r="B79" s="422" t="n">
        <x:f>IF(AND(B65=0,C65=0,D65=0,B77=0,D91=0,B69&gt;0),B68/B69,NA())</x:f>
        <x:v>3.189794091316025</x:v>
      </x:c>
      <x:c r="C79" s="381"/>
      <x:c r="D79" s="381"/>
    </x:row>
    <x:row r="80" ht="25" customHeight="1">
      <x:c r="A80" s="383"/>
      <x:c r="B80" s="381"/>
      <x:c r="C80" s="381"/>
      <x:c r="D80" s="381"/>
    </x:row>
    <x:row r="81" ht="25" customHeight="1">
      <x:c r="A81" s="383"/>
      <x:c r="B81" s="381"/>
      <x:c r="C81" s="381"/>
      <x:c r="D81" s="381"/>
    </x:row>
    <x:row r="82" ht="32" customHeight="1">
      <x:c r="A82" s="403" t="str">
        <x:v>Prior H1 raw fact</x:v>
      </x:c>
      <x:c r="B82" s="404" t="str">
        <x:v>2026 comparative</x:v>
      </x:c>
      <x:c r="C82" s="404" t="str">
        <x:v>Original 2025 filing</x:v>
      </x:c>
      <x:c r="D82" s="405" t="str">
        <x:v>Difference</x:v>
      </x:c>
    </x:row>
    <x:row r="83" ht="32" customHeight="1">
      <x:c r="A83" s="406" t="str">
        <x:v>Operating income (raw)</x:v>
      </x:c>
      <x:c r="B83" s="407" t="n">
        <x:f>IF(ISNUMBER(Data!B94),Data!B94,NA())</x:f>
        <x:v>395000000</x:v>
      </x:c>
      <x:c r="C83" s="407" t="n">
        <x:f>IF(ISNUMBER(Data!B102),Data!B102,NA())</x:f>
        <x:v>395000000</x:v>
      </x:c>
      <x:c r="D83" s="423" t="n">
        <x:f>B83-C83</x:f>
        <x:v>0</x:v>
      </x:c>
    </x:row>
    <x:row r="84" ht="32" customHeight="1">
      <x:c r="A84" s="406" t="str">
        <x:v>Interest component (raw)</x:v>
      </x:c>
      <x:c r="B84" s="407" t="n">
        <x:f>IF(ISNUMBER(Data!B95),Data!B95,NA())</x:f>
        <x:v>547000000</x:v>
      </x:c>
      <x:c r="C84" s="407" t="n">
        <x:f>IF(ISNUMBER(Data!B103),Data!B103,NA())</x:f>
        <x:v>547000000</x:v>
      </x:c>
      <x:c r="D84" s="423" t="n">
        <x:f>B84-C84</x:f>
        <x:v>0</x:v>
      </x:c>
    </x:row>
    <x:row r="85" ht="32" customHeight="1">
      <x:c r="A85" s="406" t="str">
        <x:v>Swap gain (loss) (raw)</x:v>
      </x:c>
      <x:c r="B85" s="407" t="n">
        <x:f>IF(ISNUMBER(Data!B96),Data!B96,NA())</x:f>
        <x:v>-74000000</x:v>
      </x:c>
      <x:c r="C85" s="407" t="n">
        <x:f>IF(ISNUMBER(Data!B104),Data!B104,NA())</x:f>
        <x:v>-74000000</x:v>
      </x:c>
      <x:c r="D85" s="423" t="n">
        <x:f>B85-C85</x:f>
        <x:v>0</x:v>
      </x:c>
    </x:row>
    <x:row r="86" ht="32" customHeight="1">
      <x:c r="A86" s="406" t="str">
        <x:v>Debt-cost amortization (raw)</x:v>
      </x:c>
      <x:c r="B86" s="407" t="n">
        <x:f>IF(ISNUMBER(Data!B97),Data!B97,NA())</x:f>
        <x:v>22000000</x:v>
      </x:c>
      <x:c r="C86" s="407" t="n">
        <x:f>IF(ISNUMBER(Data!B105),Data!B105,NA())</x:f>
        <x:v>22000000</x:v>
      </x:c>
      <x:c r="D86" s="423" t="n">
        <x:f>B86-C86</x:f>
        <x:v>0</x:v>
      </x:c>
    </x:row>
    <x:row r="87" ht="32" customHeight="1">
      <x:c r="A87" s="406" t="str">
        <x:v>Extinguishment gain (loss) (raw)</x:v>
      </x:c>
      <x:c r="B87" s="407" t="n">
        <x:f>IF(ISNUMBER(Data!B98),Data!B98,NA())</x:f>
        <x:v>0</x:v>
      </x:c>
      <x:c r="C87" s="407" t="n">
        <x:f>IF(ISNUMBER(Data!B106),Data!B106,NA())</x:f>
        <x:v>0</x:v>
      </x:c>
      <x:c r="D87" s="423" t="n">
        <x:f>B87-C87</x:f>
        <x:v>0</x:v>
      </x:c>
    </x:row>
    <x:row r="88" ht="32" customHeight="1">
      <x:c r="A88" s="406" t="str">
        <x:v>Capitalized interest (raw)</x:v>
      </x:c>
      <x:c r="B88" s="407" t="n">
        <x:f>IF(ISNUMBER(Data!B99),Data!B99,NA())</x:f>
        <x:v>56000000</x:v>
      </x:c>
      <x:c r="C88" s="407" t="n">
        <x:f>IF(ISNUMBER(Data!B107),Data!B107,NA())</x:f>
        <x:v>56000000</x:v>
      </x:c>
      <x:c r="D88" s="423" t="n">
        <x:f>B88-C88</x:f>
        <x:v>0</x:v>
      </x:c>
    </x:row>
    <x:row r="89" ht="32" customHeight="1">
      <x:c r="A89" s="406" t="str">
        <x:v>Other (raw)</x:v>
      </x:c>
      <x:c r="B89" s="407" t="n">
        <x:f>IF(ISNUMBER(Data!B100),Data!B100,NA())</x:f>
        <x:v>35000000</x:v>
      </x:c>
      <x:c r="C89" s="407" t="n">
        <x:f>IF(ISNUMBER(Data!B108),Data!B108,NA())</x:f>
        <x:v>35000000</x:v>
      </x:c>
      <x:c r="D89" s="423" t="n">
        <x:f>B89-C89</x:f>
        <x:v>0</x:v>
      </x:c>
    </x:row>
    <x:row r="90" ht="32" customHeight="1">
      <x:c r="A90" s="406" t="str">
        <x:v>Mixed interest total (raw)</x:v>
      </x:c>
      <x:c r="B90" s="407" t="n">
        <x:f>IF(ISNUMBER(Data!B101),Data!B101,NA())</x:f>
        <x:v>622000000</x:v>
      </x:c>
      <x:c r="C90" s="407" t="n">
        <x:f>IF(ISNUMBER(Data!B109),Data!B109,NA())</x:f>
        <x:v>622000000</x:v>
      </x:c>
      <x:c r="D90" s="423" t="n">
        <x:f>B90-C90</x:f>
        <x:v>0</x:v>
      </x:c>
    </x:row>
    <x:row r="91" ht="32" customHeight="1">
      <x:c r="A91" s="424" t="str">
        <x:v>Total absolute prior-period difference</x:v>
      </x:c>
      <x:c r="B91" s="425"/>
      <x:c r="C91" s="425"/>
      <x:c r="D91" s="426" t="n">
        <x:f>SUM(ABS(D83),ABS(D84),ABS(D85),ABS(D86),ABS(D87),ABS(D88),ABS(D89),ABS(D90))</x:f>
        <x:v>0</x:v>
      </x:c>
    </x:row>
    <x:row r="92" ht="25" customHeight="1">
      <x:c r="A92" s="383"/>
      <x:c r="B92" s="381"/>
      <x:c r="C92" s="381"/>
      <x:c r="D92" s="381"/>
    </x:row>
    <x:row r="93" ht="25" customHeight="1">
      <x:c r="A93" s="402" t="str">
        <x:v>Raw gains are positive; swap/extinguishment signs are reversed only in the expense build.</x:v>
      </x:c>
      <x:c r="B93" s="381"/>
      <x:c r="C93" s="381"/>
      <x:c r="D93" s="381"/>
    </x:row>
    <x:row r="94" ht="25" customHeight="1">
      <x:c r="A94" s="402" t="str">
        <x:v>Capitalization is deducted in the mixed total, not adjusted again in the selected denominator.</x:v>
      </x:c>
      <x:c r="B94" s="381"/>
      <x:c r="C94" s="381"/>
      <x:c r="D94" s="381"/>
    </x:row>
    <x:row r="95" ht="25" customHeight="1">
      <x:c r="A95" s="402" t="str">
        <x:v>Receivables/Nuveen allocation and Other composition: Unavailable. See About.</x:v>
      </x:c>
      <x:c r="B95" s="381"/>
      <x:c r="C95" s="381"/>
      <x:c r="D95" s="381"/>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dated repayment review</x:v>
      </x:c>
      <x:c r="B2" s="381"/>
      <x:c r="C2" s="381"/>
      <x:c r="D2" s="381"/>
      <x:c r="E2" s="381"/>
      <x:c r="F2" s="381"/>
      <x:c r="G2" s="381"/>
      <x:c r="H2" s="381"/>
      <x:c r="I2" s="427"/>
    </x:row>
    <x:row r="3" ht="25" customHeight="1">
      <x:c r="A3" s="382" t="str">
        <x:v>Selected June 30 balances. USD millions. Principal except Nuveen includes interest.</x:v>
      </x:c>
      <x:c r="B3" s="381"/>
      <x:c r="C3" s="381"/>
      <x:c r="D3" s="381"/>
      <x:c r="E3" s="381"/>
      <x:c r="F3" s="381"/>
      <x:c r="G3" s="381"/>
      <x:c r="H3" s="381"/>
      <x:c r="I3" s="427"/>
    </x:row>
    <x:row r="4" ht="25" customHeight="1">
      <x:c r="A4" s="383"/>
      <x:c r="B4" s="381"/>
      <x:c r="C4" s="381"/>
      <x:c r="D4" s="381"/>
      <x:c r="E4" s="381"/>
      <x:c r="F4" s="381"/>
      <x:c r="G4" s="381"/>
      <x:c r="H4" s="381"/>
      <x:c r="I4" s="427"/>
    </x:row>
    <x:row r="5" ht="25" customHeight="1">
      <x:c r="A5" s="384" t="str">
        <x:v>Obligation</x:v>
      </x:c>
      <x:c r="B5" s="428" t="str">
        <x:v>Due from</x:v>
      </x:c>
      <x:c r="C5" s="428" t="str">
        <x:v>Due through</x:v>
      </x:c>
      <x:c r="D5" s="428" t="str">
        <x:v>USD millions</x:v>
      </x:c>
      <x:c r="E5" s="385" t="str">
        <x:v>Basis and condition</x:v>
      </x:c>
      <x:c r="F5" s="381"/>
      <x:c r="G5" s="381"/>
      <x:c r="H5" s="381"/>
      <x:c r="I5" s="427"/>
    </x:row>
    <x:row r="6" ht="70" customHeight="1">
      <x:c r="A6" s="406" t="str">
        <x:v>Pulaski bridge loan</x:v>
      </x:c>
      <x:c r="B6" s="429" t="d">
        <x:v>2026-12-03T00:00:00.000Z</x:v>
      </x:c>
      <x:c r="C6" s="429" t="d">
        <x:v>2026-12-03T00:00:00.000Z</x:v>
      </x:c>
      <x:c r="D6" s="430" t="n">
        <x:f>IF(ISNUMBER(Data!B43),Data!B43,NA())</x:f>
        <x:v>261000000</x:v>
      </x:c>
      <x:c r="E6" s="431" t="str">
        <x:v>Principal balance; Vistra guarantees repayment. Expected investment tax credits are not cash already available.</x:v>
      </x:c>
      <x:c r="F6" s="381"/>
      <x:c r="G6" s="381"/>
      <x:c r="H6" s="381"/>
      <x:c r="I6" s="427"/>
    </x:row>
    <x:row r="7" ht="70" customHeight="1">
      <x:c r="A7" s="406" t="str">
        <x:v>Pulaski construction loan</x:v>
      </x:c>
      <x:c r="B7" s="429" t="d">
        <x:v>2026-12-01T00:00:00.000Z</x:v>
      </x:c>
      <x:c r="C7" s="429" t="d">
        <x:v>2026-12-31T00:00:00.000Z</x:v>
      </x:c>
      <x:c r="D7" s="430" t="n">
        <x:f>IF(ISNUMBER(Data!B45),Data!B45,NA())</x:f>
        <x:v>297000000</x:v>
      </x:c>
      <x:c r="E7" s="431" t="str">
        <x:v>Outstanding construction balance matures in December. Conversion to a term loan requires commercial operation and other conditions; completion is not assumed.</x:v>
      </x:c>
      <x:c r="F7" s="381"/>
      <x:c r="G7" s="381"/>
      <x:c r="H7" s="381"/>
      <x:c r="I7" s="427"/>
    </x:row>
    <x:row r="8" ht="70" customHeight="1">
      <x:c r="A8" s="406" t="str">
        <x:v>5.050% senior notes</x:v>
      </x:c>
      <x:c r="B8" s="429" t="d">
        <x:v>2026-12-30T00:00:00.000Z</x:v>
      </x:c>
      <x:c r="C8" s="429" t="d">
        <x:v>2026-12-30T00:00:00.000Z</x:v>
      </x:c>
      <x:c r="D8" s="430" t="n">
        <x:f>IF(ISNUMBER(Data!B50),Data!B50,NA())</x:f>
        <x:v>500000000</x:v>
      </x:c>
      <x:c r="E8" s="431" t="str">
        <x:v>Vistra Operations principal; coupon interest is additional.</x:v>
      </x:c>
      <x:c r="F8" s="381"/>
      <x:c r="G8" s="381"/>
      <x:c r="H8" s="381"/>
      <x:c r="I8" s="427"/>
    </x:row>
    <x:row r="9" ht="70" customHeight="1">
      <x:c r="A9" s="406" t="str">
        <x:v>Nuveen final payment</x:v>
      </x:c>
      <x:c r="B9" s="429" t="d">
        <x:v>2026-12-31T00:00:00.000Z</x:v>
      </x:c>
      <x:c r="C9" s="429" t="d">
        <x:v>2026-12-31T00:00:00.000Z</x:v>
      </x:c>
      <x:c r="D9" s="430" t="n">
        <x:f>IF(ISNUMBER(Data!B49),Data!B49,NA())</x:f>
        <x:v>631000000</x:v>
      </x:c>
      <x:c r="E9" s="431" t="str">
        <x:v>Principal and interest combined. The 613M carrying liability is the same obligation, not an additional payment.</x:v>
      </x:c>
      <x:c r="F9" s="381"/>
      <x:c r="G9" s="381"/>
      <x:c r="H9" s="381"/>
      <x:c r="I9" s="427"/>
    </x:row>
    <x:row r="10" ht="70" customHeight="1">
      <x:c r="A10" s="406" t="str">
        <x:v>3.700% senior notes</x:v>
      </x:c>
      <x:c r="B10" s="429" t="d">
        <x:v>2027-01-30T00:00:00.000Z</x:v>
      </x:c>
      <x:c r="C10" s="429" t="d">
        <x:v>2027-01-30T00:00:00.000Z</x:v>
      </x:c>
      <x:c r="D10" s="430" t="n">
        <x:f>IF(ISNUMBER(Data!B51),Data!B51,NA())</x:f>
        <x:v>800000000</x:v>
      </x:c>
      <x:c r="E10" s="431" t="str">
        <x:v>Vistra Operations principal; coupon interest is additional.</x:v>
      </x:c>
      <x:c r="F10" s="381"/>
      <x:c r="G10" s="381"/>
      <x:c r="H10" s="381"/>
      <x:c r="I10" s="427"/>
    </x:row>
    <x:row r="11" ht="70" customHeight="1">
      <x:c r="A11" s="424" t="str">
        <x:v>5.000% senior notes</x:v>
      </x:c>
      <x:c r="B11" s="432" t="d">
        <x:v>2027-07-31T00:00:00.000Z</x:v>
      </x:c>
      <x:c r="C11" s="432" t="d">
        <x:v>2027-07-31T00:00:00.000Z</x:v>
      </x:c>
      <x:c r="D11" s="433" t="n">
        <x:f>IF(ISNUMBER(Data!B52),Data!B52,NA())</x:f>
        <x:v>1300000000</x:v>
      </x:c>
      <x:c r="E11" s="434" t="str">
        <x:v>Vistra Operations principal; coupon interest is additional.</x:v>
      </x:c>
      <x:c r="F11" s="381"/>
      <x:c r="G11" s="381"/>
      <x:c r="H11" s="381"/>
      <x:c r="I11" s="427"/>
    </x:row>
    <x:row r="12" ht="25" customHeight="1">
      <x:c r="A12" s="383"/>
      <x:c r="B12" s="394"/>
      <x:c r="C12" s="381"/>
      <x:c r="D12" s="381"/>
      <x:c r="E12" s="381"/>
      <x:c r="F12" s="381"/>
      <x:c r="G12" s="381"/>
      <x:c r="H12" s="381"/>
      <x:c r="I12" s="427"/>
    </x:row>
    <x:row r="13" ht="25" customHeight="1">
      <x:c r="A13" s="383"/>
      <x:c r="B13" s="394"/>
      <x:c r="C13" s="381"/>
      <x:c r="D13" s="381"/>
      <x:c r="E13" s="381"/>
      <x:c r="F13" s="381"/>
      <x:c r="G13" s="381"/>
      <x:c r="H13" s="381"/>
      <x:c r="I13" s="427"/>
    </x:row>
    <x:row r="14" ht="25" customHeight="1">
      <x:c r="A14" s="383"/>
      <x:c r="B14" s="394"/>
      <x:c r="C14" s="381"/>
      <x:c r="D14" s="381"/>
      <x:c r="E14" s="381"/>
      <x:c r="F14" s="381"/>
      <x:c r="G14" s="381"/>
      <x:c r="H14" s="381"/>
      <x:c r="I14" s="427"/>
    </x:row>
    <x:row r="15" ht="25" customHeight="1">
      <x:c r="A15" s="383"/>
      <x:c r="B15" s="394"/>
      <x:c r="C15" s="381"/>
      <x:c r="D15" s="381"/>
      <x:c r="E15" s="381"/>
      <x:c r="F15" s="381"/>
      <x:c r="G15" s="381"/>
      <x:c r="H15" s="381"/>
      <x:c r="I15" s="427"/>
    </x:row>
    <x:row r="16" ht="25" customHeight="1">
      <x:c r="A16" s="383"/>
      <x:c r="B16" s="394"/>
      <x:c r="C16" s="381"/>
      <x:c r="D16" s="381"/>
      <x:c r="E16" s="381"/>
      <x:c r="F16" s="381"/>
      <x:c r="G16" s="381"/>
      <x:c r="H16" s="381"/>
      <x:c r="I16" s="427"/>
    </x:row>
    <x:row r="17" ht="25" customHeight="1">
      <x:c r="A17" s="383"/>
      <x:c r="B17" s="394"/>
      <x:c r="C17" s="381"/>
      <x:c r="D17" s="381"/>
      <x:c r="E17" s="381"/>
      <x:c r="F17" s="381"/>
      <x:c r="G17" s="381"/>
      <x:c r="H17" s="381"/>
      <x:c r="I17" s="427"/>
    </x:row>
    <x:row r="18" ht="25" customHeight="1">
      <x:c r="A18" s="383"/>
      <x:c r="B18" s="394"/>
      <x:c r="C18" s="381"/>
      <x:c r="D18" s="381"/>
      <x:c r="E18" s="381"/>
      <x:c r="F18" s="381"/>
      <x:c r="G18" s="381"/>
      <x:c r="H18" s="381"/>
      <x:c r="I18" s="427"/>
    </x:row>
    <x:row r="19" ht="25" customHeight="1">
      <x:c r="A19" s="383"/>
      <x:c r="B19" s="394"/>
      <x:c r="C19" s="381"/>
      <x:c r="D19" s="381"/>
      <x:c r="E19" s="381"/>
      <x:c r="F19" s="381"/>
      <x:c r="G19" s="381"/>
      <x:c r="H19" s="381"/>
      <x:c r="I19" s="427"/>
    </x:row>
    <x:row r="20" ht="25" customHeight="1">
      <x:c r="A20" s="383"/>
      <x:c r="B20" s="394"/>
      <x:c r="C20" s="381"/>
      <x:c r="D20" s="381"/>
      <x:c r="E20" s="381"/>
      <x:c r="F20" s="381"/>
      <x:c r="G20" s="381"/>
      <x:c r="H20" s="381"/>
      <x:c r="I20" s="427"/>
    </x:row>
    <x:row r="21" ht="25" customHeight="1">
      <x:c r="A21" s="383"/>
      <x:c r="B21" s="394"/>
      <x:c r="C21" s="381"/>
      <x:c r="D21" s="381"/>
      <x:c r="E21" s="381"/>
      <x:c r="F21" s="381"/>
      <x:c r="G21" s="381"/>
      <x:c r="H21" s="381"/>
      <x:c r="I21" s="427"/>
    </x:row>
    <x:row r="22" ht="25" customHeight="1">
      <x:c r="A22" s="383"/>
      <x:c r="B22" s="394"/>
      <x:c r="C22" s="381"/>
      <x:c r="D22" s="381"/>
      <x:c r="E22" s="381"/>
      <x:c r="F22" s="381"/>
      <x:c r="G22" s="381"/>
      <x:c r="H22" s="381"/>
      <x:c r="I22" s="427"/>
    </x:row>
    <x:row r="23" ht="25" customHeight="1">
      <x:c r="A23" s="383"/>
      <x:c r="B23" s="394"/>
      <x:c r="C23" s="381"/>
      <x:c r="D23" s="381"/>
      <x:c r="E23" s="381"/>
      <x:c r="F23" s="381"/>
      <x:c r="G23" s="381"/>
      <x:c r="H23" s="381"/>
      <x:c r="I23" s="427"/>
    </x:row>
    <x:row r="24" ht="25" customHeight="1">
      <x:c r="A24" s="383"/>
      <x:c r="B24" s="394"/>
      <x:c r="C24" s="381"/>
      <x:c r="D24" s="381"/>
      <x:c r="E24" s="381"/>
      <x:c r="F24" s="381"/>
      <x:c r="G24" s="381"/>
      <x:c r="H24" s="435" t="str">
        <x:v>Selected payment</x:v>
      </x:c>
      <x:c r="I24" s="436" t="str">
        <x:v>USD</x:v>
      </x:c>
    </x:row>
    <x:row r="25" ht="25" customHeight="1">
      <x:c r="A25" s="383"/>
      <x:c r="B25" s="394"/>
      <x:c r="C25" s="381"/>
      <x:c r="D25" s="381"/>
      <x:c r="E25" s="381"/>
      <x:c r="F25" s="381"/>
      <x:c r="G25" s="381"/>
      <x:c r="H25" s="437" t="str">
        <x:v>Dec 3, 2026
Pulaski bridge</x:v>
      </x:c>
      <x:c r="I25" s="438" t="n">
        <x:f>D6</x:f>
        <x:v>261000000</x:v>
      </x:c>
    </x:row>
    <x:row r="26" ht="25" customHeight="1">
      <x:c r="A26" s="383"/>
      <x:c r="B26" s="394"/>
      <x:c r="C26" s="381"/>
      <x:c r="D26" s="381"/>
      <x:c r="E26" s="381"/>
      <x:c r="F26" s="381"/>
      <x:c r="G26" s="381"/>
      <x:c r="H26" s="437" t="str">
        <x:v>Dec 2026
Construction</x:v>
      </x:c>
      <x:c r="I26" s="438" t="n">
        <x:f>D7</x:f>
        <x:v>297000000</x:v>
      </x:c>
    </x:row>
    <x:row r="27" ht="25" customHeight="1">
      <x:c r="A27" s="383"/>
      <x:c r="B27" s="394"/>
      <x:c r="C27" s="381"/>
      <x:c r="D27" s="381"/>
      <x:c r="E27" s="381"/>
      <x:c r="F27" s="381"/>
      <x:c r="G27" s="381"/>
      <x:c r="H27" s="437" t="str">
        <x:v>Dec 30, 2026
Senior notes</x:v>
      </x:c>
      <x:c r="I27" s="438" t="n">
        <x:f>D8</x:f>
        <x:v>500000000</x:v>
      </x:c>
    </x:row>
    <x:row r="28" ht="25" customHeight="1">
      <x:c r="A28" s="383"/>
      <x:c r="B28" s="394"/>
      <x:c r="C28" s="381"/>
      <x:c r="D28" s="381"/>
      <x:c r="E28" s="381"/>
      <x:c r="F28" s="381"/>
      <x:c r="G28" s="381"/>
      <x:c r="H28" s="437" t="str">
        <x:v>Dec 31, 2026
Nuveen</x:v>
      </x:c>
      <x:c r="I28" s="438" t="n">
        <x:f>D9</x:f>
        <x:v>631000000</x:v>
      </x:c>
    </x:row>
    <x:row r="29" ht="25" customHeight="1">
      <x:c r="A29" s="383"/>
      <x:c r="B29" s="394"/>
      <x:c r="C29" s="381"/>
      <x:c r="D29" s="381"/>
      <x:c r="E29" s="381"/>
      <x:c r="F29" s="381"/>
      <x:c r="G29" s="381"/>
      <x:c r="H29" s="437" t="str">
        <x:v>Jan 30, 2027
Senior notes</x:v>
      </x:c>
      <x:c r="I29" s="438" t="n">
        <x:f>D10</x:f>
        <x:v>800000000</x:v>
      </x:c>
    </x:row>
    <x:row r="30" ht="25" customHeight="1">
      <x:c r="A30" s="383"/>
      <x:c r="B30" s="394"/>
      <x:c r="C30" s="381"/>
      <x:c r="D30" s="381"/>
      <x:c r="E30" s="381"/>
      <x:c r="F30" s="381"/>
      <x:c r="G30" s="381"/>
      <x:c r="H30" s="439" t="str">
        <x:v>Jul 31, 2027
Senior notes</x:v>
      </x:c>
      <x:c r="I30" s="440" t="n">
        <x:f>D11</x:f>
        <x:v>1300000000</x:v>
      </x:c>
    </x:row>
    <x:row r="31" ht="25" customHeight="1">
      <x:c r="A31" s="383"/>
      <x:c r="B31" s="394"/>
      <x:c r="C31" s="381"/>
      <x:c r="D31" s="381"/>
      <x:c r="E31" s="381"/>
      <x:c r="F31" s="381"/>
      <x:c r="G31" s="381"/>
      <x:c r="H31" s="381"/>
      <x:c r="I31" s="427"/>
    </x:row>
    <x:row r="32" ht="25" customHeight="1">
      <x:c r="A32" s="383"/>
      <x:c r="B32" s="394"/>
      <x:c r="C32" s="381"/>
      <x:c r="D32" s="381"/>
      <x:c r="E32" s="381"/>
      <x:c r="F32" s="381"/>
      <x:c r="G32" s="381"/>
      <x:c r="H32" s="381"/>
      <x:c r="I32" s="427"/>
    </x:row>
    <x:row r="33" ht="52" customHeight="1">
      <x:c r="A33" s="441" t="str">
        <x:v>Nuveen carrying liability</x:v>
      </x:c>
      <x:c r="B33" s="442" t="n">
        <x:f>IF(ISNUMBER(Data!B34),Data!B34,NA())</x:f>
        <x:v>613000000</x:v>
      </x:c>
      <x:c r="C33" s="381"/>
      <x:c r="D33" s="390" t="str">
        <x:v>Same obligation as the 631M final payment above; not added.</x:v>
      </x:c>
      <x:c r="E33" s="381"/>
      <x:c r="F33" s="381"/>
      <x:c r="G33" s="381"/>
      <x:c r="H33" s="381"/>
      <x:c r="I33" s="427"/>
    </x:row>
    <x:row r="34" ht="25" customHeight="1">
      <x:c r="A34" s="383"/>
      <x:c r="B34" s="394"/>
      <x:c r="C34" s="381"/>
      <x:c r="D34" s="381"/>
      <x:c r="E34" s="381"/>
      <x:c r="F34" s="381"/>
      <x:c r="G34" s="381"/>
      <x:c r="H34" s="381"/>
      <x:c r="I34" s="427"/>
    </x:row>
    <x:row r="35" ht="52" customHeight="1">
      <x:c r="A35" s="441" t="str">
        <x:v>Expected Cogentrix cash consideration</x:v>
      </x:c>
      <x:c r="B35" s="442" t="n">
        <x:f>IF(ISNUMBER(Data!B69),Data!B69,NA())</x:f>
        <x:v>2300000000</x:v>
      </x:c>
      <x:c r="C35" s="381"/>
      <x:c r="D35" s="390" t="str">
        <x:v>Late-2026 expected closing; conditions and adjustments apply. Exact payment date and completed closing Unavailable.</x:v>
      </x:c>
      <x:c r="E35" s="381"/>
      <x:c r="F35" s="381"/>
      <x:c r="G35" s="381"/>
      <x:c r="H35" s="381"/>
      <x:c r="I35" s="427"/>
    </x:row>
    <x:row r="36" ht="25" customHeight="1">
      <x:c r="A36" s="383"/>
      <x:c r="B36" s="394"/>
      <x:c r="C36" s="381"/>
      <x:c r="D36" s="381"/>
      <x:c r="E36" s="381"/>
      <x:c r="F36" s="381"/>
      <x:c r="G36" s="381"/>
      <x:c r="H36" s="381"/>
      <x:c r="I36" s="427"/>
    </x:row>
    <x:row r="37" ht="52" customHeight="1">
      <x:c r="A37" s="441" t="str">
        <x:v>Helix initial callable commitment</x:v>
      </x:c>
      <x:c r="B37" s="442" t="n">
        <x:f>IF(ISNUMBER(Data!B67),Data!B67,NA())</x:f>
        <x:v>500000000</x:v>
      </x:c>
      <x:c r="C37" s="381"/>
      <x:c r="D37" s="390" t="str">
        <x:v>Call date and amount funded to date Unavailable. Not assigned to December.</x:v>
      </x:c>
      <x:c r="E37" s="381"/>
      <x:c r="F37" s="381"/>
      <x:c r="G37" s="381"/>
      <x:c r="H37" s="381"/>
      <x:c r="I37" s="427"/>
    </x:row>
    <x:row r="38" ht="25" customHeight="1">
      <x:c r="A38" s="383"/>
      <x:c r="B38" s="394"/>
      <x:c r="C38" s="381"/>
      <x:c r="D38" s="381"/>
      <x:c r="E38" s="381"/>
      <x:c r="F38" s="381"/>
      <x:c r="G38" s="381"/>
      <x:c r="H38" s="381"/>
      <x:c r="I38" s="427"/>
    </x:row>
    <x:row r="39" ht="52" customHeight="1">
      <x:c r="A39" s="441" t="str">
        <x:v>Helix additional conditional commitment</x:v>
      </x:c>
      <x:c r="B39" s="442" t="n">
        <x:f>IF(ISNUMBER(Data!B68),Data!B68,NA())</x:f>
        <x:v>500000000</x:v>
      </x:c>
      <x:c r="C39" s="381"/>
      <x:c r="D39" s="390" t="str">
        <x:v>Milestones had not occurred at June 30; Vistra may elect to invest regardless.</x:v>
      </x:c>
      <x:c r="E39" s="381"/>
      <x:c r="F39" s="381"/>
      <x:c r="G39" s="381"/>
      <x:c r="H39" s="381"/>
      <x:c r="I39" s="427"/>
    </x:row>
    <x:row r="40" ht="25" customHeight="1">
      <x:c r="A40" s="383"/>
      <x:c r="B40" s="394"/>
      <x:c r="C40" s="381"/>
      <x:c r="D40" s="381"/>
      <x:c r="E40" s="381"/>
      <x:c r="F40" s="381"/>
      <x:c r="G40" s="381"/>
      <x:c r="H40" s="381"/>
      <x:c r="I40" s="427"/>
    </x:row>
    <x:row r="41" ht="25" customHeight="1">
      <x:c r="A41" s="383"/>
      <x:c r="B41" s="394"/>
      <x:c r="C41" s="381"/>
      <x:c r="D41" s="381"/>
      <x:c r="E41" s="381"/>
      <x:c r="F41" s="381"/>
      <x:c r="G41" s="381"/>
      <x:c r="H41" s="381"/>
      <x:c r="I41" s="427"/>
    </x:row>
    <x:row r="42" ht="25" customHeight="1">
      <x:c r="A42" s="402" t="str">
        <x:v>Historical annual schedule at Dec 31, 2025</x:v>
      </x:c>
      <x:c r="B42" s="394"/>
      <x:c r="C42" s="381"/>
      <x:c r="D42" s="381"/>
      <x:c r="E42" s="381"/>
      <x:c r="F42" s="381"/>
      <x:c r="G42" s="381"/>
      <x:c r="H42" s="381"/>
      <x:c r="I42" s="427"/>
    </x:row>
    <x:row r="43" ht="25" customHeight="1">
      <x:c r="A43" s="384" t="str">
        <x:v>Due year</x:v>
      </x:c>
      <x:c r="B43" s="443" t="str">
        <x:v>USD millions</x:v>
      </x:c>
      <x:c r="C43" s="385" t="str">
        <x:v>Basis</x:v>
      </x:c>
      <x:c r="D43" s="381"/>
      <x:c r="E43" s="381"/>
      <x:c r="F43" s="381"/>
      <x:c r="G43" s="381"/>
      <x:c r="H43" s="381"/>
      <x:c r="I43" s="427"/>
    </x:row>
    <x:row r="44" ht="40" customHeight="1">
      <x:c r="A44" s="444" t="n">
        <x:v>2026</x:v>
      </x:c>
      <x:c r="B44" s="430" t="n">
        <x:f>IF(ISNUMBER(Data!B70),Data!B70,NA())</x:f>
        <x:v>1201000000</x:v>
      </x:c>
      <x:c r="C44" s="431" t="str">
        <x:v>Historical principal schedule, not rolled forward to June.</x:v>
      </x:c>
      <x:c r="D44" s="381"/>
      <x:c r="E44" s="381"/>
      <x:c r="F44" s="381"/>
      <x:c r="G44" s="381"/>
      <x:c r="H44" s="381"/>
      <x:c r="I44" s="427"/>
    </x:row>
    <x:row r="45" ht="40" customHeight="1">
      <x:c r="A45" s="444" t="n">
        <x:v>2027</x:v>
      </x:c>
      <x:c r="B45" s="430" t="n">
        <x:f>IF(ISNUMBER(Data!B71),Data!B71,NA())</x:f>
        <x:v>3435000000</x:v>
      </x:c>
      <x:c r="C45" s="431" t="str">
        <x:v>Historical principal schedule, not rolled forward to June.</x:v>
      </x:c>
      <x:c r="D45" s="381"/>
      <x:c r="E45" s="381"/>
      <x:c r="F45" s="381"/>
      <x:c r="G45" s="381"/>
      <x:c r="H45" s="381"/>
      <x:c r="I45" s="427"/>
    </x:row>
    <x:row r="46" ht="40" customHeight="1">
      <x:c r="A46" s="444" t="n">
        <x:v>2028</x:v>
      </x:c>
      <x:c r="B46" s="430" t="n">
        <x:f>IF(ISNUMBER(Data!B72),Data!B72,NA())</x:f>
        <x:v>786000000</x:v>
      </x:c>
      <x:c r="C46" s="431" t="str">
        <x:v>Historical principal schedule, not rolled forward to June.</x:v>
      </x:c>
      <x:c r="D46" s="381"/>
      <x:c r="E46" s="381"/>
      <x:c r="F46" s="381"/>
      <x:c r="G46" s="381"/>
      <x:c r="H46" s="381"/>
      <x:c r="I46" s="427"/>
    </x:row>
    <x:row r="47" ht="40" customHeight="1">
      <x:c r="A47" s="444" t="n">
        <x:v>2029</x:v>
      </x:c>
      <x:c r="B47" s="430" t="n">
        <x:f>IF(ISNUMBER(Data!B73),Data!B73,NA())</x:f>
        <x:v>2362000000</x:v>
      </x:c>
      <x:c r="C47" s="431" t="str">
        <x:v>Historical principal schedule, not rolled forward to June.</x:v>
      </x:c>
      <x:c r="D47" s="381"/>
      <x:c r="E47" s="381"/>
      <x:c r="F47" s="381"/>
      <x:c r="G47" s="381"/>
      <x:c r="H47" s="381"/>
      <x:c r="I47" s="427"/>
    </x:row>
    <x:row r="48" ht="40" customHeight="1">
      <x:c r="A48" s="444" t="n">
        <x:v>2030</x:v>
      </x:c>
      <x:c r="B48" s="430" t="n">
        <x:f>IF(ISNUMBER(Data!B74),Data!B74,NA())</x:f>
        <x:v>2853000000</x:v>
      </x:c>
      <x:c r="C48" s="431" t="str">
        <x:v>Historical principal schedule, not rolled forward to June.</x:v>
      </x:c>
      <x:c r="D48" s="381"/>
      <x:c r="E48" s="381"/>
      <x:c r="F48" s="381"/>
      <x:c r="G48" s="381"/>
      <x:c r="H48" s="381"/>
      <x:c r="I48" s="427"/>
    </x:row>
    <x:row r="49" ht="40" customHeight="1">
      <x:c r="A49" s="388" t="str">
        <x:v>Thereafter</x:v>
      </x:c>
      <x:c r="B49" s="430" t="n">
        <x:f>IF(ISNUMBER(Data!B75),Data!B75,NA())</x:f>
        <x:v>6559000000</x:v>
      </x:c>
      <x:c r="C49" s="431" t="str">
        <x:v>Historical principal schedule, not rolled forward to June.</x:v>
      </x:c>
      <x:c r="D49" s="381"/>
      <x:c r="E49" s="381"/>
      <x:c r="F49" s="381"/>
      <x:c r="G49" s="381"/>
      <x:c r="H49" s="381"/>
      <x:c r="I49" s="427"/>
    </x:row>
    <x:row r="50" ht="25" customHeight="1">
      <x:c r="A50" s="397" t="str">
        <x:v>Calculated annual principal</x:v>
      </x:c>
      <x:c r="B50" s="445" t="n">
        <x:f>SUM(B44:B49)</x:f>
        <x:v>17196000000</x:v>
      </x:c>
      <x:c r="C50" s="420"/>
      <x:c r="D50" s="381"/>
      <x:c r="E50" s="381"/>
      <x:c r="F50" s="381"/>
      <x:c r="G50" s="381"/>
      <x:c r="H50" s="381"/>
      <x:c r="I50" s="427"/>
    </x:row>
    <x:row r="51" ht="25" customHeight="1">
      <x:c r="A51" s="388" t="str">
        <x:v>Less annual premiums, discounts and costs</x:v>
      </x:c>
      <x:c r="B51" s="430" t="n">
        <x:f>IF(ISNUMBER(Data!B77),Data!B77,NA())</x:f>
        <x:v>153000000</x:v>
      </x:c>
      <x:c r="C51" s="420"/>
      <x:c r="D51" s="381"/>
      <x:c r="E51" s="381"/>
      <x:c r="F51" s="381"/>
      <x:c r="G51" s="381"/>
      <x:c r="H51" s="381"/>
      <x:c r="I51" s="427"/>
    </x:row>
    <x:row r="52" ht="25" customHeight="1">
      <x:c r="A52" s="397" t="str">
        <x:v>Calculated annual carrying debt</x:v>
      </x:c>
      <x:c r="B52" s="445" t="n">
        <x:f>B50-B51</x:f>
        <x:v>17043000000</x:v>
      </x:c>
      <x:c r="C52" s="420"/>
      <x:c r="D52" s="381"/>
      <x:c r="E52" s="381"/>
      <x:c r="F52" s="381"/>
      <x:c r="G52" s="381"/>
      <x:c r="H52" s="381"/>
      <x:c r="I52" s="427"/>
    </x:row>
    <x:row r="53" ht="25" customHeight="1">
      <x:c r="A53" s="388" t="str">
        <x:v>Reported annual carrying debt</x:v>
      </x:c>
      <x:c r="B53" s="430" t="n">
        <x:f>IF(ISNUMBER(Data!B76),Data!B76,NA())</x:f>
        <x:v>17043000000</x:v>
      </x:c>
      <x:c r="C53" s="420"/>
      <x:c r="D53" s="381"/>
      <x:c r="E53" s="381"/>
      <x:c r="F53" s="381"/>
      <x:c r="G53" s="381"/>
      <x:c r="H53" s="381"/>
      <x:c r="I53" s="427"/>
    </x:row>
    <x:row r="54" ht="25" customHeight="1">
      <x:c r="A54" s="400" t="str">
        <x:v>Annual carrying reconciliation difference</x:v>
      </x:c>
      <x:c r="B54" s="446" t="n">
        <x:f>B52-B53</x:f>
        <x:v>0</x:v>
      </x:c>
      <x:c r="C54" s="447"/>
      <x:c r="D54" s="381"/>
      <x:c r="E54" s="381"/>
      <x:c r="F54" s="381"/>
      <x:c r="G54" s="381"/>
      <x:c r="H54" s="381"/>
      <x:c r="I54" s="427"/>
    </x:row>
    <x:row r="55" ht="25" customHeight="1">
      <x:c r="A55" s="383"/>
      <x:c r="B55" s="381"/>
      <x:c r="C55" s="381"/>
      <x:c r="D55" s="381"/>
      <x:c r="E55" s="381"/>
      <x:c r="F55" s="381"/>
      <x:c r="G55" s="381"/>
      <x:c r="H55" s="381"/>
      <x:c r="I55" s="427"/>
    </x:row>
    <x:row r="56" ht="25" customHeight="1">
      <x:c r="A56" s="402" t="str">
        <x:v>No full remaining June debt-service schedule or overall future repayment surplus is inferred.</x:v>
      </x:c>
      <x:c r="B56" s="381"/>
      <x:c r="C56" s="381"/>
      <x:c r="D56" s="381"/>
      <x:c r="E56" s="381"/>
      <x:c r="F56" s="381"/>
      <x:c r="G56" s="381"/>
      <x:c r="H56" s="381"/>
      <x:c r="I56" s="427"/>
    </x:row>
  </x:sheetData>
  <x:pageMargins left="0.7" right="0.7" top="0.75" bottom="0.75" header="0.3" footer="0.3"/>
  <x:drawing ns1:id="Rdca0f6fabf904b4f"/>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funding resources and conditions</x:v>
      </x:c>
      <x:c r="B2" s="381"/>
      <x:c r="C2" s="381"/>
      <x:c r="D2" s="381"/>
      <x:c r="E2" s="427"/>
    </x:row>
    <x:row r="3" ht="25" customHeight="1">
      <x:c r="A3" s="382" t="str">
        <x:v>Reported available capacity at June 30, 2026. USD millions. Current drawable capacity is Unavailable.</x:v>
      </x:c>
      <x:c r="B3" s="381"/>
      <x:c r="C3" s="381"/>
      <x:c r="D3" s="381"/>
      <x:c r="E3" s="427"/>
    </x:row>
    <x:row r="4" ht="25" customHeight="1">
      <x:c r="A4" s="383"/>
      <x:c r="B4" s="381"/>
      <x:c r="C4" s="381"/>
      <x:c r="D4" s="381"/>
      <x:c r="E4" s="427"/>
    </x:row>
    <x:row r="5" ht="25" customHeight="1">
      <x:c r="A5" s="384" t="str">
        <x:v>Resource</x:v>
      </x:c>
      <x:c r="B5" s="428" t="str">
        <x:v>June available</x:v>
      </x:c>
      <x:c r="C5" s="428" t="str">
        <x:v>Current drawable</x:v>
      </x:c>
      <x:c r="D5" s="428" t="str">
        <x:v>Borrower / scope</x:v>
      </x:c>
      <x:c r="E5" s="436" t="str">
        <x:v>Conditions</x:v>
      </x:c>
    </x:row>
    <x:row r="6" ht="90" customHeight="1">
      <x:c r="A6" s="406" t="str">
        <x:v>Cash and equivalents</x:v>
      </x:c>
      <x:c r="B6" s="407" t="n">
        <x:f>IF(ISNUMBER(Data!B31),Data!B31,NA())</x:f>
        <x:v>435000000</x:v>
      </x:c>
      <x:c r="C6" s="448" t="str">
        <x:v>Unavailable</x:v>
      </x:c>
      <x:c r="D6" s="448" t="str">
        <x:v>Vistra consolidated</x:v>
      </x:c>
      <x:c r="E6" s="449" t="str">
        <x:v>Cash excludes 46M restricted cash. Cash located at Parent and amounts transferable from each subsidiary are Unavailable.</x:v>
      </x:c>
    </x:row>
    <x:row r="7" ht="90" customHeight="1">
      <x:c r="A7" s="406" t="str">
        <x:v>Corporate revolver</x:v>
      </x:c>
      <x:c r="B7" s="407" t="n">
        <x:f>IF(ISNUMBER(Data!B59),Data!B59,NA())</x:f>
        <x:v>4408000000</x:v>
      </x:c>
      <x:c r="C7" s="448" t="str">
        <x:v>Unavailable</x:v>
      </x:c>
      <x:c r="D7" s="448" t="str">
        <x:v>Vistra Operations</x:v>
      </x:c>
      <x:c r="E7" s="449" t="str">
        <x:v>General corporate purposes, including permitted acquisitions and restricted payments (§9.13). Borrowing conditions and distribution restrictions still apply.</x:v>
      </x:c>
    </x:row>
    <x:row r="8" ht="90" customHeight="1">
      <x:c r="A8" s="406" t="str">
        <x:v>Commodity-linked facility</x:v>
      </x:c>
      <x:c r="B8" s="407" t="n">
        <x:f>IF(ISNUMBER(Data!B63),Data!B63,NA())</x:f>
        <x:v>1452000000</x:v>
      </x:c>
      <x:c r="C8" s="448" t="str">
        <x:v>Unavailable</x:v>
      </x:c>
      <x:c r="D8" s="448" t="str">
        <x:v>Vistra Operations</x:v>
      </x:c>
      <x:c r="E8" s="449" t="str">
        <x:v>Supports commodity collateral, working capital and general corporate purposes. Weekly hedge-based borrowing base can fall and require repayment. June capacity is not a later commitment to lend that amount.</x:v>
      </x:c>
    </x:row>
    <x:row r="9" ht="90" customHeight="1">
      <x:c r="A9" s="406" t="str">
        <x:v>Receivables facility</x:v>
      </x:c>
      <x:c r="B9" s="450"/>
      <x:c r="C9" s="448" t="str">
        <x:v>Unavailable</x:v>
      </x:c>
      <x:c r="D9" s="448" t="str">
        <x:v>TXU Energy Receivables Company</x:v>
      </x:c>
      <x:c r="E9" s="449" t="str">
        <x:v>Purchase limit rose to 1.25B on July 10, due July 9, 2027. June borrowings 300M. Eligible receivables, advance conditions and a contemporaneous drawing balance are needed; 1.25B less June borrowings is not drawable capacity.</x:v>
      </x:c>
    </x:row>
    <x:row r="10" ht="90" customHeight="1">
      <x:c r="A10" s="406" t="str">
        <x:v>Repurchase facility</x:v>
      </x:c>
      <x:c r="B10" s="450"/>
      <x:c r="C10" s="448" t="str">
        <x:v>Unavailable</x:v>
      </x:c>
      <x:c r="D10" s="448" t="str">
        <x:v>TXU Energy and originators</x:v>
      </x:c>
      <x:c r="E10" s="449" t="str">
        <x:v>125M uncommitted program, extended to July 9, 2027. Secured by the receivables program’s subordinated note. June drawings were zero; no guaranteed cash availability or independent collateral pool is established.</x:v>
      </x:c>
    </x:row>
    <x:row r="11" ht="90" customHeight="1">
      <x:c r="A11" s="406" t="str">
        <x:v>BCOP facilities</x:v>
      </x:c>
      <x:c r="B11" s="407" t="n">
        <x:f>IF(ISNUMBER(Data!B64),Data!B64,NA())</x:f>
        <x:v>0</x:v>
      </x:c>
      <x:c r="C11" s="448" t="str">
        <x:v>Unavailable</x:v>
      </x:c>
      <x:c r="D11" s="448" t="str">
        <x:v>BCOP project subsidiaries</x:v>
      </x:c>
      <x:c r="E11" s="449" t="str">
        <x:v>Zero unused capacity in the June table. Project assets and cash flows service project debt; Pulaski bridge has a Vistra guarantee. The rest is otherwise non-recourse to Vistra Operations and its other subsidiaries.</x:v>
      </x:c>
    </x:row>
    <x:row r="12" ht="90" customHeight="1">
      <x:c r="A12" s="406" t="str">
        <x:v>Vistra Zero term loan</x:v>
      </x:c>
      <x:c r="B12" s="407" t="n">
        <x:f>IF(ISNUMBER(Data!B65),Data!B65,NA())</x:f>
        <x:v>0</x:v>
      </x:c>
      <x:c r="C12" s="448" t="str">
        <x:v>Unavailable</x:v>
      </x:c>
      <x:c r="D12" s="448" t="str">
        <x:v>Vistra Zero Operating</x:v>
      </x:c>
      <x:c r="E12" s="449" t="str">
        <x:v>Zero unused capacity in the June table; 697M is already drawn and included in debt. Subsidiary guarantees and project security; otherwise non-recourse to Vistra Operations and its other subsidiaries.</x:v>
      </x:c>
    </x:row>
    <x:row r="13" ht="90" customHeight="1">
      <x:c r="A13" s="424" t="str">
        <x:v>Texas Energy Fund loan</x:v>
      </x:c>
      <x:c r="B13" s="451" t="n">
        <x:f>IF(ISNUMBER(Data!B66),Data!B66,NA())</x:f>
        <x:v>0</x:v>
      </x:c>
      <x:c r="C13" s="452" t="str">
        <x:v>Unavailable</x:v>
      </x:c>
      <x:c r="D13" s="452" t="str">
        <x:v>Permian Power</x:v>
      </x:c>
      <x:c r="E13" s="453"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383"/>
      <x:c r="B14" s="394"/>
      <x:c r="C14" s="381"/>
      <x:c r="D14" s="381"/>
      <x:c r="E14" s="427"/>
    </x:row>
    <x:row r="15" ht="25" customHeight="1">
      <x:c r="A15" s="383"/>
      <x:c r="B15" s="394"/>
      <x:c r="C15" s="381"/>
      <x:c r="D15" s="381"/>
      <x:c r="E15" s="427"/>
    </x:row>
    <x:row r="16" ht="25" customHeight="1">
      <x:c r="A16" s="392" t="str">
        <x:v>Calculated June reported liquidity</x:v>
      </x:c>
      <x:c r="B16" s="393" t="n">
        <x:f>SUM(B6:B8)</x:f>
        <x:v>6295000000</x:v>
      </x:c>
      <x:c r="C16" s="381"/>
      <x:c r="D16" s="381"/>
      <x:c r="E16" s="427"/>
    </x:row>
    <x:row r="17" ht="25" customHeight="1">
      <x:c r="A17" s="383"/>
      <x:c r="B17" s="394"/>
      <x:c r="C17" s="381"/>
      <x:c r="D17" s="381"/>
      <x:c r="E17" s="427"/>
    </x:row>
    <x:row r="18" ht="25" customHeight="1">
      <x:c r="A18" s="395" t="str">
        <x:v>Revolver commitment</x:v>
      </x:c>
      <x:c r="B18" s="396" t="n">
        <x:f>IF(ISNUMBER(Data!B56),Data!B56,NA())</x:f>
        <x:v>5500000000</x:v>
      </x:c>
      <x:c r="C18" s="381"/>
      <x:c r="D18" s="381"/>
      <x:c r="E18" s="427"/>
    </x:row>
    <x:row r="19" ht="25" customHeight="1">
      <x:c r="A19" s="388" t="str">
        <x:v>Less revolving borrowings</x:v>
      </x:c>
      <x:c r="B19" s="389" t="n">
        <x:f>IF(ISNUMBER(Data!B57),Data!B57,NA())</x:f>
        <x:v>0</x:v>
      </x:c>
      <x:c r="C19" s="381"/>
      <x:c r="D19" s="381"/>
      <x:c r="E19" s="427"/>
    </x:row>
    <x:row r="20" ht="25" customHeight="1">
      <x:c r="A20" s="388" t="str">
        <x:v>Less revolver letters of credit</x:v>
      </x:c>
      <x:c r="B20" s="389" t="n">
        <x:f>IF(ISNUMBER(Data!B58),Data!B58,NA())</x:f>
        <x:v>1092000000</x:v>
      </x:c>
      <x:c r="C20" s="381"/>
      <x:c r="D20" s="381"/>
      <x:c r="E20" s="427"/>
    </x:row>
    <x:row r="21" ht="25" customHeight="1">
      <x:c r="A21" s="397" t="str">
        <x:v>Calculated revolver availability</x:v>
      </x:c>
      <x:c r="B21" s="398" t="n">
        <x:f>B18-B19-B20</x:f>
        <x:v>4408000000</x:v>
      </x:c>
      <x:c r="C21" s="381"/>
      <x:c r="D21" s="381"/>
      <x:c r="E21" s="427"/>
    </x:row>
    <x:row r="22" ht="25" customHeight="1">
      <x:c r="A22" s="388" t="str">
        <x:v>Reported revolver availability</x:v>
      </x:c>
      <x:c r="B22" s="389" t="n">
        <x:f>IF(ISNUMBER(Data!B59),Data!B59,NA())</x:f>
        <x:v>4408000000</x:v>
      </x:c>
      <x:c r="C22" s="381"/>
      <x:c r="D22" s="381"/>
      <x:c r="E22" s="427"/>
    </x:row>
    <x:row r="23" ht="25" customHeight="1">
      <x:c r="A23" s="400" t="str">
        <x:v>Revolver reconciliation difference</x:v>
      </x:c>
      <x:c r="B23" s="401" t="n">
        <x:f>B21-B22</x:f>
        <x:v>0</x:v>
      </x:c>
      <x:c r="C23" s="381"/>
      <x:c r="D23" s="381"/>
      <x:c r="E23" s="427"/>
    </x:row>
    <x:row r="24" ht="25" customHeight="1">
      <x:c r="A24" s="383"/>
      <x:c r="B24" s="394"/>
      <x:c r="C24" s="381"/>
      <x:c r="D24" s="381"/>
      <x:c r="E24" s="427"/>
    </x:row>
    <x:row r="25" ht="25" customHeight="1">
      <x:c r="A25" s="395" t="str">
        <x:v>Commodity-linked commitment</x:v>
      </x:c>
      <x:c r="B25" s="396" t="n">
        <x:f>IF(ISNUMBER(Data!B60),Data!B60,NA())</x:f>
        <x:v>1750000000</x:v>
      </x:c>
      <x:c r="C25" s="381"/>
      <x:c r="D25" s="381"/>
      <x:c r="E25" s="427"/>
    </x:row>
    <x:row r="26" ht="45" customHeight="1">
      <x:c r="A26" s="400" t="str">
        <x:v>Commodity-linked reported availability</x:v>
      </x:c>
      <x:c r="B26" s="454" t="n">
        <x:f>IF(ISNUMBER(Data!B63),Data!B63,NA())</x:f>
        <x:v>1452000000</x:v>
      </x:c>
      <x:c r="C26" s="381"/>
      <x:c r="D26" s="390" t="str">
        <x:v>Weekly borrowing base is lower than commitment. Do not use 1.75B as available cash.</x:v>
      </x:c>
      <x:c r="E26" s="427"/>
    </x:row>
    <x:row r="27" ht="25" customHeight="1">
      <x:c r="A27" s="383"/>
      <x:c r="B27" s="394"/>
      <x:c r="C27" s="381"/>
      <x:c r="D27" s="381"/>
      <x:c r="E27" s="427"/>
    </x:row>
    <x:row r="28" ht="25" customHeight="1">
      <x:c r="A28" s="395" t="str">
        <x:v>Other LOC facilities</x:v>
      </x:c>
      <x:c r="B28" s="396" t="n">
        <x:f>IF(ISNUMBER(Data!B53),Data!B53,NA())</x:f>
        <x:v>1759000000</x:v>
      </x:c>
      <x:c r="C28" s="381"/>
      <x:c r="D28" s="381"/>
      <x:c r="E28" s="427"/>
    </x:row>
    <x:row r="29" ht="25" customHeight="1">
      <x:c r="A29" s="388" t="str">
        <x:v>Alternative LOC facilities</x:v>
      </x:c>
      <x:c r="B29" s="389" t="n">
        <x:f>IF(ISNUMBER(Data!B54),Data!B54,NA())</x:f>
        <x:v>736000000</x:v>
      </x:c>
      <x:c r="C29" s="381"/>
      <x:c r="D29" s="381"/>
      <x:c r="E29" s="427"/>
    </x:row>
    <x:row r="30" ht="25" customHeight="1">
      <x:c r="A30" s="397" t="str">
        <x:v>Calculated LOC total</x:v>
      </x:c>
      <x:c r="B30" s="398" t="n">
        <x:f>B20+B28+B29</x:f>
        <x:v>3587000000</x:v>
      </x:c>
      <x:c r="C30" s="381"/>
      <x:c r="D30" s="381"/>
      <x:c r="E30" s="427"/>
    </x:row>
    <x:row r="31" ht="25" customHeight="1">
      <x:c r="A31" s="388" t="str">
        <x:v>Reported LOC total</x:v>
      </x:c>
      <x:c r="B31" s="389" t="n">
        <x:f>IF(ISNUMBER(Data!B55),Data!B55,NA())</x:f>
        <x:v>3587000000</x:v>
      </x:c>
      <x:c r="C31" s="381"/>
      <x:c r="D31" s="381"/>
      <x:c r="E31" s="427"/>
    </x:row>
    <x:row r="32" ht="25" customHeight="1">
      <x:c r="A32" s="400" t="str">
        <x:v>LOC reconciliation difference</x:v>
      </x:c>
      <x:c r="B32" s="401" t="n">
        <x:f>B30-B31</x:f>
        <x:v>0</x:v>
      </x:c>
      <x:c r="C32" s="381"/>
      <x:c r="D32" s="381"/>
      <x:c r="E32" s="427"/>
    </x:row>
    <x:row r="33" ht="25" customHeight="1">
      <x:c r="A33" s="383"/>
      <x:c r="B33" s="394"/>
      <x:c r="C33" s="381"/>
      <x:c r="D33" s="381"/>
      <x:c r="E33" s="427"/>
    </x:row>
    <x:row r="34" ht="25" customHeight="1">
      <x:c r="A34" s="395" t="str">
        <x:v>Project debt already in baseline borrowing</x:v>
      </x:c>
      <x:c r="B34" s="396" t="n">
        <x:f>IF(ISNUMBER(Data!B41),Data!B41,NA())</x:f>
        <x:v>1633000000</x:v>
      </x:c>
      <x:c r="C34" s="381"/>
      <x:c r="D34" s="381"/>
      <x:c r="E34" s="427"/>
    </x:row>
    <x:row r="35" ht="25" customHeight="1">
      <x:c r="A35" s="388" t="str">
        <x:v>Vistra Operations principal</x:v>
      </x:c>
      <x:c r="B35" s="389" t="n">
        <x:f>IF(ISNUMBER(Data!B42),Data!B42,NA())</x:f>
        <x:v>18131000000</x:v>
      </x:c>
      <x:c r="C35" s="381"/>
      <x:c r="D35" s="381"/>
      <x:c r="E35" s="427"/>
    </x:row>
    <x:row r="36" ht="25" customHeight="1">
      <x:c r="A36" s="397" t="str">
        <x:v>Calculated long-term principal</x:v>
      </x:c>
      <x:c r="B36" s="398" t="n">
        <x:f>B34+B35</x:f>
        <x:v>19764000000</x:v>
      </x:c>
      <x:c r="C36" s="381"/>
      <x:c r="D36" s="381"/>
      <x:c r="E36" s="427"/>
    </x:row>
    <x:row r="37" ht="25" customHeight="1">
      <x:c r="A37" s="388" t="str">
        <x:v>Less unamortized premiums/discounts/costs</x:v>
      </x:c>
      <x:c r="B37" s="389" t="n">
        <x:f>IF(ISNUMBER(Data!B36),Data!B36,NA())</x:f>
        <x:v>169000000</x:v>
      </x:c>
      <x:c r="C37" s="381"/>
      <x:c r="D37" s="381"/>
      <x:c r="E37" s="427"/>
    </x:row>
    <x:row r="38" ht="25" customHeight="1">
      <x:c r="A38" s="397" t="str">
        <x:v>Calculated long-term carrying debt</x:v>
      </x:c>
      <x:c r="B38" s="398" t="n">
        <x:f>B36-B37</x:f>
        <x:v>19595000000</x:v>
      </x:c>
      <x:c r="C38" s="381"/>
      <x:c r="D38" s="381"/>
      <x:c r="E38" s="427"/>
    </x:row>
    <x:row r="39" ht="25" customHeight="1">
      <x:c r="A39" s="388" t="str">
        <x:v>Reported long-term carrying debt</x:v>
      </x:c>
      <x:c r="B39" s="389" t="n">
        <x:f>IF(ISNUMBER(Data!B35),Data!B35,NA())</x:f>
        <x:v>19595000000</x:v>
      </x:c>
      <x:c r="C39" s="381"/>
      <x:c r="D39" s="381"/>
      <x:c r="E39" s="427"/>
    </x:row>
    <x:row r="40" ht="25" customHeight="1">
      <x:c r="A40" s="388" t="str">
        <x:v>Long-term debt reconciliation difference</x:v>
      </x:c>
      <x:c r="B40" s="399" t="n">
        <x:f>B38-B39</x:f>
        <x:v>0</x:v>
      </x:c>
      <x:c r="C40" s="381"/>
      <x:c r="D40" s="381"/>
      <x:c r="E40" s="427"/>
    </x:row>
    <x:row r="41" ht="25" customHeight="1">
      <x:c r="A41" s="388" t="str">
        <x:v>Receivables financing outstanding</x:v>
      </x:c>
      <x:c r="B41" s="389" t="n">
        <x:f>IF(ISNUMBER(Data!B37),Data!B37,NA())</x:f>
        <x:v>300000000</x:v>
      </x:c>
      <x:c r="C41" s="381"/>
      <x:c r="D41" s="381"/>
      <x:c r="E41" s="427"/>
    </x:row>
    <x:row r="42" ht="25" customHeight="1">
      <x:c r="A42" s="392" t="str">
        <x:v>Baseline gross borrowing</x:v>
      </x:c>
      <x:c r="B42" s="393" t="n">
        <x:f>B38+B41</x:f>
        <x:v>19895000000</x:v>
      </x:c>
      <x:c r="C42" s="381"/>
      <x:c r="D42" s="381"/>
      <x:c r="E42" s="427"/>
    </x:row>
    <x:row r="43" ht="25" customHeight="1">
      <x:c r="A43" s="383"/>
      <x:c r="B43" s="394"/>
      <x:c r="C43" s="381"/>
      <x:c r="D43" s="381"/>
      <x:c r="E43" s="427"/>
    </x:row>
    <x:row r="44" ht="25" customHeight="1">
      <x:c r="A44" s="395" t="str">
        <x:v>Margin cash already posted</x:v>
      </x:c>
      <x:c r="B44" s="396" t="n">
        <x:f>IF(ISNUMBER(Data!B39),Data!B39,NA())</x:f>
        <x:v>1436000000</x:v>
      </x:c>
      <x:c r="C44" s="381"/>
      <x:c r="D44" s="455" t="str">
        <x:v>Posted assets are not extra cash available for repayments.</x:v>
      </x:c>
      <x:c r="E44" s="427"/>
    </x:row>
    <x:row r="45" ht="25" customHeight="1">
      <x:c r="A45" s="400" t="str">
        <x:v>Affiliate-financed assets already posted</x:v>
      </x:c>
      <x:c r="B45" s="454" t="n">
        <x:f>IF(ISNUMBER(Data!B40),Data!B40,NA())</x:f>
        <x:v>438000000</x:v>
      </x:c>
      <x:c r="C45" s="381"/>
      <x:c r="D45" s="381"/>
      <x:c r="E45" s="427"/>
    </x:row>
    <x:row r="46">
      <x:c r="B46" s="456"/>
    </x:row>
    <x:row r="47">
      <x:c r="B47" s="456"/>
    </x:row>
    <x:row r="48">
      <x:c r="B48" s="456"/>
    </x:row>
    <x:row r="49">
      <x:c r="B49" s="456"/>
    </x:row>
    <x:row r="50">
      <x:c r="B50" s="456"/>
    </x:row>
    <x:row r="51">
      <x:c r="B51" s="456"/>
    </x:row>
    <x:row r="52">
      <x:c r="B52" s="456"/>
    </x:row>
    <x:row r="53">
      <x:c r="B53" s="456"/>
    </x:row>
    <x:row r="54">
      <x:c r="B54" s="456"/>
    </x:row>
  </x:sheetData>
  <x:pageMargins left="0.7" right="0.7" top="0.75" bottom="0.75" header="0.3" footer="0.3"/>
</x:worksheet>
</file>

<file path=xl/worksheets/sheet9.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403" t="str">
        <x:v>Input</x:v>
      </x:c>
      <x:c r="B1" s="404" t="str">
        <x:v>USD, displayed millions</x:v>
      </x:c>
      <x:c r="C1" s="404" t="str">
        <x:v>Description</x:v>
      </x:c>
      <x:c r="D1" s="404" t="str">
        <x:v>Period from</x:v>
      </x:c>
      <x:c r="E1" s="404" t="str">
        <x:v>Period through</x:v>
      </x:c>
      <x:c r="F1" s="404" t="str">
        <x:v>Form</x:v>
      </x:c>
      <x:c r="G1" s="404" t="str">
        <x:v>Filed</x:v>
      </x:c>
      <x:c r="H1" s="404" t="str">
        <x:v>Accession</x:v>
      </x:c>
      <x:c r="I1" s="404" t="str">
        <x:v>Tag</x:v>
      </x:c>
      <x:c r="J1" s="404" t="str">
        <x:v>Context</x:v>
      </x:c>
      <x:c r="K1" s="404" t="str">
        <x:v>Dimensions</x:v>
      </x:c>
      <x:c r="L1" s="404" t="str">
        <x:v>Scale</x:v>
      </x:c>
      <x:c r="M1" s="404" t="str">
        <x:v>Decimals</x:v>
      </x:c>
      <x:c r="N1" s="404" t="str">
        <x:v>Source</x:v>
      </x:c>
      <x:c r="O1" s="404" t="str">
        <x:v>Location</x:v>
      </x:c>
      <x:c r="P1" s="404" t="str">
        <x:v>Reason if unavailable</x:v>
      </x:c>
      <x:c r="Q1" s="404" t="str">
        <x:v>Reviewed source SHA256</x:v>
      </x:c>
      <x:c r="R1" s="457" t="str">
        <x:v>Unit and selection rule</x:v>
      </x:c>
    </x:row>
    <x:row r="2" ht="52" customHeight="1">
      <x:c r="A2" s="406" t="str">
        <x:v>ocf</x:v>
      </x:c>
      <x:c r="B2" s="458" t="n">
        <x:v>2222000000</x:v>
      </x:c>
      <x:c r="C2" s="448" t="str">
        <x:v>Operating cash flow</x:v>
      </x:c>
      <x:c r="D2" s="459" t="d">
        <x:v>2026-01-01T00:00:00.000Z</x:v>
      </x:c>
      <x:c r="E2" s="459" t="d">
        <x:v>2026-06-30T00:00:00.000Z</x:v>
      </x:c>
      <x:c r="F2" s="448" t="str">
        <x:v>10-Q</x:v>
      </x:c>
      <x:c r="G2" s="459" t="d">
        <x:v>2026-08-10T00:00:00.000Z</x:v>
      </x:c>
      <x:c r="H2" s="448" t="str">
        <x:v>0001692819-26-000019</x:v>
      </x:c>
      <x:c r="I2" s="448" t="str">
        <x:v>us-gaap:NetCashProvidedByUsedInOperatingActivities</x:v>
      </x:c>
      <x:c r="J2" s="448" t="str">
        <x:v>c-1</x:v>
      </x:c>
      <x:c r="K2" s="448" t="str">
        <x:v>None (consolidated total)</x:v>
      </x:c>
      <x:c r="L2" s="460" t="n">
        <x:v>6</x:v>
      </x:c>
      <x:c r="M2" s="448" t="str">
        <x:v>-6</x:v>
      </x:c>
      <x:c r="N2" s="448" t="str">
        <x:v>https://www.sec.gov/Archives/edgar/data/1692819/000169281926000019/vistra-20260630.htm</x:v>
      </x:c>
      <x:c r="O2" s="448" t="str">
        <x:v>10-Q cash flows, pp. 4–5</x:v>
      </x:c>
      <x:c r="P2" s="461"/>
      <x:c r="Q2" s="461"/>
      <x:c r="R2" s="462"/>
    </x:row>
    <x:row r="3" ht="52" customHeight="1">
      <x:c r="A3" s="406" t="str">
        <x:v>capex</x:v>
      </x:c>
      <x:c r="B3" s="458" t="n">
        <x:v>1572000000</x:v>
      </x:c>
      <x:c r="C3" s="448" t="str">
        <x:v>Capital spending, including nuclear fuel and LTSA prepayments</x:v>
      </x:c>
      <x:c r="D3" s="459" t="d">
        <x:v>2026-01-01T00:00:00.000Z</x:v>
      </x:c>
      <x:c r="E3" s="459" t="d">
        <x:v>2026-06-30T00:00:00.000Z</x:v>
      </x:c>
      <x:c r="F3" s="448" t="str">
        <x:v>10-Q</x:v>
      </x:c>
      <x:c r="G3" s="459" t="d">
        <x:v>2026-08-10T00:00:00.000Z</x:v>
      </x:c>
      <x:c r="H3" s="448" t="str">
        <x:v>0001692819-26-000019</x:v>
      </x:c>
      <x:c r="I3" s="448" t="str">
        <x:v>us-gaap:PaymentsToAcquirePropertyPlantAndEquipment</x:v>
      </x:c>
      <x:c r="J3" s="448" t="str">
        <x:v>c-1</x:v>
      </x:c>
      <x:c r="K3" s="448" t="str">
        <x:v>None (consolidated total)</x:v>
      </x:c>
      <x:c r="L3" s="460" t="n">
        <x:v>6</x:v>
      </x:c>
      <x:c r="M3" s="448" t="str">
        <x:v>-6</x:v>
      </x:c>
      <x:c r="N3" s="448" t="str">
        <x:v>https://www.sec.gov/Archives/edgar/data/1692819/000169281926000019/vistra-20260630.htm</x:v>
      </x:c>
      <x:c r="O3" s="448" t="str">
        <x:v>10-Q cash flows, pp. 4–5</x:v>
      </x:c>
      <x:c r="P3" s="461"/>
      <x:c r="Q3" s="461"/>
      <x:c r="R3" s="462"/>
    </x:row>
    <x:row r="4" ht="52" customHeight="1">
      <x:c r="A4" s="406" t="str">
        <x:v>acquisition_adjustment</x:v>
      </x:c>
      <x:c r="B4" s="458" t="n">
        <x:v>-6000000</x:v>
      </x:c>
      <x:c r="C4" s="448" t="str">
        <x:v>Lotus purchase-price adjustment</x:v>
      </x:c>
      <x:c r="D4" s="459" t="d">
        <x:v>2026-01-01T00:00:00.000Z</x:v>
      </x:c>
      <x:c r="E4" s="459" t="d">
        <x:v>2026-06-30T00:00:00.000Z</x:v>
      </x:c>
      <x:c r="F4" s="448" t="str">
        <x:v>10-Q</x:v>
      </x:c>
      <x:c r="G4" s="459" t="d">
        <x:v>2026-08-10T00:00:00.000Z</x:v>
      </x:c>
      <x:c r="H4" s="448" t="str">
        <x:v>0001692819-26-000019</x:v>
      </x:c>
      <x:c r="I4" s="448" t="str">
        <x:v>us-gaap:PaymentsToAcquireBusinessesNetOfCashAcquired</x:v>
      </x:c>
      <x:c r="J4" s="448" t="str">
        <x:v>c-1</x:v>
      </x:c>
      <x:c r="K4" s="448" t="str">
        <x:v>None (consolidated total)</x:v>
      </x:c>
      <x:c r="L4" s="460" t="n">
        <x:v>6</x:v>
      </x:c>
      <x:c r="M4" s="448" t="str">
        <x:v>-6</x:v>
      </x:c>
      <x:c r="N4" s="448" t="str">
        <x:v>https://www.sec.gov/Archives/edgar/data/1692819/000169281926000019/vistra-20260630.htm</x:v>
      </x:c>
      <x:c r="O4" s="448" t="str">
        <x:v>10-Q cash flows, pp. 4–5</x:v>
      </x:c>
      <x:c r="P4" s="461"/>
      <x:c r="Q4" s="461"/>
      <x:c r="R4" s="462"/>
    </x:row>
    <x:row r="5" ht="52" customHeight="1">
      <x:c r="A5" s="406" t="str">
        <x:v>trust_sales</x:v>
      </x:c>
      <x:c r="B5" s="458" t="n">
        <x:v>3036000000</x:v>
      </x:c>
      <x:c r="C5" s="448" t="str">
        <x:v>Sales of nuclear decommissioning trust securities</x:v>
      </x:c>
      <x:c r="D5" s="459" t="d">
        <x:v>2026-01-01T00:00:00.000Z</x:v>
      </x:c>
      <x:c r="E5" s="459" t="d">
        <x:v>2026-06-30T00:00:00.000Z</x:v>
      </x:c>
      <x:c r="F5" s="448" t="str">
        <x:v>10-Q</x:v>
      </x:c>
      <x:c r="G5" s="459" t="d">
        <x:v>2026-08-10T00:00:00.000Z</x:v>
      </x:c>
      <x:c r="H5" s="448" t="str">
        <x:v>0001692819-26-000019</x:v>
      </x:c>
      <x:c r="I5" s="448" t="str">
        <x:v>us-gaap:ProceedsFromDecommissioningFund</x:v>
      </x:c>
      <x:c r="J5" s="448" t="str">
        <x:v>c-1</x:v>
      </x:c>
      <x:c r="K5" s="448" t="str">
        <x:v>None (consolidated total)</x:v>
      </x:c>
      <x:c r="L5" s="460" t="n">
        <x:v>6</x:v>
      </x:c>
      <x:c r="M5" s="448" t="str">
        <x:v>-6</x:v>
      </x:c>
      <x:c r="N5" s="448" t="str">
        <x:v>https://www.sec.gov/Archives/edgar/data/1692819/000169281926000019/vistra-20260630.htm</x:v>
      </x:c>
      <x:c r="O5" s="448" t="str">
        <x:v>10-Q cash flows, pp. 4–5</x:v>
      </x:c>
      <x:c r="P5" s="461"/>
      <x:c r="Q5" s="461"/>
      <x:c r="R5" s="462"/>
    </x:row>
    <x:row r="6" ht="52" customHeight="1">
      <x:c r="A6" s="406" t="str">
        <x:v>trust_purchases</x:v>
      </x:c>
      <x:c r="B6" s="458" t="n">
        <x:v>3037000000</x:v>
      </x:c>
      <x:c r="C6" s="448" t="str">
        <x:v>Purchases of nuclear decommissioning trust securities</x:v>
      </x:c>
      <x:c r="D6" s="459" t="d">
        <x:v>2026-01-01T00:00:00.000Z</x:v>
      </x:c>
      <x:c r="E6" s="459" t="d">
        <x:v>2026-06-30T00:00:00.000Z</x:v>
      </x:c>
      <x:c r="F6" s="448" t="str">
        <x:v>10-Q</x:v>
      </x:c>
      <x:c r="G6" s="459" t="d">
        <x:v>2026-08-10T00:00:00.000Z</x:v>
      </x:c>
      <x:c r="H6" s="448" t="str">
        <x:v>0001692819-26-000019</x:v>
      </x:c>
      <x:c r="I6" s="448" t="str">
        <x:v>us-gaap:PaymentsToInvestInDecommissioningFund</x:v>
      </x:c>
      <x:c r="J6" s="448" t="str">
        <x:v>c-1</x:v>
      </x:c>
      <x:c r="K6" s="448" t="str">
        <x:v>None (consolidated total)</x:v>
      </x:c>
      <x:c r="L6" s="460" t="n">
        <x:v>6</x:v>
      </x:c>
      <x:c r="M6" s="448" t="str">
        <x:v>-6</x:v>
      </x:c>
      <x:c r="N6" s="448" t="str">
        <x:v>https://www.sec.gov/Archives/edgar/data/1692819/000169281926000019/vistra-20260630.htm</x:v>
      </x:c>
      <x:c r="O6" s="448" t="str">
        <x:v>10-Q cash flows, pp. 4–5</x:v>
      </x:c>
      <x:c r="P6" s="461"/>
      <x:c r="Q6" s="461"/>
      <x:c r="R6" s="462"/>
    </x:row>
    <x:row r="7" ht="52" customHeight="1">
      <x:c r="A7" s="406" t="str">
        <x:v>allowance_sales</x:v>
      </x:c>
      <x:c r="B7" s="458" t="n">
        <x:v>128000000</x:v>
      </x:c>
      <x:c r="C7" s="448" t="str">
        <x:v>Environmental allowance sales</x:v>
      </x:c>
      <x:c r="D7" s="459" t="d">
        <x:v>2026-01-01T00:00:00.000Z</x:v>
      </x:c>
      <x:c r="E7" s="459" t="d">
        <x:v>2026-06-30T00:00:00.000Z</x:v>
      </x:c>
      <x:c r="F7" s="448" t="str">
        <x:v>10-Q</x:v>
      </x:c>
      <x:c r="G7" s="459" t="d">
        <x:v>2026-08-10T00:00:00.000Z</x:v>
      </x:c>
      <x:c r="H7" s="448" t="str">
        <x:v>0001692819-26-000019</x:v>
      </x:c>
      <x:c r="I7" s="448" t="str">
        <x:v>us-gaap:ProceedsFromSaleOfIntangibleAssets</x:v>
      </x:c>
      <x:c r="J7" s="448" t="str">
        <x:v>c-1</x:v>
      </x:c>
      <x:c r="K7" s="448" t="str">
        <x:v>None (consolidated total)</x:v>
      </x:c>
      <x:c r="L7" s="460" t="n">
        <x:v>6</x:v>
      </x:c>
      <x:c r="M7" s="448" t="str">
        <x:v>-6</x:v>
      </x:c>
      <x:c r="N7" s="448" t="str">
        <x:v>https://www.sec.gov/Archives/edgar/data/1692819/000169281926000019/vistra-20260630.htm</x:v>
      </x:c>
      <x:c r="O7" s="448" t="str">
        <x:v>10-Q cash flows, pp. 4–5</x:v>
      </x:c>
      <x:c r="P7" s="461"/>
      <x:c r="Q7" s="461"/>
      <x:c r="R7" s="462"/>
    </x:row>
    <x:row r="8" ht="52" customHeight="1">
      <x:c r="A8" s="406" t="str">
        <x:v>allowance_purchases</x:v>
      </x:c>
      <x:c r="B8" s="458" t="n">
        <x:v>201000000</x:v>
      </x:c>
      <x:c r="C8" s="448" t="str">
        <x:v>Environmental allowance purchases</x:v>
      </x:c>
      <x:c r="D8" s="459" t="d">
        <x:v>2026-01-01T00:00:00.000Z</x:v>
      </x:c>
      <x:c r="E8" s="459" t="d">
        <x:v>2026-06-30T00:00:00.000Z</x:v>
      </x:c>
      <x:c r="F8" s="448" t="str">
        <x:v>10-Q</x:v>
      </x:c>
      <x:c r="G8" s="459" t="d">
        <x:v>2026-08-10T00:00:00.000Z</x:v>
      </x:c>
      <x:c r="H8" s="448" t="str">
        <x:v>0001692819-26-000019</x:v>
      </x:c>
      <x:c r="I8" s="448" t="str">
        <x:v>us-gaap:PaymentsToAcquireIntangibleAssets</x:v>
      </x:c>
      <x:c r="J8" s="448" t="str">
        <x:v>c-1</x:v>
      </x:c>
      <x:c r="K8" s="448" t="str">
        <x:v>None (consolidated total)</x:v>
      </x:c>
      <x:c r="L8" s="460" t="n">
        <x:v>6</x:v>
      </x:c>
      <x:c r="M8" s="448" t="str">
        <x:v>-6</x:v>
      </x:c>
      <x:c r="N8" s="448" t="str">
        <x:v>https://www.sec.gov/Archives/edgar/data/1692819/000169281926000019/vistra-20260630.htm</x:v>
      </x:c>
      <x:c r="O8" s="448" t="str">
        <x:v>10-Q cash flows, pp. 4–5</x:v>
      </x:c>
      <x:c r="P8" s="461"/>
      <x:c r="Q8" s="461"/>
      <x:c r="R8" s="462"/>
    </x:row>
    <x:row r="9" ht="52" customHeight="1">
      <x:c r="A9" s="406" t="str">
        <x:v>insurance</x:v>
      </x:c>
      <x:c r="B9" s="458" t="n">
        <x:v>234000000</x:v>
      </x:c>
      <x:c r="C9" s="448" t="str">
        <x:v>Insurance recovery of damaged property</x:v>
      </x:c>
      <x:c r="D9" s="459" t="d">
        <x:v>2026-01-01T00:00:00.000Z</x:v>
      </x:c>
      <x:c r="E9" s="459" t="d">
        <x:v>2026-06-30T00:00:00.000Z</x:v>
      </x:c>
      <x:c r="F9" s="448" t="str">
        <x:v>10-Q</x:v>
      </x:c>
      <x:c r="G9" s="459" t="d">
        <x:v>2026-08-10T00:00:00.000Z</x:v>
      </x:c>
      <x:c r="H9" s="448" t="str">
        <x:v>0001692819-26-000019</x:v>
      </x:c>
      <x:c r="I9" s="448" t="str">
        <x:v>us-gaap:ProceedsFromInsuranceSettlementInvestingActivities</x:v>
      </x:c>
      <x:c r="J9" s="448" t="str">
        <x:v>c-1</x:v>
      </x:c>
      <x:c r="K9" s="448" t="str">
        <x:v>None (consolidated total)</x:v>
      </x:c>
      <x:c r="L9" s="460" t="n">
        <x:v>6</x:v>
      </x:c>
      <x:c r="M9" s="448" t="str">
        <x:v>-6</x:v>
      </x:c>
      <x:c r="N9" s="448" t="str">
        <x:v>https://www.sec.gov/Archives/edgar/data/1692819/000169281926000019/vistra-20260630.htm</x:v>
      </x:c>
      <x:c r="O9" s="448" t="str">
        <x:v>10-Q cash flows, pp. 4–5</x:v>
      </x:c>
      <x:c r="P9" s="461"/>
      <x:c r="Q9" s="461"/>
      <x:c r="R9" s="462"/>
    </x:row>
    <x:row r="10" ht="52" customHeight="1">
      <x:c r="A10" s="406" t="str">
        <x:v>asset_sales</x:v>
      </x:c>
      <x:c r="B10" s="458" t="n">
        <x:v>50000000</x:v>
      </x:c>
      <x:c r="C10" s="448" t="str">
        <x:v>Sales of property and nuclear fuel</x:v>
      </x:c>
      <x:c r="D10" s="459" t="d">
        <x:v>2026-01-01T00:00:00.000Z</x:v>
      </x:c>
      <x:c r="E10" s="459" t="d">
        <x:v>2026-06-30T00:00:00.000Z</x:v>
      </x:c>
      <x:c r="F10" s="448" t="str">
        <x:v>10-Q</x:v>
      </x:c>
      <x:c r="G10" s="459" t="d">
        <x:v>2026-08-10T00:00:00.000Z</x:v>
      </x:c>
      <x:c r="H10" s="448" t="str">
        <x:v>0001692819-26-000019</x:v>
      </x:c>
      <x:c r="I10" s="448" t="str">
        <x:v>us-gaap:ProceedsFromSaleOfOtherProductiveAssets</x:v>
      </x:c>
      <x:c r="J10" s="448" t="str">
        <x:v>c-1</x:v>
      </x:c>
      <x:c r="K10" s="448" t="str">
        <x:v>None (consolidated total)</x:v>
      </x:c>
      <x:c r="L10" s="460" t="n">
        <x:v>6</x:v>
      </x:c>
      <x:c r="M10" s="448" t="str">
        <x:v>-6</x:v>
      </x:c>
      <x:c r="N10" s="448" t="str">
        <x:v>https://www.sec.gov/Archives/edgar/data/1692819/000169281926000019/vistra-20260630.htm</x:v>
      </x:c>
      <x:c r="O10" s="448" t="str">
        <x:v>10-Q cash flows, pp. 4–5</x:v>
      </x:c>
      <x:c r="P10" s="461"/>
      <x:c r="Q10" s="461"/>
      <x:c r="R10" s="462"/>
    </x:row>
    <x:row r="11" ht="52" customHeight="1">
      <x:c r="A11" s="406" t="str">
        <x:v>other_investing</x:v>
      </x:c>
      <x:c r="B11" s="458" t="n">
        <x:v>-77000000</x:v>
      </x:c>
      <x:c r="C11" s="448" t="str">
        <x:v>Other investing cash flow</x:v>
      </x:c>
      <x:c r="D11" s="459" t="d">
        <x:v>2026-01-01T00:00:00.000Z</x:v>
      </x:c>
      <x:c r="E11" s="459" t="d">
        <x:v>2026-06-30T00:00:00.000Z</x:v>
      </x:c>
      <x:c r="F11" s="448" t="str">
        <x:v>10-Q</x:v>
      </x:c>
      <x:c r="G11" s="459" t="d">
        <x:v>2026-08-10T00:00:00.000Z</x:v>
      </x:c>
      <x:c r="H11" s="448" t="str">
        <x:v>0001692819-26-000019</x:v>
      </x:c>
      <x:c r="I11" s="448" t="str">
        <x:v>us-gaap:PaymentsForProceedsFromOtherInvestingActivities</x:v>
      </x:c>
      <x:c r="J11" s="448" t="str">
        <x:v>c-1</x:v>
      </x:c>
      <x:c r="K11" s="448" t="str">
        <x:v>None (consolidated total)</x:v>
      </x:c>
      <x:c r="L11" s="460" t="n">
        <x:v>6</x:v>
      </x:c>
      <x:c r="M11" s="448" t="str">
        <x:v>-6</x:v>
      </x:c>
      <x:c r="N11" s="448" t="str">
        <x:v>https://www.sec.gov/Archives/edgar/data/1692819/000169281926000019/vistra-20260630.htm</x:v>
      </x:c>
      <x:c r="O11" s="448" t="str">
        <x:v>10-Q cash flows, pp. 4–5</x:v>
      </x:c>
      <x:c r="P11" s="461"/>
      <x:c r="Q11" s="461"/>
      <x:c r="R11" s="462"/>
    </x:row>
    <x:row r="12" ht="52" customHeight="1">
      <x:c r="A12" s="406" t="str">
        <x:v>investing</x:v>
      </x:c>
      <x:c r="B12" s="458" t="n">
        <x:v>-1279000000</x:v>
      </x:c>
      <x:c r="C12" s="448" t="str">
        <x:v>Reported net investing cash flow</x:v>
      </x:c>
      <x:c r="D12" s="459" t="d">
        <x:v>2026-01-01T00:00:00.000Z</x:v>
      </x:c>
      <x:c r="E12" s="459" t="d">
        <x:v>2026-06-30T00:00:00.000Z</x:v>
      </x:c>
      <x:c r="F12" s="448" t="str">
        <x:v>10-Q</x:v>
      </x:c>
      <x:c r="G12" s="459" t="d">
        <x:v>2026-08-10T00:00:00.000Z</x:v>
      </x:c>
      <x:c r="H12" s="448" t="str">
        <x:v>0001692819-26-000019</x:v>
      </x:c>
      <x:c r="I12" s="448" t="str">
        <x:v>us-gaap:NetCashProvidedByUsedInInvestingActivities</x:v>
      </x:c>
      <x:c r="J12" s="448" t="str">
        <x:v>c-1</x:v>
      </x:c>
      <x:c r="K12" s="448" t="str">
        <x:v>None (consolidated total)</x:v>
      </x:c>
      <x:c r="L12" s="460" t="n">
        <x:v>6</x:v>
      </x:c>
      <x:c r="M12" s="448" t="str">
        <x:v>-6</x:v>
      </x:c>
      <x:c r="N12" s="448" t="str">
        <x:v>https://www.sec.gov/Archives/edgar/data/1692819/000169281926000019/vistra-20260630.htm</x:v>
      </x:c>
      <x:c r="O12" s="448" t="str">
        <x:v>10-Q cash flows, pp. 4–5</x:v>
      </x:c>
      <x:c r="P12" s="461"/>
      <x:c r="Q12" s="461"/>
      <x:c r="R12" s="462"/>
    </x:row>
    <x:row r="13" ht="52" customHeight="1">
      <x:c r="A13" s="406" t="str">
        <x:v>debt_issued</x:v>
      </x:c>
      <x:c r="B13" s="458" t="n">
        <x:v>6422000000</x:v>
      </x:c>
      <x:c r="C13" s="448" t="str">
        <x:v>Debt issuance cash proceeds</x:v>
      </x:c>
      <x:c r="D13" s="459" t="d">
        <x:v>2026-01-01T00:00:00.000Z</x:v>
      </x:c>
      <x:c r="E13" s="459" t="d">
        <x:v>2026-06-30T00:00:00.000Z</x:v>
      </x:c>
      <x:c r="F13" s="448" t="str">
        <x:v>10-Q</x:v>
      </x:c>
      <x:c r="G13" s="459" t="d">
        <x:v>2026-08-10T00:00:00.000Z</x:v>
      </x:c>
      <x:c r="H13" s="448" t="str">
        <x:v>0001692819-26-000019</x:v>
      </x:c>
      <x:c r="I13" s="448" t="str">
        <x:v>us-gaap:ProceedsFromIssuanceOfDebt</x:v>
      </x:c>
      <x:c r="J13" s="448" t="str">
        <x:v>c-1</x:v>
      </x:c>
      <x:c r="K13" s="448" t="str">
        <x:v>None (consolidated total)</x:v>
      </x:c>
      <x:c r="L13" s="460" t="n">
        <x:v>6</x:v>
      </x:c>
      <x:c r="M13" s="448" t="str">
        <x:v>-6</x:v>
      </x:c>
      <x:c r="N13" s="448" t="str">
        <x:v>https://www.sec.gov/Archives/edgar/data/1692819/000169281926000019/vistra-20260630.htm</x:v>
      </x:c>
      <x:c r="O13" s="448" t="str">
        <x:v>10-Q cash flows, pp. 4–5</x:v>
      </x:c>
      <x:c r="P13" s="461"/>
      <x:c r="Q13" s="461"/>
      <x:c r="R13" s="462"/>
    </x:row>
    <x:row r="14" ht="52" customHeight="1">
      <x:c r="A14" s="406" t="str">
        <x:v>debt_repaid</x:v>
      </x:c>
      <x:c r="B14" s="458" t="n">
        <x:v>3859000000</x:v>
      </x:c>
      <x:c r="C14" s="448" t="str">
        <x:v>Debt repayments and repurchases</x:v>
      </x:c>
      <x:c r="D14" s="459" t="d">
        <x:v>2026-01-01T00:00:00.000Z</x:v>
      </x:c>
      <x:c r="E14" s="459" t="d">
        <x:v>2026-06-30T00:00:00.000Z</x:v>
      </x:c>
      <x:c r="F14" s="448" t="str">
        <x:v>10-Q</x:v>
      </x:c>
      <x:c r="G14" s="459" t="d">
        <x:v>2026-08-10T00:00:00.000Z</x:v>
      </x:c>
      <x:c r="H14" s="448" t="str">
        <x:v>0001692819-26-000019</x:v>
      </x:c>
      <x:c r="I14" s="448" t="str">
        <x:v>us-gaap:RepaymentsOfLongTermDebt</x:v>
      </x:c>
      <x:c r="J14" s="448" t="str">
        <x:v>c-1</x:v>
      </x:c>
      <x:c r="K14" s="448" t="str">
        <x:v>None (consolidated total)</x:v>
      </x:c>
      <x:c r="L14" s="460" t="n">
        <x:v>6</x:v>
      </x:c>
      <x:c r="M14" s="448" t="str">
        <x:v>-6</x:v>
      </x:c>
      <x:c r="N14" s="448" t="str">
        <x:v>https://www.sec.gov/Archives/edgar/data/1692819/000169281926000019/vistra-20260630.htm</x:v>
      </x:c>
      <x:c r="O14" s="448" t="str">
        <x:v>10-Q cash flows, pp. 4–5</x:v>
      </x:c>
      <x:c r="P14" s="461"/>
      <x:c r="Q14" s="461"/>
      <x:c r="R14" s="462"/>
    </x:row>
    <x:row r="15" ht="52" customHeight="1">
      <x:c r="A15" s="406" t="str">
        <x:v>receivables_net</x:v>
      </x:c>
      <x:c r="B15" s="458" t="n">
        <x:v>-925000000</x:v>
      </x:c>
      <x:c r="C15" s="448" t="str">
        <x:v>Receivables financing, net repayments</x:v>
      </x:c>
      <x:c r="D15" s="459" t="d">
        <x:v>2026-01-01T00:00:00.000Z</x:v>
      </x:c>
      <x:c r="E15" s="459" t="d">
        <x:v>2026-06-30T00:00:00.000Z</x:v>
      </x:c>
      <x:c r="F15" s="448" t="str">
        <x:v>10-Q</x:v>
      </x:c>
      <x:c r="G15" s="459" t="d">
        <x:v>2026-08-10T00:00:00.000Z</x:v>
      </x:c>
      <x:c r="H15" s="448" t="str">
        <x:v>0001692819-26-000019</x:v>
      </x:c>
      <x:c r="I15" s="448" t="str">
        <x:v>vistra:ProceedsFromRepaymentsOfAccountsReceivableFinancing</x:v>
      </x:c>
      <x:c r="J15" s="448" t="str">
        <x:v>c-1</x:v>
      </x:c>
      <x:c r="K15" s="448" t="str">
        <x:v>None (consolidated total)</x:v>
      </x:c>
      <x:c r="L15" s="460" t="n">
        <x:v>6</x:v>
      </x:c>
      <x:c r="M15" s="448" t="str">
        <x:v>-6</x:v>
      </x:c>
      <x:c r="N15" s="448" t="str">
        <x:v>https://www.sec.gov/Archives/edgar/data/1692819/000169281926000019/vistra-20260630.htm</x:v>
      </x:c>
      <x:c r="O15" s="448" t="str">
        <x:v>10-Q cash flows, pp. 4–5</x:v>
      </x:c>
      <x:c r="P15" s="461"/>
      <x:c r="Q15" s="461"/>
      <x:c r="R15" s="462"/>
    </x:row>
    <x:row r="16" ht="52" customHeight="1">
      <x:c r="A16" s="406" t="str">
        <x:v>revolver_draws</x:v>
      </x:c>
      <x:c r="B16" s="458" t="n">
        <x:v>400000000</x:v>
      </x:c>
      <x:c r="C16" s="448" t="str">
        <x:v>Revolver borrowings</x:v>
      </x:c>
      <x:c r="D16" s="459" t="d">
        <x:v>2026-01-01T00:00:00.000Z</x:v>
      </x:c>
      <x:c r="E16" s="459" t="d">
        <x:v>2026-06-30T00:00:00.000Z</x:v>
      </x:c>
      <x:c r="F16" s="448" t="str">
        <x:v>10-Q</x:v>
      </x:c>
      <x:c r="G16" s="459" t="d">
        <x:v>2026-08-10T00:00:00.000Z</x:v>
      </x:c>
      <x:c r="H16" s="448" t="str">
        <x:v>0001692819-26-000019</x:v>
      </x:c>
      <x:c r="I16" s="448" t="str">
        <x:v>us-gaap:ProceedsFromLinesOfCredit</x:v>
      </x:c>
      <x:c r="J16" s="448" t="str">
        <x:v>c-1</x:v>
      </x:c>
      <x:c r="K16" s="448" t="str">
        <x:v>None (consolidated total)</x:v>
      </x:c>
      <x:c r="L16" s="460" t="n">
        <x:v>6</x:v>
      </x:c>
      <x:c r="M16" s="448" t="str">
        <x:v>-6</x:v>
      </x:c>
      <x:c r="N16" s="448" t="str">
        <x:v>https://www.sec.gov/Archives/edgar/data/1692819/000169281926000019/vistra-20260630.htm</x:v>
      </x:c>
      <x:c r="O16" s="448" t="str">
        <x:v>10-Q cash flows, pp. 4–5</x:v>
      </x:c>
      <x:c r="P16" s="461"/>
      <x:c r="Q16" s="461"/>
      <x:c r="R16" s="462"/>
    </x:row>
    <x:row r="17" ht="52" customHeight="1">
      <x:c r="A17" s="406" t="str">
        <x:v>revolver_repaid</x:v>
      </x:c>
      <x:c r="B17" s="458" t="n">
        <x:v>780000000</x:v>
      </x:c>
      <x:c r="C17" s="448" t="str">
        <x:v>Revolver repayments</x:v>
      </x:c>
      <x:c r="D17" s="459" t="d">
        <x:v>2026-01-01T00:00:00.000Z</x:v>
      </x:c>
      <x:c r="E17" s="459" t="d">
        <x:v>2026-06-30T00:00:00.000Z</x:v>
      </x:c>
      <x:c r="F17" s="448" t="str">
        <x:v>10-Q</x:v>
      </x:c>
      <x:c r="G17" s="459" t="d">
        <x:v>2026-08-10T00:00:00.000Z</x:v>
      </x:c>
      <x:c r="H17" s="448" t="str">
        <x:v>0001692819-26-000019</x:v>
      </x:c>
      <x:c r="I17" s="448" t="str">
        <x:v>us-gaap:RepaymentsOfLinesOfCredit</x:v>
      </x:c>
      <x:c r="J17" s="448" t="str">
        <x:v>c-1</x:v>
      </x:c>
      <x:c r="K17" s="448" t="str">
        <x:v>None (consolidated total)</x:v>
      </x:c>
      <x:c r="L17" s="460" t="n">
        <x:v>6</x:v>
      </x:c>
      <x:c r="M17" s="448" t="str">
        <x:v>-6</x:v>
      </x:c>
      <x:c r="N17" s="448" t="str">
        <x:v>https://www.sec.gov/Archives/edgar/data/1692819/000169281926000019/vistra-20260630.htm</x:v>
      </x:c>
      <x:c r="O17" s="448" t="str">
        <x:v>10-Q cash flows, pp. 4–5</x:v>
      </x:c>
      <x:c r="P17" s="461"/>
      <x:c r="Q17" s="461"/>
      <x:c r="R17" s="462"/>
    </x:row>
    <x:row r="18" ht="52" customHeight="1">
      <x:c r="A18" s="406" t="str">
        <x:v>commodity_draws</x:v>
      </x:c>
      <x:c r="B18" s="458" t="n">
        <x:v>0</x:v>
      </x:c>
      <x:c r="C18" s="448" t="str">
        <x:v>Commodity-linked borrowings</x:v>
      </x:c>
      <x:c r="D18" s="459" t="d">
        <x:v>2026-01-01T00:00:00.000Z</x:v>
      </x:c>
      <x:c r="E18" s="459" t="d">
        <x:v>2026-06-30T00:00:00.000Z</x:v>
      </x:c>
      <x:c r="F18" s="448" t="str">
        <x:v>10-Q</x:v>
      </x:c>
      <x:c r="G18" s="459" t="d">
        <x:v>2026-08-10T00:00:00.000Z</x:v>
      </x:c>
      <x:c r="H18" s="448" t="str">
        <x:v>0001692819-26-000019</x:v>
      </x:c>
      <x:c r="I18" s="448" t="str">
        <x:v>us-gaap:ProceedsFromShortTermDebt</x:v>
      </x:c>
      <x:c r="J18" s="448" t="str">
        <x:v>c-1</x:v>
      </x:c>
      <x:c r="K18" s="448" t="str">
        <x:v>None (consolidated total)</x:v>
      </x:c>
      <x:c r="L18" s="460" t="n">
        <x:v>6</x:v>
      </x:c>
      <x:c r="M18" s="448" t="str">
        <x:v>-6</x:v>
      </x:c>
      <x:c r="N18" s="448" t="str">
        <x:v>https://www.sec.gov/Archives/edgar/data/1692819/000169281926000019/vistra-20260630.htm</x:v>
      </x:c>
      <x:c r="O18" s="448" t="str">
        <x:v>10-Q cash flows, pp. 4–5</x:v>
      </x:c>
      <x:c r="P18" s="461"/>
      <x:c r="Q18" s="461"/>
      <x:c r="R18" s="462"/>
    </x:row>
    <x:row r="19" ht="52" customHeight="1">
      <x:c r="A19" s="406" t="str">
        <x:v>commodity_repaid</x:v>
      </x:c>
      <x:c r="B19" s="458" t="n">
        <x:v>1420000000</x:v>
      </x:c>
      <x:c r="C19" s="448" t="str">
        <x:v>Commodity-linked repayments</x:v>
      </x:c>
      <x:c r="D19" s="459" t="d">
        <x:v>2026-01-01T00:00:00.000Z</x:v>
      </x:c>
      <x:c r="E19" s="459" t="d">
        <x:v>2026-06-30T00:00:00.000Z</x:v>
      </x:c>
      <x:c r="F19" s="448" t="str">
        <x:v>10-Q</x:v>
      </x:c>
      <x:c r="G19" s="459" t="d">
        <x:v>2026-08-10T00:00:00.000Z</x:v>
      </x:c>
      <x:c r="H19" s="448" t="str">
        <x:v>0001692819-26-000019</x:v>
      </x:c>
      <x:c r="I19" s="448" t="str">
        <x:v>us-gaap:RepaymentsOfShortTermDebt</x:v>
      </x:c>
      <x:c r="J19" s="448" t="str">
        <x:v>c-1</x:v>
      </x:c>
      <x:c r="K19" s="448" t="str">
        <x:v>None (consolidated total)</x:v>
      </x:c>
      <x:c r="L19" s="460" t="n">
        <x:v>6</x:v>
      </x:c>
      <x:c r="M19" s="448" t="str">
        <x:v>-6</x:v>
      </x:c>
      <x:c r="N19" s="448" t="str">
        <x:v>https://www.sec.gov/Archives/edgar/data/1692819/000169281926000019/vistra-20260630.htm</x:v>
      </x:c>
      <x:c r="O19" s="448" t="str">
        <x:v>10-Q cash flows, pp. 4–5</x:v>
      </x:c>
      <x:c r="P19" s="461"/>
      <x:c r="Q19" s="461"/>
      <x:c r="R19" s="462"/>
    </x:row>
    <x:row r="20" ht="52" customHeight="1">
      <x:c r="A20" s="406" t="str">
        <x:v>fees</x:v>
      </x:c>
      <x:c r="B20" s="458" t="n">
        <x:v>72000000</x:v>
      </x:c>
      <x:c r="C20" s="448" t="str">
        <x:v>Debt issuance costs paid</x:v>
      </x:c>
      <x:c r="D20" s="459" t="d">
        <x:v>2026-01-01T00:00:00.000Z</x:v>
      </x:c>
      <x:c r="E20" s="459" t="d">
        <x:v>2026-06-30T00:00:00.000Z</x:v>
      </x:c>
      <x:c r="F20" s="448" t="str">
        <x:v>10-Q</x:v>
      </x:c>
      <x:c r="G20" s="459" t="d">
        <x:v>2026-08-10T00:00:00.000Z</x:v>
      </x:c>
      <x:c r="H20" s="448" t="str">
        <x:v>0001692819-26-000019</x:v>
      </x:c>
      <x:c r="I20" s="448" t="str">
        <x:v>us-gaap:PaymentsOfFinancingCosts</x:v>
      </x:c>
      <x:c r="J20" s="448" t="str">
        <x:v>c-1</x:v>
      </x:c>
      <x:c r="K20" s="448" t="str">
        <x:v>None (consolidated total)</x:v>
      </x:c>
      <x:c r="L20" s="460" t="n">
        <x:v>6</x:v>
      </x:c>
      <x:c r="M20" s="448" t="str">
        <x:v>-6</x:v>
      </x:c>
      <x:c r="N20" s="448" t="str">
        <x:v>https://www.sec.gov/Archives/edgar/data/1692819/000169281926000019/vistra-20260630.htm</x:v>
      </x:c>
      <x:c r="O20" s="448" t="str">
        <x:v>10-Q cash flows, pp. 4–5</x:v>
      </x:c>
      <x:c r="P20" s="461"/>
      <x:c r="Q20" s="461"/>
      <x:c r="R20" s="462"/>
    </x:row>
    <x:row r="21" ht="52" customHeight="1">
      <x:c r="A21" s="406" t="str">
        <x:v>buybacks</x:v>
      </x:c>
      <x:c r="B21" s="458" t="n">
        <x:v>709000000</x:v>
      </x:c>
      <x:c r="C21" s="448" t="str">
        <x:v>Stock repurchases</x:v>
      </x:c>
      <x:c r="D21" s="459" t="d">
        <x:v>2026-01-01T00:00:00.000Z</x:v>
      </x:c>
      <x:c r="E21" s="459" t="d">
        <x:v>2026-06-30T00:00:00.000Z</x:v>
      </x:c>
      <x:c r="F21" s="448" t="str">
        <x:v>10-Q</x:v>
      </x:c>
      <x:c r="G21" s="459" t="d">
        <x:v>2026-08-10T00:00:00.000Z</x:v>
      </x:c>
      <x:c r="H21" s="448" t="str">
        <x:v>0001692819-26-000019</x:v>
      </x:c>
      <x:c r="I21" s="448" t="str">
        <x:v>us-gaap:PaymentsForRepurchaseOfCommonStock</x:v>
      </x:c>
      <x:c r="J21" s="448" t="str">
        <x:v>c-1</x:v>
      </x:c>
      <x:c r="K21" s="448" t="str">
        <x:v>None (consolidated total)</x:v>
      </x:c>
      <x:c r="L21" s="460" t="n">
        <x:v>6</x:v>
      </x:c>
      <x:c r="M21" s="448" t="str">
        <x:v>-6</x:v>
      </x:c>
      <x:c r="N21" s="448" t="str">
        <x:v>https://www.sec.gov/Archives/edgar/data/1692819/000169281926000019/vistra-20260630.htm</x:v>
      </x:c>
      <x:c r="O21" s="448" t="str">
        <x:v>10-Q cash flows, pp. 4–5</x:v>
      </x:c>
      <x:c r="P21" s="461"/>
      <x:c r="Q21" s="461"/>
      <x:c r="R21" s="462"/>
    </x:row>
    <x:row r="22" ht="52" customHeight="1">
      <x:c r="A22" s="406" t="str">
        <x:v>common_dividends</x:v>
      </x:c>
      <x:c r="B22" s="458" t="n">
        <x:v>154000000</x:v>
      </x:c>
      <x:c r="C22" s="448" t="str">
        <x:v>Common dividends paid</x:v>
      </x:c>
      <x:c r="D22" s="459" t="d">
        <x:v>2026-01-01T00:00:00.000Z</x:v>
      </x:c>
      <x:c r="E22" s="459" t="d">
        <x:v>2026-06-30T00:00:00.000Z</x:v>
      </x:c>
      <x:c r="F22" s="448" t="str">
        <x:v>10-Q</x:v>
      </x:c>
      <x:c r="G22" s="459" t="d">
        <x:v>2026-08-10T00:00:00.000Z</x:v>
      </x:c>
      <x:c r="H22" s="448" t="str">
        <x:v>0001692819-26-000019</x:v>
      </x:c>
      <x:c r="I22" s="448" t="str">
        <x:v>us-gaap:PaymentsOfDividendsCommonStock</x:v>
      </x:c>
      <x:c r="J22" s="448" t="str">
        <x:v>c-1</x:v>
      </x:c>
      <x:c r="K22" s="448" t="str">
        <x:v>None (consolidated total)</x:v>
      </x:c>
      <x:c r="L22" s="460" t="n">
        <x:v>6</x:v>
      </x:c>
      <x:c r="M22" s="448" t="str">
        <x:v>-6</x:v>
      </x:c>
      <x:c r="N22" s="448" t="str">
        <x:v>https://www.sec.gov/Archives/edgar/data/1692819/000169281926000019/vistra-20260630.htm</x:v>
      </x:c>
      <x:c r="O22" s="448" t="str">
        <x:v>10-Q cash flows, pp. 4–5</x:v>
      </x:c>
      <x:c r="P22" s="461"/>
      <x:c r="Q22" s="461"/>
      <x:c r="R22" s="462"/>
    </x:row>
    <x:row r="23" ht="52" customHeight="1">
      <x:c r="A23" s="406" t="str">
        <x:v>preferred_dividends</x:v>
      </x:c>
      <x:c r="B23" s="458" t="n">
        <x:v>96000000</x:v>
      </x:c>
      <x:c r="C23" s="448" t="str">
        <x:v>Preferred dividends paid</x:v>
      </x:c>
      <x:c r="D23" s="459" t="d">
        <x:v>2026-01-01T00:00:00.000Z</x:v>
      </x:c>
      <x:c r="E23" s="459" t="d">
        <x:v>2026-06-30T00:00:00.000Z</x:v>
      </x:c>
      <x:c r="F23" s="448" t="str">
        <x:v>10-Q</x:v>
      </x:c>
      <x:c r="G23" s="459" t="d">
        <x:v>2026-08-10T00:00:00.000Z</x:v>
      </x:c>
      <x:c r="H23" s="448" t="str">
        <x:v>0001692819-26-000019</x:v>
      </x:c>
      <x:c r="I23" s="448" t="str">
        <x:v>us-gaap:PaymentsOfDividendsPreferredStockAndPreferenceStock</x:v>
      </x:c>
      <x:c r="J23" s="448" t="str">
        <x:v>c-1</x:v>
      </x:c>
      <x:c r="K23" s="448" t="str">
        <x:v>None (consolidated total)</x:v>
      </x:c>
      <x:c r="L23" s="460" t="n">
        <x:v>6</x:v>
      </x:c>
      <x:c r="M23" s="448" t="str">
        <x:v>-6</x:v>
      </x:c>
      <x:c r="N23" s="448" t="str">
        <x:v>https://www.sec.gov/Archives/edgar/data/1692819/000169281926000019/vistra-20260630.htm</x:v>
      </x:c>
      <x:c r="O23" s="448" t="str">
        <x:v>10-Q cash flows, pp. 4–5</x:v>
      </x:c>
      <x:c r="P23" s="461"/>
      <x:c r="Q23" s="461"/>
      <x:c r="R23" s="462"/>
    </x:row>
    <x:row r="24" ht="52" customHeight="1">
      <x:c r="A24" s="406" t="str">
        <x:v>withholding</x:v>
      </x:c>
      <x:c r="B24" s="458" t="n">
        <x:v>69000000</x:v>
      </x:c>
      <x:c r="C24" s="448" t="str">
        <x:v>Share compensation tax withholding</x:v>
      </x:c>
      <x:c r="D24" s="459" t="d">
        <x:v>2026-01-01T00:00:00.000Z</x:v>
      </x:c>
      <x:c r="E24" s="459" t="d">
        <x:v>2026-06-30T00:00:00.000Z</x:v>
      </x:c>
      <x:c r="F24" s="448" t="str">
        <x:v>10-Q</x:v>
      </x:c>
      <x:c r="G24" s="459" t="d">
        <x:v>2026-08-10T00:00:00.000Z</x:v>
      </x:c>
      <x:c r="H24" s="448" t="str">
        <x:v>0001692819-26-000019</x:v>
      </x:c>
      <x:c r="I24" s="448" t="str">
        <x:v>us-gaap:PaymentsRelatedToTaxWithholdingForShareBasedCompensation</x:v>
      </x:c>
      <x:c r="J24" s="448" t="str">
        <x:v>c-1</x:v>
      </x:c>
      <x:c r="K24" s="448" t="str">
        <x:v>None (consolidated total)</x:v>
      </x:c>
      <x:c r="L24" s="460" t="n">
        <x:v>6</x:v>
      </x:c>
      <x:c r="M24" s="448" t="str">
        <x:v>-6</x:v>
      </x:c>
      <x:c r="N24" s="448" t="str">
        <x:v>https://www.sec.gov/Archives/edgar/data/1692819/000169281926000019/vistra-20260630.htm</x:v>
      </x:c>
      <x:c r="O24" s="448" t="str">
        <x:v>10-Q cash flows, pp. 4–5</x:v>
      </x:c>
      <x:c r="P24" s="461"/>
      <x:c r="Q24" s="461"/>
      <x:c r="R24" s="462"/>
    </x:row>
    <x:row r="25" ht="52" customHeight="1">
      <x:c r="A25" s="406" t="str">
        <x:v>nuveen_principal_paid</x:v>
      </x:c>
      <x:c r="B25" s="458" t="n">
        <x:v>19000000</x:v>
      </x:c>
      <x:c r="C25" s="448" t="str">
        <x:v>Nuveen principal paid</x:v>
      </x:c>
      <x:c r="D25" s="459" t="d">
        <x:v>2026-01-01T00:00:00.000Z</x:v>
      </x:c>
      <x:c r="E25" s="459" t="d">
        <x:v>2026-06-30T00:00:00.000Z</x:v>
      </x:c>
      <x:c r="F25" s="448" t="str">
        <x:v>10-Q</x:v>
      </x:c>
      <x:c r="G25" s="459" t="d">
        <x:v>2026-08-10T00:00:00.000Z</x:v>
      </x:c>
      <x:c r="H25" s="448" t="str">
        <x:v>0001692819-26-000019</x:v>
      </x:c>
      <x:c r="I25" s="448" t="str">
        <x:v>vistra:RedeemableNoncontrollingInterestPrincipalPayment</x:v>
      </x:c>
      <x:c r="J25" s="448" t="str">
        <x:v>c-1</x:v>
      </x:c>
      <x:c r="K25" s="448" t="str">
        <x:v>None (consolidated total)</x:v>
      </x:c>
      <x:c r="L25" s="460" t="n">
        <x:v>6</x:v>
      </x:c>
      <x:c r="M25" s="448" t="str">
        <x:v>-6</x:v>
      </x:c>
      <x:c r="N25" s="448" t="str">
        <x:v>https://www.sec.gov/Archives/edgar/data/1692819/000169281926000019/vistra-20260630.htm</x:v>
      </x:c>
      <x:c r="O25" s="448" t="str">
        <x:v>10-Q cash flows, pp. 4–5</x:v>
      </x:c>
      <x:c r="P25" s="461"/>
      <x:c r="Q25" s="461"/>
      <x:c r="R25" s="462"/>
    </x:row>
    <x:row r="26" ht="52" customHeight="1">
      <x:c r="A26" s="406" t="str">
        <x:v>other_financing</x:v>
      </x:c>
      <x:c r="B26" s="458" t="n">
        <x:v>-3000000</x:v>
      </x:c>
      <x:c r="C26" s="448" t="str">
        <x:v>Other financing cash flow</x:v>
      </x:c>
      <x:c r="D26" s="459" t="d">
        <x:v>2026-01-01T00:00:00.000Z</x:v>
      </x:c>
      <x:c r="E26" s="459" t="d">
        <x:v>2026-06-30T00:00:00.000Z</x:v>
      </x:c>
      <x:c r="F26" s="448" t="str">
        <x:v>10-Q</x:v>
      </x:c>
      <x:c r="G26" s="459" t="d">
        <x:v>2026-08-10T00:00:00.000Z</x:v>
      </x:c>
      <x:c r="H26" s="448" t="str">
        <x:v>0001692819-26-000019</x:v>
      </x:c>
      <x:c r="I26" s="448" t="str">
        <x:v>us-gaap:ProceedsFromPaymentsForOtherFinancingActivities</x:v>
      </x:c>
      <x:c r="J26" s="448" t="str">
        <x:v>c-1</x:v>
      </x:c>
      <x:c r="K26" s="448" t="str">
        <x:v>None (consolidated total)</x:v>
      </x:c>
      <x:c r="L26" s="460" t="n">
        <x:v>6</x:v>
      </x:c>
      <x:c r="M26" s="448" t="str">
        <x:v>-6</x:v>
      </x:c>
      <x:c r="N26" s="448" t="str">
        <x:v>https://www.sec.gov/Archives/edgar/data/1692819/000169281926000019/vistra-20260630.htm</x:v>
      </x:c>
      <x:c r="O26" s="448" t="str">
        <x:v>10-Q cash flows, pp. 4–5</x:v>
      </x:c>
      <x:c r="P26" s="461"/>
      <x:c r="Q26" s="461"/>
      <x:c r="R26" s="462"/>
    </x:row>
    <x:row r="27" ht="52" customHeight="1">
      <x:c r="A27" s="406" t="str">
        <x:v>financing</x:v>
      </x:c>
      <x:c r="B27" s="458" t="n">
        <x:v>-1284000000</x:v>
      </x:c>
      <x:c r="C27" s="448" t="str">
        <x:v>Reported net financing cash flow</x:v>
      </x:c>
      <x:c r="D27" s="459" t="d">
        <x:v>2026-01-01T00:00:00.000Z</x:v>
      </x:c>
      <x:c r="E27" s="459" t="d">
        <x:v>2026-06-30T00:00:00.000Z</x:v>
      </x:c>
      <x:c r="F27" s="448" t="str">
        <x:v>10-Q</x:v>
      </x:c>
      <x:c r="G27" s="459" t="d">
        <x:v>2026-08-10T00:00:00.000Z</x:v>
      </x:c>
      <x:c r="H27" s="448" t="str">
        <x:v>0001692819-26-000019</x:v>
      </x:c>
      <x:c r="I27" s="448" t="str">
        <x:v>us-gaap:NetCashProvidedByUsedInFinancingActivities</x:v>
      </x:c>
      <x:c r="J27" s="448" t="str">
        <x:v>c-1</x:v>
      </x:c>
      <x:c r="K27" s="448" t="str">
        <x:v>None (consolidated total)</x:v>
      </x:c>
      <x:c r="L27" s="460" t="n">
        <x:v>6</x:v>
      </x:c>
      <x:c r="M27" s="448" t="str">
        <x:v>-6</x:v>
      </x:c>
      <x:c r="N27" s="448" t="str">
        <x:v>https://www.sec.gov/Archives/edgar/data/1692819/000169281926000019/vistra-20260630.htm</x:v>
      </x:c>
      <x:c r="O27" s="448" t="str">
        <x:v>10-Q cash flows, pp. 4–5</x:v>
      </x:c>
      <x:c r="P27" s="461"/>
      <x:c r="Q27" s="461"/>
      <x:c r="R27" s="462"/>
    </x:row>
    <x:row r="28" ht="52" customHeight="1">
      <x:c r="A28" s="406" t="str">
        <x:v>change</x:v>
      </x:c>
      <x:c r="B28" s="458" t="n">
        <x:v>-341000000</x:v>
      </x:c>
      <x:c r="C28" s="448" t="str">
        <x:v>Reported cash change including restricted cash</x:v>
      </x:c>
      <x:c r="D28" s="459" t="d">
        <x:v>2026-01-01T00:00:00.000Z</x:v>
      </x:c>
      <x:c r="E28" s="459" t="d">
        <x:v>2026-06-30T00:00:00.000Z</x:v>
      </x:c>
      <x:c r="F28" s="448" t="str">
        <x:v>10-Q</x:v>
      </x:c>
      <x:c r="G28" s="459" t="d">
        <x:v>2026-08-10T00:00:00.000Z</x:v>
      </x:c>
      <x:c r="H28" s="448" t="str">
        <x:v>0001692819-26-000019</x:v>
      </x:c>
      <x:c r="I28" s="448" t="str">
        <x:v>us-gaap:CashCashEquivalentsRestrictedCashAndRestrictedCashEquivalentsPeriodIncreaseDecreaseIncludingExchangeRateEffect</x:v>
      </x:c>
      <x:c r="J28" s="448" t="str">
        <x:v>c-1</x:v>
      </x:c>
      <x:c r="K28" s="448" t="str">
        <x:v>None (consolidated total)</x:v>
      </x:c>
      <x:c r="L28" s="460" t="n">
        <x:v>6</x:v>
      </x:c>
      <x:c r="M28" s="448" t="str">
        <x:v>-6</x:v>
      </x:c>
      <x:c r="N28" s="448" t="str">
        <x:v>https://www.sec.gov/Archives/edgar/data/1692819/000169281926000019/vistra-20260630.htm</x:v>
      </x:c>
      <x:c r="O28" s="448" t="str">
        <x:v>10-Q cash flows, pp. 4–5</x:v>
      </x:c>
      <x:c r="P28" s="461"/>
      <x:c r="Q28" s="461"/>
      <x:c r="R28" s="462"/>
    </x:row>
    <x:row r="29" ht="52" customHeight="1">
      <x:c r="A29" s="406" t="str">
        <x:v>opening_total</x:v>
      </x:c>
      <x:c r="B29" s="458" t="n">
        <x:v>822000000</x:v>
      </x:c>
      <x:c r="C29" s="448" t="str">
        <x:v>Opening cash including restricted cash</x:v>
      </x:c>
      <x:c r="D29" s="463"/>
      <x:c r="E29" s="459" t="d">
        <x:v>2025-12-31T00:00:00.000Z</x:v>
      </x:c>
      <x:c r="F29" s="448" t="str">
        <x:v>10-Q</x:v>
      </x:c>
      <x:c r="G29" s="459" t="d">
        <x:v>2026-08-10T00:00:00.000Z</x:v>
      </x:c>
      <x:c r="H29" s="448" t="str">
        <x:v>0001692819-26-000019</x:v>
      </x:c>
      <x:c r="I29" s="448" t="str">
        <x:v>us-gaap:CashCashEquivalentsRestrictedCashAndRestrictedCashEquivalents</x:v>
      </x:c>
      <x:c r="J29" s="448" t="str">
        <x:v>c-9</x:v>
      </x:c>
      <x:c r="K29" s="448" t="str">
        <x:v>None (consolidated total)</x:v>
      </x:c>
      <x:c r="L29" s="460" t="n">
        <x:v>6</x:v>
      </x:c>
      <x:c r="M29" s="448" t="str">
        <x:v>-6</x:v>
      </x:c>
      <x:c r="N29" s="448" t="str">
        <x:v>https://www.sec.gov/Archives/edgar/data/1692819/000169281926000019/vistra-20260630.htm</x:v>
      </x:c>
      <x:c r="O29" s="448" t="str">
        <x:v>10-Q balance sheet p. 2; cash flows p. 5; Note 12</x:v>
      </x:c>
      <x:c r="P29" s="461"/>
      <x:c r="Q29" s="461"/>
      <x:c r="R29" s="462"/>
    </x:row>
    <x:row r="30" ht="52" customHeight="1">
      <x:c r="A30" s="406" t="str">
        <x:v>closing_total</x:v>
      </x:c>
      <x:c r="B30" s="458" t="n">
        <x:v>481000000</x:v>
      </x:c>
      <x:c r="C30" s="448" t="str">
        <x:v>Ending cash including restricted cash</x:v>
      </x:c>
      <x:c r="D30" s="463"/>
      <x:c r="E30" s="459" t="d">
        <x:v>2026-06-30T00:00:00.000Z</x:v>
      </x:c>
      <x:c r="F30" s="448" t="str">
        <x:v>10-Q</x:v>
      </x:c>
      <x:c r="G30" s="459" t="d">
        <x:v>2026-08-10T00:00:00.000Z</x:v>
      </x:c>
      <x:c r="H30" s="448" t="str">
        <x:v>0001692819-26-000019</x:v>
      </x:c>
      <x:c r="I30" s="448" t="str">
        <x:v>us-gaap:CashCashEquivalentsRestrictedCashAndRestrictedCashEquivalents</x:v>
      </x:c>
      <x:c r="J30" s="448" t="str">
        <x:v>c-8</x:v>
      </x:c>
      <x:c r="K30" s="448" t="str">
        <x:v>None (consolidated total)</x:v>
      </x:c>
      <x:c r="L30" s="460" t="n">
        <x:v>6</x:v>
      </x:c>
      <x:c r="M30" s="448" t="str">
        <x:v>-6</x:v>
      </x:c>
      <x:c r="N30" s="448" t="str">
        <x:v>https://www.sec.gov/Archives/edgar/data/1692819/000169281926000019/vistra-20260630.htm</x:v>
      </x:c>
      <x:c r="O30" s="448" t="str">
        <x:v>10-Q balance sheet p. 2; cash flows p. 5; Note 12</x:v>
      </x:c>
      <x:c r="P30" s="461"/>
      <x:c r="Q30" s="461"/>
      <x:c r="R30" s="462"/>
    </x:row>
    <x:row r="31" ht="52" customHeight="1">
      <x:c r="A31" s="406" t="str">
        <x:v>cash</x:v>
      </x:c>
      <x:c r="B31" s="458" t="n">
        <x:v>435000000</x:v>
      </x:c>
      <x:c r="C31" s="448" t="str">
        <x:v>Cash and equivalents excluding restricted cash</x:v>
      </x:c>
      <x:c r="D31" s="463"/>
      <x:c r="E31" s="459" t="d">
        <x:v>2026-06-30T00:00:00.000Z</x:v>
      </x:c>
      <x:c r="F31" s="448" t="str">
        <x:v>10-Q</x:v>
      </x:c>
      <x:c r="G31" s="459" t="d">
        <x:v>2026-08-10T00:00:00.000Z</x:v>
      </x:c>
      <x:c r="H31" s="448" t="str">
        <x:v>0001692819-26-000019</x:v>
      </x:c>
      <x:c r="I31" s="448" t="str">
        <x:v>us-gaap:CashAndCashEquivalentsAtCarryingValue</x:v>
      </x:c>
      <x:c r="J31" s="448" t="str">
        <x:v>c-8</x:v>
      </x:c>
      <x:c r="K31" s="448" t="str">
        <x:v>None (consolidated total)</x:v>
      </x:c>
      <x:c r="L31" s="460" t="n">
        <x:v>6</x:v>
      </x:c>
      <x:c r="M31" s="448" t="str">
        <x:v>-6</x:v>
      </x:c>
      <x:c r="N31" s="448" t="str">
        <x:v>https://www.sec.gov/Archives/edgar/data/1692819/000169281926000019/vistra-20260630.htm</x:v>
      </x:c>
      <x:c r="O31" s="448" t="str">
        <x:v>10-Q balance sheet p. 2; cash flows p. 5; Note 12</x:v>
      </x:c>
      <x:c r="P31" s="461"/>
      <x:c r="Q31" s="461"/>
      <x:c r="R31" s="462"/>
    </x:row>
    <x:row r="32" ht="52" customHeight="1">
      <x:c r="A32" s="406" t="str">
        <x:v>restricted_current</x:v>
      </x:c>
      <x:c r="B32" s="458" t="n">
        <x:v>41000000</x:v>
      </x:c>
      <x:c r="C32" s="448" t="str">
        <x:v>Current restricted cash</x:v>
      </x:c>
      <x:c r="D32" s="463"/>
      <x:c r="E32" s="459" t="d">
        <x:v>2026-06-30T00:00:00.000Z</x:v>
      </x:c>
      <x:c r="F32" s="448" t="str">
        <x:v>10-Q</x:v>
      </x:c>
      <x:c r="G32" s="459" t="d">
        <x:v>2026-08-10T00:00:00.000Z</x:v>
      </x:c>
      <x:c r="H32" s="448" t="str">
        <x:v>0001692819-26-000019</x:v>
      </x:c>
      <x:c r="I32" s="448" t="str">
        <x:v>us-gaap:RestrictedCashCurrent</x:v>
      </x:c>
      <x:c r="J32" s="448" t="str">
        <x:v>c-8</x:v>
      </x:c>
      <x:c r="K32" s="448" t="str">
        <x:v>None (consolidated total)</x:v>
      </x:c>
      <x:c r="L32" s="460" t="n">
        <x:v>6</x:v>
      </x:c>
      <x:c r="M32" s="448" t="str">
        <x:v>-6</x:v>
      </x:c>
      <x:c r="N32" s="448" t="str">
        <x:v>https://www.sec.gov/Archives/edgar/data/1692819/000169281926000019/vistra-20260630.htm</x:v>
      </x:c>
      <x:c r="O32" s="448" t="str">
        <x:v>10-Q balance sheet p. 2; cash flows p. 5; Note 12</x:v>
      </x:c>
      <x:c r="P32" s="461"/>
      <x:c r="Q32" s="461"/>
      <x:c r="R32" s="462"/>
    </x:row>
    <x:row r="33" ht="52" customHeight="1">
      <x:c r="A33" s="406" t="str">
        <x:v>restricted_noncurrent</x:v>
      </x:c>
      <x:c r="B33" s="458" t="n">
        <x:v>5000000</x:v>
      </x:c>
      <x:c r="C33" s="448" t="str">
        <x:v>Noncurrent restricted cash</x:v>
      </x:c>
      <x:c r="D33" s="463"/>
      <x:c r="E33" s="459" t="d">
        <x:v>2026-06-30T00:00:00.000Z</x:v>
      </x:c>
      <x:c r="F33" s="448" t="str">
        <x:v>10-Q</x:v>
      </x:c>
      <x:c r="G33" s="459" t="d">
        <x:v>2026-08-10T00:00:00.000Z</x:v>
      </x:c>
      <x:c r="H33" s="448" t="str">
        <x:v>0001692819-26-000019</x:v>
      </x:c>
      <x:c r="I33" s="448" t="str">
        <x:v>us-gaap:RestrictedCashNoncurrent</x:v>
      </x:c>
      <x:c r="J33" s="448" t="str">
        <x:v>c-8</x:v>
      </x:c>
      <x:c r="K33" s="448" t="str">
        <x:v>None (consolidated total)</x:v>
      </x:c>
      <x:c r="L33" s="460" t="n">
        <x:v>6</x:v>
      </x:c>
      <x:c r="M33" s="448" t="str">
        <x:v>-6</x:v>
      </x:c>
      <x:c r="N33" s="448" t="str">
        <x:v>https://www.sec.gov/Archives/edgar/data/1692819/000169281926000019/vistra-20260630.htm</x:v>
      </x:c>
      <x:c r="O33" s="448" t="str">
        <x:v>10-Q balance sheet p. 2; cash flows p. 5; Note 12</x:v>
      </x:c>
      <x:c r="P33" s="461"/>
      <x:c r="Q33" s="461"/>
      <x:c r="R33" s="462"/>
    </x:row>
    <x:row r="34" ht="52" customHeight="1">
      <x:c r="A34" s="406" t="str">
        <x:v>nuveen_carrying</x:v>
      </x:c>
      <x:c r="B34" s="458" t="n">
        <x:v>613000000</x:v>
      </x:c>
      <x:c r="C34" s="448" t="str">
        <x:v>Nuveen obligation carrying amount</x:v>
      </x:c>
      <x:c r="D34" s="463"/>
      <x:c r="E34" s="459" t="d">
        <x:v>2026-06-30T00:00:00.000Z</x:v>
      </x:c>
      <x:c r="F34" s="448" t="str">
        <x:v>10-Q</x:v>
      </x:c>
      <x:c r="G34" s="459" t="d">
        <x:v>2026-08-10T00:00:00.000Z</x:v>
      </x:c>
      <x:c r="H34" s="448" t="str">
        <x:v>0001692819-26-000019</x:v>
      </x:c>
      <x:c r="I34" s="448" t="str">
        <x:v>vistra:ForwardRepurchaseObligationToBePaidCurrent</x:v>
      </x:c>
      <x:c r="J34" s="448" t="str">
        <x:v>c-8</x:v>
      </x:c>
      <x:c r="K34" s="448" t="str">
        <x:v>None (consolidated total)</x:v>
      </x:c>
      <x:c r="L34" s="460" t="n">
        <x:v>6</x:v>
      </x:c>
      <x:c r="M34" s="448" t="str">
        <x:v>-6</x:v>
      </x:c>
      <x:c r="N34" s="448" t="str">
        <x:v>https://www.sec.gov/Archives/edgar/data/1692819/000169281926000019/vistra-20260630.htm</x:v>
      </x:c>
      <x:c r="O34" s="448" t="str">
        <x:v>10-Q balance sheet p. 2; cash flows p. 5; Note 12</x:v>
      </x:c>
      <x:c r="P34" s="461"/>
      <x:c r="Q34" s="461"/>
      <x:c r="R34" s="462"/>
    </x:row>
    <x:row r="35" ht="52" customHeight="1">
      <x:c r="A35" s="406" t="str">
        <x:v>lt_carrying</x:v>
      </x:c>
      <x:c r="B35" s="458" t="n">
        <x:v>19595000000</x:v>
      </x:c>
      <x:c r="C35" s="448" t="str">
        <x:v>Long-term debt including current portion</x:v>
      </x:c>
      <x:c r="D35" s="463"/>
      <x:c r="E35" s="459" t="d">
        <x:v>2026-06-30T00:00:00.000Z</x:v>
      </x:c>
      <x:c r="F35" s="448" t="str">
        <x:v>10-Q</x:v>
      </x:c>
      <x:c r="G35" s="459" t="d">
        <x:v>2026-08-10T00:00:00.000Z</x:v>
      </x:c>
      <x:c r="H35" s="448" t="str">
        <x:v>0001692819-26-000019</x:v>
      </x:c>
      <x:c r="I35" s="448" t="str">
        <x:v>us-gaap:LongTermDebtAndCapitalLeaseObligationsIncludingCurrentMaturities</x:v>
      </x:c>
      <x:c r="J35" s="448" t="str">
        <x:v>c-8</x:v>
      </x:c>
      <x:c r="K35" s="448" t="str">
        <x:v>None (consolidated total)</x:v>
      </x:c>
      <x:c r="L35" s="460" t="n">
        <x:v>6</x:v>
      </x:c>
      <x:c r="M35" s="448" t="str">
        <x:v>-6</x:v>
      </x:c>
      <x:c r="N35" s="448" t="str">
        <x:v>https://www.sec.gov/Archives/edgar/data/1692819/000169281926000019/vistra-20260630.htm</x:v>
      </x:c>
      <x:c r="O35" s="448" t="str">
        <x:v>10-Q balance sheet p. 2; cash flows p. 5; Note 12</x:v>
      </x:c>
      <x:c r="P35" s="461"/>
      <x:c r="Q35" s="461"/>
      <x:c r="R35" s="462"/>
    </x:row>
    <x:row r="36" ht="52" customHeight="1">
      <x:c r="A36" s="406" t="str">
        <x:v>debt_costs</x:v>
      </x:c>
      <x:c r="B36" s="458" t="n">
        <x:v>169000000</x:v>
      </x:c>
      <x:c r="C36" s="448" t="str">
        <x:v>Unamortized debt premiums, discounts and costs</x:v>
      </x:c>
      <x:c r="D36" s="463"/>
      <x:c r="E36" s="459" t="d">
        <x:v>2026-06-30T00:00:00.000Z</x:v>
      </x:c>
      <x:c r="F36" s="448" t="str">
        <x:v>10-Q</x:v>
      </x:c>
      <x:c r="G36" s="459" t="d">
        <x:v>2026-08-10T00:00:00.000Z</x:v>
      </x:c>
      <x:c r="H36" s="448" t="str">
        <x:v>0001692819-26-000019</x:v>
      </x:c>
      <x:c r="I36" s="448" t="str">
        <x:v>us-gaap:DebtInstrumentUnamortizedDiscountPremiumAndDebtIssuanceCostsNet</x:v>
      </x:c>
      <x:c r="J36" s="448" t="str">
        <x:v>c-8</x:v>
      </x:c>
      <x:c r="K36" s="448" t="str">
        <x:v>None (consolidated total)</x:v>
      </x:c>
      <x:c r="L36" s="460" t="n">
        <x:v>6</x:v>
      </x:c>
      <x:c r="M36" s="448" t="str">
        <x:v>-6</x:v>
      </x:c>
      <x:c r="N36" s="448" t="str">
        <x:v>https://www.sec.gov/Archives/edgar/data/1692819/000169281926000019/vistra-20260630.htm</x:v>
      </x:c>
      <x:c r="O36" s="448" t="str">
        <x:v>10-Q balance sheet p. 2; cash flows p. 5; Note 12</x:v>
      </x:c>
      <x:c r="P36" s="461"/>
      <x:c r="Q36" s="461"/>
      <x:c r="R36" s="462"/>
    </x:row>
    <x:row r="37" ht="52" customHeight="1">
      <x:c r="A37" s="406" t="str">
        <x:v>receivables</x:v>
      </x:c>
      <x:c r="B37" s="458" t="n">
        <x:v>300000000</x:v>
      </x:c>
      <x:c r="C37" s="448" t="str">
        <x:v>Receivables financing outstanding</x:v>
      </x:c>
      <x:c r="D37" s="463"/>
      <x:c r="E37" s="459" t="d">
        <x:v>2026-06-30T00:00:00.000Z</x:v>
      </x:c>
      <x:c r="F37" s="448" t="str">
        <x:v>10-Q</x:v>
      </x:c>
      <x:c r="G37" s="459" t="d">
        <x:v>2026-08-10T00:00:00.000Z</x:v>
      </x:c>
      <x:c r="H37" s="448" t="str">
        <x:v>0001692819-26-000019</x:v>
      </x:c>
      <x:c r="I37" s="448" t="str">
        <x:v>vistra:AccountsReceivableSecuritizationProgramAmountsBorrowed</x:v>
      </x:c>
      <x:c r="J37" s="448" t="str">
        <x:v>c-8</x:v>
      </x:c>
      <x:c r="K37" s="448" t="str">
        <x:v>None (consolidated total)</x:v>
      </x:c>
      <x:c r="L37" s="460" t="n">
        <x:v>6</x:v>
      </x:c>
      <x:c r="M37" s="448" t="str">
        <x:v>-6</x:v>
      </x:c>
      <x:c r="N37" s="448" t="str">
        <x:v>https://www.sec.gov/Archives/edgar/data/1692819/000169281926000019/vistra-20260630.htm</x:v>
      </x:c>
      <x:c r="O37" s="448" t="str">
        <x:v>10-Q balance sheet p. 2; cash flows p. 5; Note 12</x:v>
      </x:c>
      <x:c r="P37" s="461"/>
      <x:c r="Q37" s="461"/>
      <x:c r="R37" s="462"/>
    </x:row>
    <x:row r="38" ht="52" customHeight="1">
      <x:c r="A38" s="406" t="str">
        <x:v>shortterm</x:v>
      </x:c>
      <x:c r="B38" s="458" t="n">
        <x:v>0</x:v>
      </x:c>
      <x:c r="C38" s="448" t="str">
        <x:v>Short-term borrowings, reported zero</x:v>
      </x:c>
      <x:c r="D38" s="463"/>
      <x:c r="E38" s="459" t="d">
        <x:v>2026-06-30T00:00:00.000Z</x:v>
      </x:c>
      <x:c r="F38" s="448" t="str">
        <x:v>10-Q</x:v>
      </x:c>
      <x:c r="G38" s="459" t="d">
        <x:v>2026-08-10T00:00:00.000Z</x:v>
      </x:c>
      <x:c r="H38" s="448" t="str">
        <x:v>0001692819-26-000019</x:v>
      </x:c>
      <x:c r="I38" s="448" t="str">
        <x:v>us-gaap:ShortTermBorrowings</x:v>
      </x:c>
      <x:c r="J38" s="448" t="str">
        <x:v>c-8</x:v>
      </x:c>
      <x:c r="K38" s="448" t="str">
        <x:v>None (consolidated total)</x:v>
      </x:c>
      <x:c r="L38" s="460" t="n">
        <x:v>6</x:v>
      </x:c>
      <x:c r="M38" s="448" t="str">
        <x:v>-6</x:v>
      </x:c>
      <x:c r="N38" s="448" t="str">
        <x:v>https://www.sec.gov/Archives/edgar/data/1692819/000169281926000019/vistra-20260630.htm</x:v>
      </x:c>
      <x:c r="O38" s="448" t="str">
        <x:v>10-Q balance sheet p. 2; cash flows p. 5; Note 12</x:v>
      </x:c>
      <x:c r="P38" s="461"/>
      <x:c r="Q38" s="461"/>
      <x:c r="R38" s="462"/>
    </x:row>
    <x:row r="39" ht="52" customHeight="1">
      <x:c r="A39" s="406" t="str">
        <x:v>margin_cash</x:v>
      </x:c>
      <x:c r="B39" s="458" t="n">
        <x:v>1436000000</x:v>
      </x:c>
      <x:c r="C39" s="448" t="str">
        <x:v>Posted margin deposits</x:v>
      </x:c>
      <x:c r="D39" s="463"/>
      <x:c r="E39" s="459" t="d">
        <x:v>2026-06-30T00:00:00.000Z</x:v>
      </x:c>
      <x:c r="F39" s="448" t="str">
        <x:v>10-Q</x:v>
      </x:c>
      <x:c r="G39" s="459" t="d">
        <x:v>2026-08-10T00:00:00.000Z</x:v>
      </x:c>
      <x:c r="H39" s="448" t="str">
        <x:v>0001692819-26-000019</x:v>
      </x:c>
      <x:c r="I39" s="448" t="str">
        <x:v>us-gaap:MarginDepositAssets</x:v>
      </x:c>
      <x:c r="J39" s="448" t="str">
        <x:v>c-8</x:v>
      </x:c>
      <x:c r="K39" s="448" t="str">
        <x:v>None (consolidated total)</x:v>
      </x:c>
      <x:c r="L39" s="460" t="n">
        <x:v>6</x:v>
      </x:c>
      <x:c r="M39" s="448" t="str">
        <x:v>-6</x:v>
      </x:c>
      <x:c r="N39" s="448" t="str">
        <x:v>https://www.sec.gov/Archives/edgar/data/1692819/000169281926000019/vistra-20260630.htm</x:v>
      </x:c>
      <x:c r="O39" s="448" t="str">
        <x:v>10-Q balance sheet p. 2; cash flows p. 5; Note 12</x:v>
      </x:c>
      <x:c r="P39" s="461"/>
      <x:c r="Q39" s="461"/>
      <x:c r="R39" s="462"/>
    </x:row>
    <x:row r="40" ht="52" customHeight="1">
      <x:c r="A40" s="406" t="str">
        <x:v>affiliate_margin</x:v>
      </x:c>
      <x:c r="B40" s="458" t="n">
        <x:v>438000000</x:v>
      </x:c>
      <x:c r="C40" s="448" t="str">
        <x:v>Affiliate-financed eligible assets posted</x:v>
      </x:c>
      <x:c r="D40" s="463"/>
      <x:c r="E40" s="459" t="d">
        <x:v>2026-06-30T00:00:00.000Z</x:v>
      </x:c>
      <x:c r="F40" s="448" t="str">
        <x:v>10-Q</x:v>
      </x:c>
      <x:c r="G40" s="459" t="d">
        <x:v>2026-08-10T00:00:00.000Z</x:v>
      </x:c>
      <x:c r="H40" s="448" t="str">
        <x:v>0001692819-26-000019</x:v>
      </x:c>
      <x:c r="I40" s="448" t="str">
        <x:v>vistra:MarginDepositsPostedUnderAffiliateFinancingAgreementAsset</x:v>
      </x:c>
      <x:c r="J40" s="448" t="str">
        <x:v>c-8</x:v>
      </x:c>
      <x:c r="K40" s="448" t="str">
        <x:v>None (consolidated total)</x:v>
      </x:c>
      <x:c r="L40" s="460" t="n">
        <x:v>6</x:v>
      </x:c>
      <x:c r="M40" s="448" t="str">
        <x:v>-6</x:v>
      </x:c>
      <x:c r="N40" s="448" t="str">
        <x:v>https://www.sec.gov/Archives/edgar/data/1692819/000169281926000019/vistra-20260630.htm</x:v>
      </x:c>
      <x:c r="O40" s="448" t="str">
        <x:v>10-Q balance sheet p. 2; cash flows p. 5; Note 12</x:v>
      </x:c>
      <x:c r="P40" s="461"/>
      <x:c r="Q40" s="461"/>
      <x:c r="R40" s="462"/>
    </x:row>
    <x:row r="41" ht="52" customHeight="1">
      <x:c r="A41" s="406" t="str">
        <x:v>project_debt</x:v>
      </x:c>
      <x:c r="B41" s="458" t="n">
        <x:v>1633000000</x:v>
      </x:c>
      <x:c r="C41" s="448" t="str">
        <x:v>Project debt principal</x:v>
      </x:c>
      <x:c r="D41" s="463"/>
      <x:c r="E41" s="459" t="d">
        <x:v>2026-06-30T00:00:00.000Z</x:v>
      </x:c>
      <x:c r="F41" s="448" t="str">
        <x:v>10-Q</x:v>
      </x:c>
      <x:c r="G41" s="459" t="d">
        <x:v>2026-08-10T00:00:00.000Z</x:v>
      </x:c>
      <x:c r="H41" s="448" t="str">
        <x:v>0001692819-26-000019</x:v>
      </x:c>
      <x:c r="I41" s="448" t="str">
        <x:v>us-gaap:DebtInstrumentCarryingAmount</x:v>
      </x:c>
      <x:c r="J41" s="448" t="str">
        <x:v>c-590</x:v>
      </x:c>
      <x:c r="K41" s="448" t="str">
        <x:v>us-gaap:LongtermDebtTypeAxis = vistra:ProjectLevelDebtMember</x:v>
      </x:c>
      <x:c r="L41" s="460" t="n">
        <x:v>6</x:v>
      </x:c>
      <x:c r="M41" s="448" t="str">
        <x:v>-6</x:v>
      </x:c>
      <x:c r="N41" s="448" t="str">
        <x:v>https://www.sec.gov/Archives/edgar/data/1692819/000169281926000019/vistra-20260630.htm</x:v>
      </x:c>
      <x:c r="O41" s="448" t="str">
        <x:v>10-Q Note 12, pp. 20–28</x:v>
      </x:c>
      <x:c r="P41" s="461"/>
      <x:c r="Q41" s="461"/>
      <x:c r="R41" s="462"/>
    </x:row>
    <x:row r="42" ht="52" customHeight="1">
      <x:c r="A42" s="406" t="str">
        <x:v>operations_debt</x:v>
      </x:c>
      <x:c r="B42" s="458" t="n">
        <x:v>18131000000</x:v>
      </x:c>
      <x:c r="C42" s="448" t="str">
        <x:v>Vistra Operations debt principal</x:v>
      </x:c>
      <x:c r="D42" s="463"/>
      <x:c r="E42" s="459" t="d">
        <x:v>2026-06-30T00:00:00.000Z</x:v>
      </x:c>
      <x:c r="F42" s="448" t="str">
        <x:v>10-Q</x:v>
      </x:c>
      <x:c r="G42" s="459" t="d">
        <x:v>2026-08-10T00:00:00.000Z</x:v>
      </x:c>
      <x:c r="H42" s="448" t="str">
        <x:v>0001692819-26-000019</x:v>
      </x:c>
      <x:c r="I42" s="448" t="str">
        <x:v>us-gaap:DebtInstrumentCarryingAmount</x:v>
      </x:c>
      <x:c r="J42" s="448" t="str">
        <x:v>c-592</x:v>
      </x:c>
      <x:c r="K42" s="448" t="str">
        <x:v>us-gaap:LongtermDebtTypeAxis = vistra:VistraOperationsDebtMember</x:v>
      </x:c>
      <x:c r="L42" s="460" t="n">
        <x:v>6</x:v>
      </x:c>
      <x:c r="M42" s="448" t="str">
        <x:v>-6</x:v>
      </x:c>
      <x:c r="N42" s="448" t="str">
        <x:v>https://www.sec.gov/Archives/edgar/data/1692819/000169281926000019/vistra-20260630.htm</x:v>
      </x:c>
      <x:c r="O42" s="448" t="str">
        <x:v>10-Q Note 12, pp. 20–28</x:v>
      </x:c>
      <x:c r="P42" s="461"/>
      <x:c r="Q42" s="461"/>
      <x:c r="R42" s="462"/>
    </x:row>
    <x:row r="43" ht="52" customHeight="1">
      <x:c r="A43" s="406" t="str">
        <x:v>bridge</x:v>
      </x:c>
      <x:c r="B43" s="458" t="n">
        <x:v>261000000</x:v>
      </x:c>
      <x:c r="C43" s="448" t="str">
        <x:v>Pulaski bridge loan</x:v>
      </x:c>
      <x:c r="D43" s="463"/>
      <x:c r="E43" s="459" t="d">
        <x:v>2026-06-30T00:00:00.000Z</x:v>
      </x:c>
      <x:c r="F43" s="448" t="str">
        <x:v>10-Q</x:v>
      </x:c>
      <x:c r="G43" s="459" t="d">
        <x:v>2026-08-10T00:00:00.000Z</x:v>
      </x:c>
      <x:c r="H43" s="448" t="str">
        <x:v>0001692819-26-000019</x:v>
      </x:c>
      <x:c r="I43" s="448" t="str">
        <x:v>vistra:LineOfCreditFacilityBorrowingsOutstanding</x:v>
      </x:c>
      <x:c r="J43" s="448" t="str">
        <x:v>c-598</x:v>
      </x:c>
      <x:c r="K43" s="448" t="str">
        <x:v>us-gaap:LongtermDebtTypeAxis = us-gaap:BridgeLoanMember; us-gaap:DebtInstrumentAxis = vistra:BCOPCreditFacilitiesMember</x:v>
      </x:c>
      <x:c r="L43" s="460" t="n">
        <x:v>6</x:v>
      </x:c>
      <x:c r="M43" s="448" t="str">
        <x:v>-6</x:v>
      </x:c>
      <x:c r="N43" s="448" t="str">
        <x:v>https://www.sec.gov/Archives/edgar/data/1692819/000169281926000019/vistra-20260630.htm</x:v>
      </x:c>
      <x:c r="O43" s="448" t="str">
        <x:v>10-Q Note 12, pp. 20–28</x:v>
      </x:c>
      <x:c r="P43" s="461"/>
      <x:c r="Q43" s="461"/>
      <x:c r="R43" s="462"/>
    </x:row>
    <x:row r="44" ht="52" customHeight="1">
      <x:c r="A44" s="406" t="str">
        <x:v>construction_total</x:v>
      </x:c>
      <x:c r="B44" s="458" t="n">
        <x:v>503000000</x:v>
      </x:c>
      <x:c r="C44" s="448" t="str">
        <x:v>BCOP construction and term loans</x:v>
      </x:c>
      <x:c r="D44" s="463"/>
      <x:c r="E44" s="459" t="d">
        <x:v>2026-06-30T00:00:00.000Z</x:v>
      </x:c>
      <x:c r="F44" s="448" t="str">
        <x:v>10-Q</x:v>
      </x:c>
      <x:c r="G44" s="459" t="d">
        <x:v>2026-08-10T00:00:00.000Z</x:v>
      </x:c>
      <x:c r="H44" s="448" t="str">
        <x:v>0001692819-26-000019</x:v>
      </x:c>
      <x:c r="I44" s="448" t="str">
        <x:v>vistra:LineOfCreditFacilityBorrowingsOutstanding</x:v>
      </x:c>
      <x:c r="J44" s="448" t="str">
        <x:v>c-600</x:v>
      </x:c>
      <x:c r="K44" s="448" t="str">
        <x:v>us-gaap:LongtermDebtTypeAxis = vistra:ConstructionAndTermLoansMember; us-gaap:DebtInstrumentAxis = vistra:BCOPCreditFacilitiesMember</x:v>
      </x:c>
      <x:c r="L44" s="460" t="n">
        <x:v>6</x:v>
      </x:c>
      <x:c r="M44" s="448" t="str">
        <x:v>-6</x:v>
      </x:c>
      <x:c r="N44" s="448" t="str">
        <x:v>https://www.sec.gov/Archives/edgar/data/1692819/000169281926000019/vistra-20260630.htm</x:v>
      </x:c>
      <x:c r="O44" s="448" t="str">
        <x:v>10-Q Note 12, pp. 20–28</x:v>
      </x:c>
      <x:c r="P44" s="461"/>
      <x:c r="Q44" s="461"/>
      <x:c r="R44" s="462"/>
    </x:row>
    <x:row r="45" ht="52" customHeight="1">
      <x:c r="A45" s="406" t="str">
        <x:v>pulaski_construction</x:v>
      </x:c>
      <x:c r="B45" s="458" t="n">
        <x:v>297000000</x:v>
      </x:c>
      <x:c r="C45" s="448" t="str">
        <x:v>Pulaski construction loan</x:v>
      </x:c>
      <x:c r="D45" s="463"/>
      <x:c r="E45" s="459" t="d">
        <x:v>2026-06-30T00:00:00.000Z</x:v>
      </x:c>
      <x:c r="F45" s="448" t="str">
        <x:v>10-Q</x:v>
      </x:c>
      <x:c r="G45" s="459" t="d">
        <x:v>2026-08-10T00:00:00.000Z</x:v>
      </x:c>
      <x:c r="H45" s="448" t="str">
        <x:v>0001692819-26-000019</x:v>
      </x:c>
      <x:c r="I45" s="448" t="str">
        <x:v>us-gaap:DebtInstrumentFaceAmount</x:v>
      </x:c>
      <x:c r="J45" s="448" t="str">
        <x:v>c-685</x:v>
      </x:c>
      <x:c r="K45" s="448" t="str">
        <x:v>us-gaap:LongtermDebtTypeAxis = us-gaap:ConstructionLoansMember; us-gaap:DebtInstrumentAxis = vistra:PulaskiMember</x:v>
      </x:c>
      <x:c r="L45" s="460" t="n">
        <x:v>6</x:v>
      </x:c>
      <x:c r="M45" s="448" t="str">
        <x:v>-6</x:v>
      </x:c>
      <x:c r="N45" s="448" t="str">
        <x:v>https://www.sec.gov/Archives/edgar/data/1692819/000169281926000019/vistra-20260630.htm</x:v>
      </x:c>
      <x:c r="O45" s="448" t="str">
        <x:v>10-Q Note 12, pp. 20–28</x:v>
      </x:c>
      <x:c r="P45" s="461"/>
      <x:c r="Q45" s="461"/>
      <x:c r="R45" s="462"/>
    </x:row>
    <x:row r="46" ht="52" customHeight="1">
      <x:c r="A46" s="406" t="str">
        <x:v>bcop_term</x:v>
      </x:c>
      <x:c r="B46" s="458" t="n">
        <x:v>206000000</x:v>
      </x:c>
      <x:c r="C46" s="448" t="str">
        <x:v>BCOP combined term loans</x:v>
      </x:c>
      <x:c r="D46" s="463"/>
      <x:c r="E46" s="459" t="d">
        <x:v>2026-06-30T00:00:00.000Z</x:v>
      </x:c>
      <x:c r="F46" s="448" t="str">
        <x:v>10-Q</x:v>
      </x:c>
      <x:c r="G46" s="459" t="d">
        <x:v>2026-08-10T00:00:00.000Z</x:v>
      </x:c>
      <x:c r="H46" s="448" t="str">
        <x:v>0001692819-26-000019</x:v>
      </x:c>
      <x:c r="I46" s="448" t="str">
        <x:v>us-gaap:DebtInstrumentFaceAmount</x:v>
      </x:c>
      <x:c r="J46" s="448" t="str">
        <x:v>c-686</x:v>
      </x:c>
      <x:c r="K46" s="448" t="str">
        <x:v>us-gaap:LongtermDebtTypeAxis = us-gaap:ConstructionLoansMember; us-gaap:DebtInstrumentAxis = vistra:CoffeenTermLoanMember</x:v>
      </x:c>
      <x:c r="L46" s="460" t="n">
        <x:v>6</x:v>
      </x:c>
      <x:c r="M46" s="448" t="str">
        <x:v>-6</x:v>
      </x:c>
      <x:c r="N46" s="448" t="str">
        <x:v>https://www.sec.gov/Archives/edgar/data/1692819/000169281926000019/vistra-20260630.htm</x:v>
      </x:c>
      <x:c r="O46" s="448" t="str">
        <x:v>10-Q Note 12, pp. 20–28</x:v>
      </x:c>
      <x:c r="P46" s="461"/>
      <x:c r="Q46" s="461"/>
      <x:c r="R46" s="462"/>
    </x:row>
    <x:row r="47" ht="52" customHeight="1">
      <x:c r="A47" s="406" t="str">
        <x:v>zero_debt</x:v>
      </x:c>
      <x:c r="B47" s="458" t="n">
        <x:v>697000000</x:v>
      </x:c>
      <x:c r="C47" s="448" t="str">
        <x:v>Vistra Zero term loan</x:v>
      </x:c>
      <x:c r="D47" s="463"/>
      <x:c r="E47" s="459" t="d">
        <x:v>2026-06-30T00:00:00.000Z</x:v>
      </x:c>
      <x:c r="F47" s="448" t="str">
        <x:v>10-Q</x:v>
      </x:c>
      <x:c r="G47" s="459" t="d">
        <x:v>2026-08-10T00:00:00.000Z</x:v>
      </x:c>
      <x:c r="H47" s="448" t="str">
        <x:v>0001692819-26-000019</x:v>
      </x:c>
      <x:c r="I47" s="448" t="str">
        <x:v>vistra:LineOfCreditFacilityBorrowingsOutstanding</x:v>
      </x:c>
      <x:c r="J47" s="448" t="str">
        <x:v>c-664</x:v>
      </x:c>
      <x:c r="K47" s="448" t="str">
        <x:v>us-gaap:LongtermDebtTypeAxis = us-gaap:RevolvingCreditFacilityMember; us-gaap:DebtInstrumentAxis = vistra:VistraZeroTermLoanBFacilityMember</x:v>
      </x:c>
      <x:c r="L47" s="460" t="n">
        <x:v>6</x:v>
      </x:c>
      <x:c r="M47" s="448" t="str">
        <x:v>-6</x:v>
      </x:c>
      <x:c r="N47" s="448" t="str">
        <x:v>https://www.sec.gov/Archives/edgar/data/1692819/000169281926000019/vistra-20260630.htm</x:v>
      </x:c>
      <x:c r="O47" s="448" t="str">
        <x:v>10-Q Note 12, pp. 20–28</x:v>
      </x:c>
      <x:c r="P47" s="461"/>
      <x:c r="Q47" s="461"/>
      <x:c r="R47" s="462"/>
    </x:row>
    <x:row r="48" ht="52" customHeight="1">
      <x:c r="A48" s="406" t="str">
        <x:v>txef_debt</x:v>
      </x:c>
      <x:c r="B48" s="458" t="n">
        <x:v>172000000</x:v>
      </x:c>
      <x:c r="C48" s="448" t="str">
        <x:v>Texas Energy Fund drawn loan</x:v>
      </x:c>
      <x:c r="D48" s="463"/>
      <x:c r="E48" s="459" t="d">
        <x:v>2026-06-30T00:00:00.000Z</x:v>
      </x:c>
      <x:c r="F48" s="448" t="str">
        <x:v>10-Q</x:v>
      </x:c>
      <x:c r="G48" s="459" t="d">
        <x:v>2026-08-10T00:00:00.000Z</x:v>
      </x:c>
      <x:c r="H48" s="448" t="str">
        <x:v>0001692819-26-000019</x:v>
      </x:c>
      <x:c r="I48" s="448" t="str">
        <x:v>vistra:LineOfCreditFacilityBorrowingsOutstanding</x:v>
      </x:c>
      <x:c r="J48" s="448" t="str">
        <x:v>c-665</x:v>
      </x:c>
      <x:c r="K48" s="448" t="str">
        <x:v>us-gaap:LongtermDebtTypeAxis = us-gaap:RevolvingCreditFacilityMember; us-gaap:DebtInstrumentAxis = vistra:TexasEnergyFundLoanMember</x:v>
      </x:c>
      <x:c r="L48" s="460" t="n">
        <x:v>6</x:v>
      </x:c>
      <x:c r="M48" s="448" t="str">
        <x:v>-6</x:v>
      </x:c>
      <x:c r="N48" s="448" t="str">
        <x:v>https://www.sec.gov/Archives/edgar/data/1692819/000169281926000019/vistra-20260630.htm</x:v>
      </x:c>
      <x:c r="O48" s="448" t="str">
        <x:v>10-Q Note 12, pp. 20–28</x:v>
      </x:c>
      <x:c r="P48" s="461"/>
      <x:c r="Q48" s="461"/>
      <x:c r="R48" s="462"/>
    </x:row>
    <x:row r="49" ht="52" customHeight="1">
      <x:c r="A49" s="406" t="str">
        <x:v>nuveen_payment</x:v>
      </x:c>
      <x:c r="B49" s="458" t="n">
        <x:v>631000000</x:v>
      </x:c>
      <x:c r="C49" s="448" t="str">
        <x:v>Nuveen final principal and interest payment</x:v>
      </x:c>
      <x:c r="D49" s="463"/>
      <x:c r="E49" s="459" t="d">
        <x:v>2026-06-30T00:00:00.000Z</x:v>
      </x:c>
      <x:c r="F49" s="448" t="str">
        <x:v>10-Q</x:v>
      </x:c>
      <x:c r="G49" s="459" t="d">
        <x:v>2026-08-10T00:00:00.000Z</x:v>
      </x:c>
      <x:c r="H49" s="448" t="str">
        <x:v>0001692819-26-000019</x:v>
      </x:c>
      <x:c r="I49" s="448" t="str">
        <x:v>vistra:RedeemableNoncontrollingInterestToBePaidYearOne</x:v>
      </x:c>
      <x:c r="J49" s="448" t="str">
        <x:v>c-729</x:v>
      </x:c>
      <x:c r="K49" s="448" t="str">
        <x:v>srt:OwnershipAxis = vistra:VistraVisionMember</x:v>
      </x:c>
      <x:c r="L49" s="460" t="n">
        <x:v>6</x:v>
      </x:c>
      <x:c r="M49" s="448" t="str">
        <x:v>-6</x:v>
      </x:c>
      <x:c r="N49" s="448" t="str">
        <x:v>https://www.sec.gov/Archives/edgar/data/1692819/000169281926000019/vistra-20260630.htm</x:v>
      </x:c>
      <x:c r="O49" s="448" t="str">
        <x:v>10-Q Note 12, pp. 20–28</x:v>
      </x:c>
      <x:c r="P49" s="461"/>
      <x:c r="Q49" s="461"/>
      <x:c r="R49" s="462"/>
    </x:row>
    <x:row r="50" ht="52" customHeight="1">
      <x:c r="A50" s="406" t="str">
        <x:v>notes_2026</x:v>
      </x:c>
      <x:c r="B50" s="458" t="n">
        <x:v>500000000</x:v>
      </x:c>
      <x:c r="C50" s="448" t="str">
        <x:v>5.050% senior notes</x:v>
      </x:c>
      <x:c r="D50" s="463"/>
      <x:c r="E50" s="459" t="d">
        <x:v>2026-06-30T00:00:00.000Z</x:v>
      </x:c>
      <x:c r="F50" s="448" t="str">
        <x:v>10-Q</x:v>
      </x:c>
      <x:c r="G50" s="459" t="d">
        <x:v>2026-08-10T00:00:00.000Z</x:v>
      </x:c>
      <x:c r="H50" s="448" t="str">
        <x:v>0001692819-26-000019</x:v>
      </x:c>
      <x:c r="I50" s="448" t="str">
        <x:v>us-gaap:LongTermDebtAndCapitalLeaseObligationsIncludingCurrentMaturities</x:v>
      </x:c>
      <x:c r="J50" s="448" t="str">
        <x:v>c-606</x:v>
      </x:c>
      <x:c r="K50" s="448" t="str">
        <x:v>us-gaap:LongtermDebtTypeAxis = vistra:VistraOperationsSeniorNotesMember; us-gaap:DebtInstrumentAxis = vistra:A5.050SeniorNotesDue2026Member</x:v>
      </x:c>
      <x:c r="L50" s="460" t="n">
        <x:v>6</x:v>
      </x:c>
      <x:c r="M50" s="448" t="str">
        <x:v>-6</x:v>
      </x:c>
      <x:c r="N50" s="448" t="str">
        <x:v>https://www.sec.gov/Archives/edgar/data/1692819/000169281926000019/vistra-20260630.htm</x:v>
      </x:c>
      <x:c r="O50" s="448" t="str">
        <x:v>10-Q Note 12, pp. 20–28</x:v>
      </x:c>
      <x:c r="P50" s="461"/>
      <x:c r="Q50" s="461"/>
      <x:c r="R50" s="462"/>
    </x:row>
    <x:row r="51" ht="52" customHeight="1">
      <x:c r="A51" s="406" t="str">
        <x:v>notes_jan2027</x:v>
      </x:c>
      <x:c r="B51" s="458" t="n">
        <x:v>800000000</x:v>
      </x:c>
      <x:c r="C51" s="448" t="str">
        <x:v>3.700% senior notes</x:v>
      </x:c>
      <x:c r="D51" s="463"/>
      <x:c r="E51" s="459" t="d">
        <x:v>2026-06-30T00:00:00.000Z</x:v>
      </x:c>
      <x:c r="F51" s="448" t="str">
        <x:v>10-Q</x:v>
      </x:c>
      <x:c r="G51" s="459" t="d">
        <x:v>2026-08-10T00:00:00.000Z</x:v>
      </x:c>
      <x:c r="H51" s="448" t="str">
        <x:v>0001692819-26-000019</x:v>
      </x:c>
      <x:c r="I51" s="448" t="str">
        <x:v>us-gaap:LongTermDebtAndCapitalLeaseObligationsIncludingCurrentMaturities</x:v>
      </x:c>
      <x:c r="J51" s="448" t="str">
        <x:v>c-608</x:v>
      </x:c>
      <x:c r="K51" s="448" t="str">
        <x:v>us-gaap:LongtermDebtTypeAxis = vistra:VistraOperationsSeniorNotesMember; us-gaap:DebtInstrumentAxis = vistra:A3.700SeniorNotesDue2027Member</x:v>
      </x:c>
      <x:c r="L51" s="460" t="n">
        <x:v>6</x:v>
      </x:c>
      <x:c r="M51" s="448" t="str">
        <x:v>-6</x:v>
      </x:c>
      <x:c r="N51" s="448" t="str">
        <x:v>https://www.sec.gov/Archives/edgar/data/1692819/000169281926000019/vistra-20260630.htm</x:v>
      </x:c>
      <x:c r="O51" s="448" t="str">
        <x:v>10-Q Note 12, pp. 20–28</x:v>
      </x:c>
      <x:c r="P51" s="461"/>
      <x:c r="Q51" s="461"/>
      <x:c r="R51" s="462"/>
    </x:row>
    <x:row r="52" ht="52" customHeight="1">
      <x:c r="A52" s="406" t="str">
        <x:v>notes_jul2027</x:v>
      </x:c>
      <x:c r="B52" s="458" t="n">
        <x:v>1300000000</x:v>
      </x:c>
      <x:c r="C52" s="448" t="str">
        <x:v>5.000% senior notes</x:v>
      </x:c>
      <x:c r="D52" s="463"/>
      <x:c r="E52" s="459" t="d">
        <x:v>2026-06-30T00:00:00.000Z</x:v>
      </x:c>
      <x:c r="F52" s="448" t="str">
        <x:v>10-Q</x:v>
      </x:c>
      <x:c r="G52" s="459" t="d">
        <x:v>2026-08-10T00:00:00.000Z</x:v>
      </x:c>
      <x:c r="H52" s="448" t="str">
        <x:v>0001692819-26-000019</x:v>
      </x:c>
      <x:c r="I52" s="448" t="str">
        <x:v>us-gaap:LongTermDebtAndCapitalLeaseObligationsIncludingCurrentMaturities</x:v>
      </x:c>
      <x:c r="J52" s="448" t="str">
        <x:v>c-612</x:v>
      </x:c>
      <x:c r="K52" s="448" t="str">
        <x:v>us-gaap:LongtermDebtTypeAxis = vistra:VistraOperationsSeniorNotesMember; us-gaap:DebtInstrumentAxis = vistra:A5.000SeniorNotesDue2027Member</x:v>
      </x:c>
      <x:c r="L52" s="460" t="n">
        <x:v>6</x:v>
      </x:c>
      <x:c r="M52" s="448" t="str">
        <x:v>-6</x:v>
      </x:c>
      <x:c r="N52" s="448" t="str">
        <x:v>https://www.sec.gov/Archives/edgar/data/1692819/000169281926000019/vistra-20260630.htm</x:v>
      </x:c>
      <x:c r="O52" s="448" t="str">
        <x:v>10-Q Note 12, pp. 20–28</x:v>
      </x:c>
      <x:c r="P52" s="461"/>
      <x:c r="Q52" s="461"/>
      <x:c r="R52" s="462"/>
    </x:row>
    <x:row r="53" ht="52" customHeight="1">
      <x:c r="A53" s="406" t="str">
        <x:v>loc_other</x:v>
      </x:c>
      <x:c r="B53" s="458" t="n">
        <x:v>1759000000</x:v>
      </x:c>
      <x:c r="C53" s="448" t="str">
        <x:v>Other LOC facilities outstanding</x:v>
      </x:c>
      <x:c r="D53" s="463"/>
      <x:c r="E53" s="459" t="d">
        <x:v>2026-06-30T00:00:00.000Z</x:v>
      </x:c>
      <x:c r="F53" s="448" t="str">
        <x:v>10-Q</x:v>
      </x:c>
      <x:c r="G53" s="459" t="d">
        <x:v>2026-08-10T00:00:00.000Z</x:v>
      </x:c>
      <x:c r="H53" s="448" t="str">
        <x:v>0001692819-26-000019</x:v>
      </x:c>
      <x:c r="I53" s="448" t="str">
        <x:v>us-gaap:LettersOfCreditOutstandingAmount</x:v>
      </x:c>
      <x:c r="J53" s="448" t="str">
        <x:v>c-701</x:v>
      </x:c>
      <x:c r="K53" s="448" t="str">
        <x:v>us-gaap:LongtermDebtTypeAxis = us-gaap:LetterOfCreditMember; us-gaap:DebtInstrumentAxis = vistra:SecuredLetterOfCreditFacilitiesMember; dei:LegalEntityAxis = vistra:VistraOperationsCompanyLLCMember</x:v>
      </x:c>
      <x:c r="L53" s="460" t="n">
        <x:v>9</x:v>
      </x:c>
      <x:c r="M53" s="448" t="str">
        <x:v>-6</x:v>
      </x:c>
      <x:c r="N53" s="448" t="str">
        <x:v>https://www.sec.gov/Archives/edgar/data/1692819/000169281926000019/vistra-20260630.htm</x:v>
      </x:c>
      <x:c r="O53" s="448" t="str">
        <x:v>10-Q Note 12, pp. 20–28</x:v>
      </x:c>
      <x:c r="P53" s="461"/>
      <x:c r="Q53" s="461"/>
      <x:c r="R53" s="462"/>
    </x:row>
    <x:row r="54" ht="52" customHeight="1">
      <x:c r="A54" s="406" t="str">
        <x:v>loc_alternative</x:v>
      </x:c>
      <x:c r="B54" s="458" t="n">
        <x:v>736000000</x:v>
      </x:c>
      <x:c r="C54" s="448" t="str">
        <x:v>Alternative LOC facilities outstanding</x:v>
      </x:c>
      <x:c r="D54" s="463"/>
      <x:c r="E54" s="459" t="d">
        <x:v>2026-06-30T00:00:00.000Z</x:v>
      </x:c>
      <x:c r="F54" s="448" t="str">
        <x:v>10-Q</x:v>
      </x:c>
      <x:c r="G54" s="459" t="d">
        <x:v>2026-08-10T00:00:00.000Z</x:v>
      </x:c>
      <x:c r="H54" s="448" t="str">
        <x:v>0001692819-26-000019</x:v>
      </x:c>
      <x:c r="I54" s="448" t="str">
        <x:v>us-gaap:LettersOfCreditOutstandingAmount</x:v>
      </x:c>
      <x:c r="J54" s="448" t="str">
        <x:v>c-704</x:v>
      </x:c>
      <x:c r="K54" s="448" t="str">
        <x:v>us-gaap:CreditFacilityAxis = us-gaap:LetterOfCreditMember; us-gaap:DebtInstrumentAxis = vistra:AlternateLetterOfCreditFacilityMember</x:v>
      </x:c>
      <x:c r="L54" s="460" t="n">
        <x:v>6</x:v>
      </x:c>
      <x:c r="M54" s="448" t="str">
        <x:v>-6</x:v>
      </x:c>
      <x:c r="N54" s="448" t="str">
        <x:v>https://www.sec.gov/Archives/edgar/data/1692819/000169281926000019/vistra-20260630.htm</x:v>
      </x:c>
      <x:c r="O54" s="448" t="str">
        <x:v>10-Q Note 12, pp. 20–28</x:v>
      </x:c>
      <x:c r="P54" s="461"/>
      <x:c r="Q54" s="461"/>
      <x:c r="R54" s="462"/>
    </x:row>
    <x:row r="55" ht="52" customHeight="1">
      <x:c r="A55" s="406" t="str">
        <x:v>loc_total</x:v>
      </x:c>
      <x:c r="B55" s="458" t="n">
        <x:v>3587000000</x:v>
      </x:c>
      <x:c r="C55" s="448" t="str">
        <x:v>Reported letters of credit total</x:v>
      </x:c>
      <x:c r="D55" s="463"/>
      <x:c r="E55" s="459" t="d">
        <x:v>2026-06-30T00:00:00.000Z</x:v>
      </x:c>
      <x:c r="F55" s="448" t="str">
        <x:v>10-Q</x:v>
      </x:c>
      <x:c r="G55" s="459" t="d">
        <x:v>2026-08-10T00:00:00.000Z</x:v>
      </x:c>
      <x:c r="H55" s="448" t="str">
        <x:v>0001692819-26-000019</x:v>
      </x:c>
      <x:c r="I55" s="448" t="str">
        <x:v>us-gaap:LettersOfCreditOutstandingAmount</x:v>
      </x:c>
      <x:c r="J55" s="448" t="str">
        <x:v>c-970</x:v>
      </x:c>
      <x:c r="K55" s="448" t="str">
        <x:v>us-gaap:GuaranteeObligationsByNatureAxis = us-gaap:FinancialStandbyLetterOfCreditMember; dei:LegalEntityAxis = vistra:VistraOperationsCompanyLLCMember</x:v>
      </x:c>
      <x:c r="L55" s="460" t="n">
        <x:v>9</x:v>
      </x:c>
      <x:c r="M55" s="448" t="str">
        <x:v>-6</x:v>
      </x:c>
      <x:c r="N55" s="448" t="str">
        <x:v>https://www.sec.gov/Archives/edgar/data/1692819/000169281926000019/vistra-20260630.htm</x:v>
      </x:c>
      <x:c r="O55" s="448" t="str">
        <x:v>10-Q Note 12, pp. 20–28</x:v>
      </x:c>
      <x:c r="P55" s="461"/>
      <x:c r="Q55" s="461"/>
      <x:c r="R55" s="462"/>
    </x:row>
    <x:row r="56" ht="52" customHeight="1">
      <x:c r="A56" s="406" t="str">
        <x:v>revolver_limit</x:v>
      </x:c>
      <x:c r="B56" s="458" t="n">
        <x:v>5500000000</x:v>
      </x:c>
      <x:c r="C56" s="448" t="str">
        <x:v>Revolver limit</x:v>
      </x:c>
      <x:c r="D56" s="463"/>
      <x:c r="E56" s="459" t="d">
        <x:v>2026-06-30T00:00:00.000Z</x:v>
      </x:c>
      <x:c r="F56" s="448" t="str">
        <x:v>10-Q</x:v>
      </x:c>
      <x:c r="G56" s="459" t="d">
        <x:v>2026-08-10T00:00:00.000Z</x:v>
      </x:c>
      <x:c r="H56" s="448" t="str">
        <x:v>0001692819-26-000019</x:v>
      </x:c>
      <x:c r="I56" s="448" t="str">
        <x:v>us-gaap:LineOfCreditFacilityMaximumBorrowingCapacity</x:v>
      </x:c>
      <x:c r="J56" s="448" t="str">
        <x:v>c-660</x:v>
      </x:c>
      <x:c r="K56" s="448" t="str">
        <x:v>us-gaap:LongtermDebtTypeAxis = us-gaap:LineOfCreditMember; us-gaap:DebtInstrumentAxis = vistra:SeniorSecuredRevolvingCreditFacilityMember</x:v>
      </x:c>
      <x:c r="L56" s="460" t="n">
        <x:v>6</x:v>
      </x:c>
      <x:c r="M56" s="448" t="str">
        <x:v>-6</x:v>
      </x:c>
      <x:c r="N56" s="448" t="str">
        <x:v>https://www.sec.gov/Archives/edgar/data/1692819/000169281926000019/vistra-20260630.htm</x:v>
      </x:c>
      <x:c r="O56" s="448" t="str">
        <x:v>10-Q Note 12, pp. 20–28</x:v>
      </x:c>
      <x:c r="P56" s="461"/>
      <x:c r="Q56" s="461"/>
      <x:c r="R56" s="462"/>
    </x:row>
    <x:row r="57" ht="52" customHeight="1">
      <x:c r="A57" s="406" t="str">
        <x:v>revolver_drawn</x:v>
      </x:c>
      <x:c r="B57" s="458" t="n">
        <x:v>0</x:v>
      </x:c>
      <x:c r="C57" s="448" t="str">
        <x:v>Revolver drawn</x:v>
      </x:c>
      <x:c r="D57" s="463"/>
      <x:c r="E57" s="459" t="d">
        <x:v>2026-06-30T00:00:00.000Z</x:v>
      </x:c>
      <x:c r="F57" s="448" t="str">
        <x:v>10-Q</x:v>
      </x:c>
      <x:c r="G57" s="459" t="d">
        <x:v>2026-08-10T00:00:00.000Z</x:v>
      </x:c>
      <x:c r="H57" s="448" t="str">
        <x:v>0001692819-26-000019</x:v>
      </x:c>
      <x:c r="I57" s="448" t="str">
        <x:v>vistra:LineOfCreditFacilityBorrowingsOutstanding</x:v>
      </x:c>
      <x:c r="J57" s="448" t="str">
        <x:v>c-660</x:v>
      </x:c>
      <x:c r="K57" s="448" t="str">
        <x:v>us-gaap:LongtermDebtTypeAxis = us-gaap:LineOfCreditMember; us-gaap:DebtInstrumentAxis = vistra:SeniorSecuredRevolvingCreditFacilityMember</x:v>
      </x:c>
      <x:c r="L57" s="460" t="n">
        <x:v>6</x:v>
      </x:c>
      <x:c r="M57" s="448" t="str">
        <x:v>-6</x:v>
      </x:c>
      <x:c r="N57" s="448" t="str">
        <x:v>https://www.sec.gov/Archives/edgar/data/1692819/000169281926000019/vistra-20260630.htm</x:v>
      </x:c>
      <x:c r="O57" s="448" t="str">
        <x:v>10-Q Note 12, pp. 20–28</x:v>
      </x:c>
      <x:c r="P57" s="461"/>
      <x:c r="Q57" s="461"/>
      <x:c r="R57" s="462"/>
    </x:row>
    <x:row r="58" ht="52" customHeight="1">
      <x:c r="A58" s="406" t="str">
        <x:v>revolver_lc</x:v>
      </x:c>
      <x:c r="B58" s="458" t="n">
        <x:v>1092000000</x:v>
      </x:c>
      <x:c r="C58" s="448" t="str">
        <x:v>Revolver lc</x:v>
      </x:c>
      <x:c r="D58" s="463"/>
      <x:c r="E58" s="459" t="d">
        <x:v>2026-06-30T00:00:00.000Z</x:v>
      </x:c>
      <x:c r="F58" s="448" t="str">
        <x:v>10-Q</x:v>
      </x:c>
      <x:c r="G58" s="459" t="d">
        <x:v>2026-08-10T00:00:00.000Z</x:v>
      </x:c>
      <x:c r="H58" s="448" t="str">
        <x:v>0001692819-26-000019</x:v>
      </x:c>
      <x:c r="I58" s="448" t="str">
        <x:v>vistra:LineOfCreditFacilityLettersOfCreditOutstanding</x:v>
      </x:c>
      <x:c r="J58" s="448" t="str">
        <x:v>c-660</x:v>
      </x:c>
      <x:c r="K58" s="448" t="str">
        <x:v>us-gaap:LongtermDebtTypeAxis = us-gaap:LineOfCreditMember; us-gaap:DebtInstrumentAxis = vistra:SeniorSecuredRevolvingCreditFacilityMember</x:v>
      </x:c>
      <x:c r="L58" s="460" t="n">
        <x:v>6</x:v>
      </x:c>
      <x:c r="M58" s="448" t="str">
        <x:v>-6</x:v>
      </x:c>
      <x:c r="N58" s="448" t="str">
        <x:v>https://www.sec.gov/Archives/edgar/data/1692819/000169281926000019/vistra-20260630.htm</x:v>
      </x:c>
      <x:c r="O58" s="448" t="str">
        <x:v>10-Q Note 12, pp. 20–28</x:v>
      </x:c>
      <x:c r="P58" s="461"/>
      <x:c r="Q58" s="461"/>
      <x:c r="R58" s="462"/>
    </x:row>
    <x:row r="59" ht="52" customHeight="1">
      <x:c r="A59" s="406" t="str">
        <x:v>revolver_available</x:v>
      </x:c>
      <x:c r="B59" s="458" t="n">
        <x:v>4408000000</x:v>
      </x:c>
      <x:c r="C59" s="448" t="str">
        <x:v>Revolver available</x:v>
      </x:c>
      <x:c r="D59" s="463"/>
      <x:c r="E59" s="459" t="d">
        <x:v>2026-06-30T00:00:00.000Z</x:v>
      </x:c>
      <x:c r="F59" s="448" t="str">
        <x:v>10-Q</x:v>
      </x:c>
      <x:c r="G59" s="459" t="d">
        <x:v>2026-08-10T00:00:00.000Z</x:v>
      </x:c>
      <x:c r="H59" s="448" t="str">
        <x:v>0001692819-26-000019</x:v>
      </x:c>
      <x:c r="I59" s="448" t="str">
        <x:v>us-gaap:LineOfCreditFacilityRemainingBorrowingCapacity</x:v>
      </x:c>
      <x:c r="J59" s="448" t="str">
        <x:v>c-660</x:v>
      </x:c>
      <x:c r="K59" s="448" t="str">
        <x:v>us-gaap:LongtermDebtTypeAxis = us-gaap:LineOfCreditMember; us-gaap:DebtInstrumentAxis = vistra:SeniorSecuredRevolvingCreditFacilityMember</x:v>
      </x:c>
      <x:c r="L59" s="460" t="n">
        <x:v>6</x:v>
      </x:c>
      <x:c r="M59" s="448" t="str">
        <x:v>-6</x:v>
      </x:c>
      <x:c r="N59" s="448" t="str">
        <x:v>https://www.sec.gov/Archives/edgar/data/1692819/000169281926000019/vistra-20260630.htm</x:v>
      </x:c>
      <x:c r="O59" s="448" t="str">
        <x:v>10-Q Note 12, pp. 20–28</x:v>
      </x:c>
      <x:c r="P59" s="461"/>
      <x:c r="Q59" s="461"/>
      <x:c r="R59" s="462"/>
    </x:row>
    <x:row r="60" ht="52" customHeight="1">
      <x:c r="A60" s="406" t="str">
        <x:v>commodity_limit</x:v>
      </x:c>
      <x:c r="B60" s="458" t="n">
        <x:v>1750000000</x:v>
      </x:c>
      <x:c r="C60" s="448" t="str">
        <x:v>Commodity limit</x:v>
      </x:c>
      <x:c r="D60" s="463"/>
      <x:c r="E60" s="459" t="d">
        <x:v>2026-06-30T00:00:00.000Z</x:v>
      </x:c>
      <x:c r="F60" s="448" t="str">
        <x:v>10-Q</x:v>
      </x:c>
      <x:c r="G60" s="459" t="d">
        <x:v>2026-08-10T00:00:00.000Z</x:v>
      </x:c>
      <x:c r="H60" s="448" t="str">
        <x:v>0001692819-26-000019</x:v>
      </x:c>
      <x:c r="I60" s="448" t="str">
        <x:v>us-gaap:LineOfCreditFacilityMaximumBorrowingCapacity</x:v>
      </x:c>
      <x:c r="J60" s="448" t="str">
        <x:v>c-662</x:v>
      </x:c>
      <x:c r="K60" s="448" t="str">
        <x:v>us-gaap:LongtermDebtTypeAxis = us-gaap:RevolvingCreditFacilityMember; us-gaap:DebtInstrumentAxis = vistra:SeniorSecuredCommodityLinkedRevolvingCreditFacilityMember</x:v>
      </x:c>
      <x:c r="L60" s="460" t="n">
        <x:v>6</x:v>
      </x:c>
      <x:c r="M60" s="448" t="str">
        <x:v>-6</x:v>
      </x:c>
      <x:c r="N60" s="448" t="str">
        <x:v>https://www.sec.gov/Archives/edgar/data/1692819/000169281926000019/vistra-20260630.htm</x:v>
      </x:c>
      <x:c r="O60" s="448" t="str">
        <x:v>10-Q Note 12, pp. 20–28</x:v>
      </x:c>
      <x:c r="P60" s="461"/>
      <x:c r="Q60" s="461"/>
      <x:c r="R60" s="462"/>
    </x:row>
    <x:row r="61" ht="52" customHeight="1">
      <x:c r="A61" s="406" t="str">
        <x:v>commodity_drawn</x:v>
      </x:c>
      <x:c r="B61" s="458" t="n">
        <x:v>0</x:v>
      </x:c>
      <x:c r="C61" s="448" t="str">
        <x:v>Commodity drawn</x:v>
      </x:c>
      <x:c r="D61" s="463"/>
      <x:c r="E61" s="459" t="d">
        <x:v>2026-06-30T00:00:00.000Z</x:v>
      </x:c>
      <x:c r="F61" s="448" t="str">
        <x:v>10-Q</x:v>
      </x:c>
      <x:c r="G61" s="459" t="d">
        <x:v>2026-08-10T00:00:00.000Z</x:v>
      </x:c>
      <x:c r="H61" s="448" t="str">
        <x:v>0001692819-26-000019</x:v>
      </x:c>
      <x:c r="I61" s="448" t="str">
        <x:v>vistra:LineOfCreditFacilityBorrowingsOutstanding</x:v>
      </x:c>
      <x:c r="J61" s="448" t="str">
        <x:v>c-662</x:v>
      </x:c>
      <x:c r="K61" s="448" t="str">
        <x:v>us-gaap:LongtermDebtTypeAxis = us-gaap:RevolvingCreditFacilityMember; us-gaap:DebtInstrumentAxis = vistra:SeniorSecuredCommodityLinkedRevolvingCreditFacilityMember</x:v>
      </x:c>
      <x:c r="L61" s="460" t="n">
        <x:v>6</x:v>
      </x:c>
      <x:c r="M61" s="448" t="str">
        <x:v>-6</x:v>
      </x:c>
      <x:c r="N61" s="448" t="str">
        <x:v>https://www.sec.gov/Archives/edgar/data/1692819/000169281926000019/vistra-20260630.htm</x:v>
      </x:c>
      <x:c r="O61" s="448" t="str">
        <x:v>10-Q Note 12, pp. 20–28</x:v>
      </x:c>
      <x:c r="P61" s="461"/>
      <x:c r="Q61" s="461"/>
      <x:c r="R61" s="462"/>
    </x:row>
    <x:row r="62" ht="52" customHeight="1">
      <x:c r="A62" s="406" t="str">
        <x:v>commodity_lc</x:v>
      </x:c>
      <x:c r="B62" s="458" t="n">
        <x:v>0</x:v>
      </x:c>
      <x:c r="C62" s="448" t="str">
        <x:v>Commodity lc</x:v>
      </x:c>
      <x:c r="D62" s="463"/>
      <x:c r="E62" s="459" t="d">
        <x:v>2026-06-30T00:00:00.000Z</x:v>
      </x:c>
      <x:c r="F62" s="448" t="str">
        <x:v>10-Q</x:v>
      </x:c>
      <x:c r="G62" s="459" t="d">
        <x:v>2026-08-10T00:00:00.000Z</x:v>
      </x:c>
      <x:c r="H62" s="448" t="str">
        <x:v>0001692819-26-000019</x:v>
      </x:c>
      <x:c r="I62" s="448" t="str">
        <x:v>vistra:LineOfCreditFacilityLettersOfCreditOutstanding</x:v>
      </x:c>
      <x:c r="J62" s="448" t="str">
        <x:v>c-662</x:v>
      </x:c>
      <x:c r="K62" s="448" t="str">
        <x:v>us-gaap:LongtermDebtTypeAxis = us-gaap:RevolvingCreditFacilityMember; us-gaap:DebtInstrumentAxis = vistra:SeniorSecuredCommodityLinkedRevolvingCreditFacilityMember</x:v>
      </x:c>
      <x:c r="L62" s="460" t="n">
        <x:v>6</x:v>
      </x:c>
      <x:c r="M62" s="448" t="str">
        <x:v>-6</x:v>
      </x:c>
      <x:c r="N62" s="448" t="str">
        <x:v>https://www.sec.gov/Archives/edgar/data/1692819/000169281926000019/vistra-20260630.htm</x:v>
      </x:c>
      <x:c r="O62" s="448" t="str">
        <x:v>10-Q Note 12, pp. 20–28</x:v>
      </x:c>
      <x:c r="P62" s="461"/>
      <x:c r="Q62" s="461"/>
      <x:c r="R62" s="462"/>
    </x:row>
    <x:row r="63" ht="52" customHeight="1">
      <x:c r="A63" s="406" t="str">
        <x:v>commodity_available</x:v>
      </x:c>
      <x:c r="B63" s="458" t="n">
        <x:v>1452000000</x:v>
      </x:c>
      <x:c r="C63" s="448" t="str">
        <x:v>Commodity available</x:v>
      </x:c>
      <x:c r="D63" s="463"/>
      <x:c r="E63" s="459" t="d">
        <x:v>2026-06-30T00:00:00.000Z</x:v>
      </x:c>
      <x:c r="F63" s="448" t="str">
        <x:v>10-Q</x:v>
      </x:c>
      <x:c r="G63" s="459" t="d">
        <x:v>2026-08-10T00:00:00.000Z</x:v>
      </x:c>
      <x:c r="H63" s="448" t="str">
        <x:v>0001692819-26-000019</x:v>
      </x:c>
      <x:c r="I63" s="448" t="str">
        <x:v>us-gaap:LineOfCreditFacilityRemainingBorrowingCapacity</x:v>
      </x:c>
      <x:c r="J63" s="448" t="str">
        <x:v>c-662</x:v>
      </x:c>
      <x:c r="K63" s="448" t="str">
        <x:v>us-gaap:LongtermDebtTypeAxis = us-gaap:RevolvingCreditFacilityMember; us-gaap:DebtInstrumentAxis = vistra:SeniorSecuredCommodityLinkedRevolvingCreditFacilityMember</x:v>
      </x:c>
      <x:c r="L63" s="460" t="n">
        <x:v>6</x:v>
      </x:c>
      <x:c r="M63" s="448" t="str">
        <x:v>-6</x:v>
      </x:c>
      <x:c r="N63" s="448" t="str">
        <x:v>https://www.sec.gov/Archives/edgar/data/1692819/000169281926000019/vistra-20260630.htm</x:v>
      </x:c>
      <x:c r="O63" s="448" t="str">
        <x:v>10-Q Note 12, pp. 20–28</x:v>
      </x:c>
      <x:c r="P63" s="461"/>
      <x:c r="Q63" s="461"/>
      <x:c r="R63" s="462"/>
    </x:row>
    <x:row r="64" ht="52" customHeight="1">
      <x:c r="A64" s="406" t="str">
        <x:v>bcop_available</x:v>
      </x:c>
      <x:c r="B64" s="458" t="n">
        <x:v>0</x:v>
      </x:c>
      <x:c r="C64" s="448" t="str">
        <x:v>BCOP reported unused capacity</x:v>
      </x:c>
      <x:c r="D64" s="463"/>
      <x:c r="E64" s="459" t="d">
        <x:v>2026-06-30T00:00:00.000Z</x:v>
      </x:c>
      <x:c r="F64" s="448" t="str">
        <x:v>10-Q</x:v>
      </x:c>
      <x:c r="G64" s="459" t="d">
        <x:v>2026-08-10T00:00:00.000Z</x:v>
      </x:c>
      <x:c r="H64" s="448" t="str">
        <x:v>0001692819-26-000019</x:v>
      </x:c>
      <x:c r="I64" s="448" t="str">
        <x:v>us-gaap:LineOfCreditFacilityRemainingBorrowingCapacity</x:v>
      </x:c>
      <x:c r="J64" s="448" t="str">
        <x:v>c-663</x:v>
      </x:c>
      <x:c r="K64" s="448" t="str">
        <x:v>us-gaap:DebtInstrumentAxis = vistra:BCOPCreditFacilitiesMember</x:v>
      </x:c>
      <x:c r="L64" s="460" t="n">
        <x:v>6</x:v>
      </x:c>
      <x:c r="M64" s="448" t="str">
        <x:v>-6</x:v>
      </x:c>
      <x:c r="N64" s="448" t="str">
        <x:v>https://www.sec.gov/Archives/edgar/data/1692819/000169281926000019/vistra-20260630.htm</x:v>
      </x:c>
      <x:c r="O64" s="448" t="str">
        <x:v>10-Q Note 12, pp. 20–28</x:v>
      </x:c>
      <x:c r="P64" s="461"/>
      <x:c r="Q64" s="461"/>
      <x:c r="R64" s="462"/>
    </x:row>
    <x:row r="65" ht="52" customHeight="1">
      <x:c r="A65" s="406" t="str">
        <x:v>zero_available</x:v>
      </x:c>
      <x:c r="B65" s="458" t="n">
        <x:v>0</x:v>
      </x:c>
      <x:c r="C65" s="448" t="str">
        <x:v>ZERO reported unused capacity</x:v>
      </x:c>
      <x:c r="D65" s="463"/>
      <x:c r="E65" s="459" t="d">
        <x:v>2026-06-30T00:00:00.000Z</x:v>
      </x:c>
      <x:c r="F65" s="448" t="str">
        <x:v>10-Q</x:v>
      </x:c>
      <x:c r="G65" s="459" t="d">
        <x:v>2026-08-10T00:00:00.000Z</x:v>
      </x:c>
      <x:c r="H65" s="448" t="str">
        <x:v>0001692819-26-000019</x:v>
      </x:c>
      <x:c r="I65" s="448" t="str">
        <x:v>us-gaap:LineOfCreditFacilityRemainingBorrowingCapacity</x:v>
      </x:c>
      <x:c r="J65" s="448" t="str">
        <x:v>c-664</x:v>
      </x:c>
      <x:c r="K65" s="448" t="str">
        <x:v>us-gaap:LongtermDebtTypeAxis = us-gaap:RevolvingCreditFacilityMember; us-gaap:DebtInstrumentAxis = vistra:VistraZeroTermLoanBFacilityMember</x:v>
      </x:c>
      <x:c r="L65" s="460" t="n">
        <x:v>6</x:v>
      </x:c>
      <x:c r="M65" s="448" t="str">
        <x:v>-6</x:v>
      </x:c>
      <x:c r="N65" s="448" t="str">
        <x:v>https://www.sec.gov/Archives/edgar/data/1692819/000169281926000019/vistra-20260630.htm</x:v>
      </x:c>
      <x:c r="O65" s="448" t="str">
        <x:v>10-Q Note 12, pp. 20–28</x:v>
      </x:c>
      <x:c r="P65" s="461"/>
      <x:c r="Q65" s="461"/>
      <x:c r="R65" s="462"/>
    </x:row>
    <x:row r="66" ht="52" customHeight="1">
      <x:c r="A66" s="406" t="str">
        <x:v>txef_available</x:v>
      </x:c>
      <x:c r="B66" s="458" t="n">
        <x:v>0</x:v>
      </x:c>
      <x:c r="C66" s="448" t="str">
        <x:v>TXEF reported unused capacity</x:v>
      </x:c>
      <x:c r="D66" s="463"/>
      <x:c r="E66" s="459" t="d">
        <x:v>2026-06-30T00:00:00.000Z</x:v>
      </x:c>
      <x:c r="F66" s="448" t="str">
        <x:v>10-Q</x:v>
      </x:c>
      <x:c r="G66" s="459" t="d">
        <x:v>2026-08-10T00:00:00.000Z</x:v>
      </x:c>
      <x:c r="H66" s="448" t="str">
        <x:v>0001692819-26-000019</x:v>
      </x:c>
      <x:c r="I66" s="448" t="str">
        <x:v>us-gaap:LineOfCreditFacilityRemainingBorrowingCapacity</x:v>
      </x:c>
      <x:c r="J66" s="448" t="str">
        <x:v>c-665</x:v>
      </x:c>
      <x:c r="K66" s="448" t="str">
        <x:v>us-gaap:LongtermDebtTypeAxis = us-gaap:RevolvingCreditFacilityMember; us-gaap:DebtInstrumentAxis = vistra:TexasEnergyFundLoanMember</x:v>
      </x:c>
      <x:c r="L66" s="460" t="n">
        <x:v>6</x:v>
      </x:c>
      <x:c r="M66" s="448" t="str">
        <x:v>-6</x:v>
      </x:c>
      <x:c r="N66" s="448" t="str">
        <x:v>https://www.sec.gov/Archives/edgar/data/1692819/000169281926000019/vistra-20260630.htm</x:v>
      </x:c>
      <x:c r="O66" s="448" t="str">
        <x:v>10-Q Note 12, pp. 20–28</x:v>
      </x:c>
      <x:c r="P66" s="461"/>
      <x:c r="Q66" s="461"/>
      <x:c r="R66" s="462"/>
    </x:row>
    <x:row r="67" ht="52" customHeight="1">
      <x:c r="A67" s="406" t="str">
        <x:v>helix_initial</x:v>
      </x:c>
      <x:c r="B67" s="458" t="n">
        <x:v>500000000</x:v>
      </x:c>
      <x:c r="C67" s="448" t="str">
        <x:v>Helix Initial</x:v>
      </x:c>
      <x:c r="D67" s="459" t="d">
        <x:v>2026-06-01T00:00:00.000Z</x:v>
      </x:c>
      <x:c r="E67" s="459" t="d">
        <x:v>2026-06-30T00:00:00.000Z</x:v>
      </x:c>
      <x:c r="F67" s="448" t="str">
        <x:v>10-Q</x:v>
      </x:c>
      <x:c r="G67" s="459" t="d">
        <x:v>2026-08-10T00:00:00.000Z</x:v>
      </x:c>
      <x:c r="H67" s="448" t="str">
        <x:v>0001692819-26-000019</x:v>
      </x:c>
      <x:c r="I67" s="448" t="str">
        <x:v>vistra:InvestmentCompanyInitialCommitmentCapital</x:v>
      </x:c>
      <x:c r="J67" s="448" t="str">
        <x:v>c-510</x:v>
      </x:c>
      <x:c r="K67" s="448" t="str">
        <x:v>None (consolidated total)</x:v>
      </x:c>
      <x:c r="L67" s="460" t="n">
        <x:v>6</x:v>
      </x:c>
      <x:c r="M67" s="448" t="str">
        <x:v>-6</x:v>
      </x:c>
      <x:c r="N67" s="448" t="str">
        <x:v>https://www.sec.gov/Archives/edgar/data/1692819/000169281926000019/vistra-20260630.htm</x:v>
      </x:c>
      <x:c r="O67" s="448" t="str">
        <x:v>10-Q Note 7 p. 15; MD&amp;A p. 69</x:v>
      </x:c>
      <x:c r="P67" s="461"/>
      <x:c r="Q67" s="461"/>
      <x:c r="R67" s="462"/>
    </x:row>
    <x:row r="68" ht="52" customHeight="1">
      <x:c r="A68" s="406" t="str">
        <x:v>helix_additional</x:v>
      </x:c>
      <x:c r="B68" s="458" t="n">
        <x:v>500000000</x:v>
      </x:c>
      <x:c r="C68" s="448" t="str">
        <x:v>Helix Additional</x:v>
      </x:c>
      <x:c r="D68" s="459" t="d">
        <x:v>2026-06-01T00:00:00.000Z</x:v>
      </x:c>
      <x:c r="E68" s="459" t="d">
        <x:v>2026-06-30T00:00:00.000Z</x:v>
      </x:c>
      <x:c r="F68" s="448" t="str">
        <x:v>10-Q</x:v>
      </x:c>
      <x:c r="G68" s="459" t="d">
        <x:v>2026-08-10T00:00:00.000Z</x:v>
      </x:c>
      <x:c r="H68" s="448" t="str">
        <x:v>0001692819-26-000019</x:v>
      </x:c>
      <x:c r="I68" s="448" t="str">
        <x:v>vistra:InvestmentCompanyAdditionalCommitmentCapital</x:v>
      </x:c>
      <x:c r="J68" s="448" t="str">
        <x:v>c-510</x:v>
      </x:c>
      <x:c r="K68" s="448" t="str">
        <x:v>None (consolidated total)</x:v>
      </x:c>
      <x:c r="L68" s="460" t="n">
        <x:v>6</x:v>
      </x:c>
      <x:c r="M68" s="448" t="str">
        <x:v>-6</x:v>
      </x:c>
      <x:c r="N68" s="448" t="str">
        <x:v>https://www.sec.gov/Archives/edgar/data/1692819/000169281926000019/vistra-20260630.htm</x:v>
      </x:c>
      <x:c r="O68" s="448" t="str">
        <x:v>10-Q Note 7 p. 15; MD&amp;A p. 69</x:v>
      </x:c>
      <x:c r="P68" s="461"/>
      <x:c r="Q68" s="461"/>
      <x:c r="R68" s="462"/>
    </x:row>
    <x:row r="69" ht="52" customHeight="1">
      <x:c r="A69" s="406" t="str">
        <x:v>cogentrix</x:v>
      </x:c>
      <x:c r="B69" s="458" t="n">
        <x:v>2300000000</x:v>
      </x:c>
      <x:c r="C69" s="448" t="str">
        <x:v>Expected Cogentrix cash consideration</x:v>
      </x:c>
      <x:c r="D69" s="459" t="d">
        <x:v>2025-12-31T00:00:00.000Z</x:v>
      </x:c>
      <x:c r="E69" s="459" t="d">
        <x:v>2025-12-31T00:00:00.000Z</x:v>
      </x:c>
      <x:c r="F69" s="448" t="str">
        <x:v>10-Q</x:v>
      </x:c>
      <x:c r="G69" s="459" t="d">
        <x:v>2026-08-10T00:00:00.000Z</x:v>
      </x:c>
      <x:c r="H69" s="448" t="str">
        <x:v>0001692819-26-000019</x:v>
      </x:c>
      <x:c r="I69" s="448" t="str">
        <x:v>us-gaap:BusinessCombinationConsiderationTransferred1</x:v>
      </x:c>
      <x:c r="J69" s="448" t="str">
        <x:v>c-91</x:v>
      </x:c>
      <x:c r="K69" s="448" t="str">
        <x:v>us-gaap:BusinessAcquisitionAxis = vistra:CogentrixEnergyMember</x:v>
      </x:c>
      <x:c r="L69" s="460" t="n">
        <x:v>9</x:v>
      </x:c>
      <x:c r="M69" s="448" t="str">
        <x:v>-8</x:v>
      </x:c>
      <x:c r="N69" s="448" t="str">
        <x:v>https://www.sec.gov/Archives/edgar/data/1692819/000169281926000019/vistra-20260630.htm</x:v>
      </x:c>
      <x:c r="O69" s="448" t="str">
        <x:v>10-Q Note 3 p. 9; expected closing late 2026</x:v>
      </x:c>
      <x:c r="P69" s="461"/>
      <x:c r="Q69" s="461"/>
      <x:c r="R69" s="462"/>
    </x:row>
    <x:row r="70" ht="52" customHeight="1">
      <x:c r="A70" s="406" t="str">
        <x:v>annual_0</x:v>
      </x:c>
      <x:c r="B70" s="458" t="n">
        <x:v>1201000000</x:v>
      </x:c>
      <x:c r="C70" s="448" t="str">
        <x:v>2026</x:v>
      </x:c>
      <x:c r="D70" s="463"/>
      <x:c r="E70" s="459" t="d">
        <x:v>2025-12-31T00:00:00.000Z</x:v>
      </x:c>
      <x:c r="F70" s="448" t="str">
        <x:v>10-K</x:v>
      </x:c>
      <x:c r="G70" s="459" t="d">
        <x:v>2026-02-27T00:00:00.000Z</x:v>
      </x:c>
      <x:c r="H70" s="448" t="str">
        <x:v>0001692819-26-000006</x:v>
      </x:c>
      <x:c r="I70" s="448" t="str">
        <x:v>us-gaap:LongTermDebtMaturitiesRepaymentsOfPrincipalInNextTwelveMonths</x:v>
      </x:c>
      <x:c r="J70" s="448" t="str">
        <x:v>c-7</x:v>
      </x:c>
      <x:c r="K70" s="448" t="str">
        <x:v>None (consolidated total)</x:v>
      </x:c>
      <x:c r="L70" s="460" t="n">
        <x:v>6</x:v>
      </x:c>
      <x:c r="M70" s="448" t="str">
        <x:v>-6</x:v>
      </x:c>
      <x:c r="N70" s="448" t="str">
        <x:v>https://www.sec.gov/Archives/edgar/data/1692819/000169281926000006/vistra-20251231.htm</x:v>
      </x:c>
      <x:c r="O70" s="448" t="str">
        <x:v>10-K Note 13, long-term debt maturities, pp. 114–115</x:v>
      </x:c>
      <x:c r="P70" s="461"/>
      <x:c r="Q70" s="461"/>
      <x:c r="R70" s="462"/>
    </x:row>
    <x:row r="71" ht="52" customHeight="1">
      <x:c r="A71" s="406" t="str">
        <x:v>annual_1</x:v>
      </x:c>
      <x:c r="B71" s="458" t="n">
        <x:v>3435000000</x:v>
      </x:c>
      <x:c r="C71" s="448" t="str">
        <x:v>2027</x:v>
      </x:c>
      <x:c r="D71" s="463"/>
      <x:c r="E71" s="459" t="d">
        <x:v>2025-12-31T00:00:00.000Z</x:v>
      </x:c>
      <x:c r="F71" s="448" t="str">
        <x:v>10-K</x:v>
      </x:c>
      <x:c r="G71" s="459" t="d">
        <x:v>2026-02-27T00:00:00.000Z</x:v>
      </x:c>
      <x:c r="H71" s="448" t="str">
        <x:v>0001692819-26-000006</x:v>
      </x:c>
      <x:c r="I71" s="448" t="str">
        <x:v>us-gaap:LongTermDebtMaturitiesRepaymentsOfPrincipalInYearTwo</x:v>
      </x:c>
      <x:c r="J71" s="448" t="str">
        <x:v>c-7</x:v>
      </x:c>
      <x:c r="K71" s="448" t="str">
        <x:v>None (consolidated total)</x:v>
      </x:c>
      <x:c r="L71" s="460" t="n">
        <x:v>6</x:v>
      </x:c>
      <x:c r="M71" s="448" t="str">
        <x:v>-6</x:v>
      </x:c>
      <x:c r="N71" s="448" t="str">
        <x:v>https://www.sec.gov/Archives/edgar/data/1692819/000169281926000006/vistra-20251231.htm</x:v>
      </x:c>
      <x:c r="O71" s="448" t="str">
        <x:v>10-K Note 13, long-term debt maturities, pp. 114–115</x:v>
      </x:c>
      <x:c r="P71" s="461"/>
      <x:c r="Q71" s="461"/>
      <x:c r="R71" s="462"/>
    </x:row>
    <x:row r="72" ht="52" customHeight="1">
      <x:c r="A72" s="406" t="str">
        <x:v>annual_2</x:v>
      </x:c>
      <x:c r="B72" s="458" t="n">
        <x:v>786000000</x:v>
      </x:c>
      <x:c r="C72" s="448" t="str">
        <x:v>2028</x:v>
      </x:c>
      <x:c r="D72" s="463"/>
      <x:c r="E72" s="459" t="d">
        <x:v>2025-12-31T00:00:00.000Z</x:v>
      </x:c>
      <x:c r="F72" s="448" t="str">
        <x:v>10-K</x:v>
      </x:c>
      <x:c r="G72" s="459" t="d">
        <x:v>2026-02-27T00:00:00.000Z</x:v>
      </x:c>
      <x:c r="H72" s="448" t="str">
        <x:v>0001692819-26-000006</x:v>
      </x:c>
      <x:c r="I72" s="448" t="str">
        <x:v>us-gaap:LongTermDebtMaturitiesRepaymentsOfPrincipalInYearThree</x:v>
      </x:c>
      <x:c r="J72" s="448" t="str">
        <x:v>c-7</x:v>
      </x:c>
      <x:c r="K72" s="448" t="str">
        <x:v>None (consolidated total)</x:v>
      </x:c>
      <x:c r="L72" s="460" t="n">
        <x:v>6</x:v>
      </x:c>
      <x:c r="M72" s="448" t="str">
        <x:v>-6</x:v>
      </x:c>
      <x:c r="N72" s="448" t="str">
        <x:v>https://www.sec.gov/Archives/edgar/data/1692819/000169281926000006/vistra-20251231.htm</x:v>
      </x:c>
      <x:c r="O72" s="448" t="str">
        <x:v>10-K Note 13, long-term debt maturities, pp. 114–115</x:v>
      </x:c>
      <x:c r="P72" s="461"/>
      <x:c r="Q72" s="461"/>
      <x:c r="R72" s="462"/>
    </x:row>
    <x:row r="73" ht="52" customHeight="1">
      <x:c r="A73" s="406" t="str">
        <x:v>annual_3</x:v>
      </x:c>
      <x:c r="B73" s="458" t="n">
        <x:v>2362000000</x:v>
      </x:c>
      <x:c r="C73" s="448" t="str">
        <x:v>2029</x:v>
      </x:c>
      <x:c r="D73" s="463"/>
      <x:c r="E73" s="459" t="d">
        <x:v>2025-12-31T00:00:00.000Z</x:v>
      </x:c>
      <x:c r="F73" s="448" t="str">
        <x:v>10-K</x:v>
      </x:c>
      <x:c r="G73" s="459" t="d">
        <x:v>2026-02-27T00:00:00.000Z</x:v>
      </x:c>
      <x:c r="H73" s="448" t="str">
        <x:v>0001692819-26-000006</x:v>
      </x:c>
      <x:c r="I73" s="448" t="str">
        <x:v>us-gaap:LongTermDebtMaturitiesRepaymentsOfPrincipalInYearFour</x:v>
      </x:c>
      <x:c r="J73" s="448" t="str">
        <x:v>c-7</x:v>
      </x:c>
      <x:c r="K73" s="448" t="str">
        <x:v>None (consolidated total)</x:v>
      </x:c>
      <x:c r="L73" s="460" t="n">
        <x:v>6</x:v>
      </x:c>
      <x:c r="M73" s="448" t="str">
        <x:v>-6</x:v>
      </x:c>
      <x:c r="N73" s="448" t="str">
        <x:v>https://www.sec.gov/Archives/edgar/data/1692819/000169281926000006/vistra-20251231.htm</x:v>
      </x:c>
      <x:c r="O73" s="448" t="str">
        <x:v>10-K Note 13, long-term debt maturities, pp. 114–115</x:v>
      </x:c>
      <x:c r="P73" s="461"/>
      <x:c r="Q73" s="461"/>
      <x:c r="R73" s="462"/>
    </x:row>
    <x:row r="74" ht="52" customHeight="1">
      <x:c r="A74" s="406" t="str">
        <x:v>annual_4</x:v>
      </x:c>
      <x:c r="B74" s="458" t="n">
        <x:v>2853000000</x:v>
      </x:c>
      <x:c r="C74" s="448" t="str">
        <x:v>2030</x:v>
      </x:c>
      <x:c r="D74" s="463"/>
      <x:c r="E74" s="459" t="d">
        <x:v>2025-12-31T00:00:00.000Z</x:v>
      </x:c>
      <x:c r="F74" s="448" t="str">
        <x:v>10-K</x:v>
      </x:c>
      <x:c r="G74" s="459" t="d">
        <x:v>2026-02-27T00:00:00.000Z</x:v>
      </x:c>
      <x:c r="H74" s="448" t="str">
        <x:v>0001692819-26-000006</x:v>
      </x:c>
      <x:c r="I74" s="448" t="str">
        <x:v>us-gaap:LongTermDebtMaturitiesRepaymentsOfPrincipalInYearFive</x:v>
      </x:c>
      <x:c r="J74" s="448" t="str">
        <x:v>c-7</x:v>
      </x:c>
      <x:c r="K74" s="448" t="str">
        <x:v>None (consolidated total)</x:v>
      </x:c>
      <x:c r="L74" s="460" t="n">
        <x:v>6</x:v>
      </x:c>
      <x:c r="M74" s="448" t="str">
        <x:v>-6</x:v>
      </x:c>
      <x:c r="N74" s="448" t="str">
        <x:v>https://www.sec.gov/Archives/edgar/data/1692819/000169281926000006/vistra-20251231.htm</x:v>
      </x:c>
      <x:c r="O74" s="448" t="str">
        <x:v>10-K Note 13, long-term debt maturities, pp. 114–115</x:v>
      </x:c>
      <x:c r="P74" s="461"/>
      <x:c r="Q74" s="461"/>
      <x:c r="R74" s="462"/>
    </x:row>
    <x:row r="75" ht="52" customHeight="1">
      <x:c r="A75" s="406" t="str">
        <x:v>annual_5</x:v>
      </x:c>
      <x:c r="B75" s="458" t="n">
        <x:v>6559000000</x:v>
      </x:c>
      <x:c r="C75" s="448" t="str">
        <x:v>Thereafter</x:v>
      </x:c>
      <x:c r="D75" s="463"/>
      <x:c r="E75" s="459" t="d">
        <x:v>2025-12-31T00:00:00.000Z</x:v>
      </x:c>
      <x:c r="F75" s="448" t="str">
        <x:v>10-K</x:v>
      </x:c>
      <x:c r="G75" s="459" t="d">
        <x:v>2026-02-27T00:00:00.000Z</x:v>
      </x:c>
      <x:c r="H75" s="448" t="str">
        <x:v>0001692819-26-000006</x:v>
      </x:c>
      <x:c r="I75" s="448" t="str">
        <x:v>us-gaap:LongTermDebtMaturitiesRepaymentsOfPrincipalAfterYearFive</x:v>
      </x:c>
      <x:c r="J75" s="448" t="str">
        <x:v>c-7</x:v>
      </x:c>
      <x:c r="K75" s="448" t="str">
        <x:v>None (consolidated total)</x:v>
      </x:c>
      <x:c r="L75" s="460" t="n">
        <x:v>6</x:v>
      </x:c>
      <x:c r="M75" s="448" t="str">
        <x:v>-6</x:v>
      </x:c>
      <x:c r="N75" s="448" t="str">
        <x:v>https://www.sec.gov/Archives/edgar/data/1692819/000169281926000006/vistra-20251231.htm</x:v>
      </x:c>
      <x:c r="O75" s="448" t="str">
        <x:v>10-K Note 13, long-term debt maturities, pp. 114–115</x:v>
      </x:c>
      <x:c r="P75" s="461"/>
      <x:c r="Q75" s="461"/>
      <x:c r="R75" s="462"/>
    </x:row>
    <x:row r="76" ht="52" customHeight="1">
      <x:c r="A76" s="406" t="str">
        <x:v>annual_carrying</x:v>
      </x:c>
      <x:c r="B76" s="458" t="n">
        <x:v>17043000000</x:v>
      </x:c>
      <x:c r="C76" s="448" t="str">
        <x:v>Annual long-term debt carrying amount</x:v>
      </x:c>
      <x:c r="D76" s="463"/>
      <x:c r="E76" s="459" t="d">
        <x:v>2025-12-31T00:00:00.000Z</x:v>
      </x:c>
      <x:c r="F76" s="448" t="str">
        <x:v>10-K</x:v>
      </x:c>
      <x:c r="G76" s="459" t="d">
        <x:v>2026-02-27T00:00:00.000Z</x:v>
      </x:c>
      <x:c r="H76" s="448" t="str">
        <x:v>0001692819-26-000006</x:v>
      </x:c>
      <x:c r="I76" s="448" t="str">
        <x:v>us-gaap:LongTermDebtAndCapitalLeaseObligationsIncludingCurrentMaturities</x:v>
      </x:c>
      <x:c r="J76" s="448" t="str">
        <x:v>c-7</x:v>
      </x:c>
      <x:c r="K76" s="448" t="str">
        <x:v>None (consolidated total)</x:v>
      </x:c>
      <x:c r="L76" s="460" t="n">
        <x:v>6</x:v>
      </x:c>
      <x:c r="M76" s="448" t="str">
        <x:v>-6</x:v>
      </x:c>
      <x:c r="N76" s="448" t="str">
        <x:v>https://www.sec.gov/Archives/edgar/data/1692819/000169281926000006/vistra-20251231.htm</x:v>
      </x:c>
      <x:c r="O76" s="448" t="str">
        <x:v>10-K Note 13, pp. 114–115</x:v>
      </x:c>
      <x:c r="P76" s="461"/>
      <x:c r="Q76" s="461"/>
      <x:c r="R76" s="462"/>
    </x:row>
    <x:row r="77" ht="52" customHeight="1">
      <x:c r="A77" s="406" t="str">
        <x:v>annual_costs</x:v>
      </x:c>
      <x:c r="B77" s="458" t="n">
        <x:v>153000000</x:v>
      </x:c>
      <x:c r="C77" s="448" t="str">
        <x:v>Annual debt premiums, discounts and costs</x:v>
      </x:c>
      <x:c r="D77" s="463"/>
      <x:c r="E77" s="459" t="d">
        <x:v>2025-12-31T00:00:00.000Z</x:v>
      </x:c>
      <x:c r="F77" s="448" t="str">
        <x:v>10-K</x:v>
      </x:c>
      <x:c r="G77" s="459" t="d">
        <x:v>2026-02-27T00:00:00.000Z</x:v>
      </x:c>
      <x:c r="H77" s="448" t="str">
        <x:v>0001692819-26-000006</x:v>
      </x:c>
      <x:c r="I77" s="448" t="str">
        <x:v>us-gaap:DebtInstrumentUnamortizedDiscountPremiumAndDebtIssuanceCostsNet</x:v>
      </x:c>
      <x:c r="J77" s="448" t="str">
        <x:v>c-7</x:v>
      </x:c>
      <x:c r="K77" s="448" t="str">
        <x:v>None (consolidated total)</x:v>
      </x:c>
      <x:c r="L77" s="460" t="n">
        <x:v>6</x:v>
      </x:c>
      <x:c r="M77" s="448" t="str">
        <x:v>-6</x:v>
      </x:c>
      <x:c r="N77" s="448" t="str">
        <x:v>https://www.sec.gov/Archives/edgar/data/1692819/000169281926000006/vistra-20251231.htm</x:v>
      </x:c>
      <x:c r="O77" s="448" t="str">
        <x:v>10-K Note 13, pp. 114–115</x:v>
      </x:c>
      <x:c r="P77" s="461"/>
      <x:c r="Q77" s="461"/>
      <x:c r="R77" s="462"/>
    </x:row>
    <x:row r="78" ht="52" customHeight="1">
      <x:c r="A78" s="406" t="str">
        <x:v>coverage_fy_operating_income</x:v>
      </x:c>
      <x:c r="B78" s="458" t="n">
        <x:v>1906000000</x:v>
      </x:c>
      <x:c r="C78" s="448" t="str">
        <x:v>fy operating_income</x:v>
      </x:c>
      <x:c r="D78" s="459" t="d">
        <x:v>2025-01-01T00:00:00.000Z</x:v>
      </x:c>
      <x:c r="E78" s="459" t="d">
        <x:v>2025-12-31T00:00:00.000Z</x:v>
      </x:c>
      <x:c r="F78" s="448" t="str">
        <x:v>10-K</x:v>
      </x:c>
      <x:c r="G78" s="459" t="d">
        <x:v>2026-02-27T00:00:00.000Z</x:v>
      </x:c>
      <x:c r="H78" s="448" t="str">
        <x:v>0001692819-26-000006</x:v>
      </x:c>
      <x:c r="I78" s="448" t="str">
        <x:v>us-gaap:OperatingIncomeLoss</x:v>
      </x:c>
      <x:c r="J78" s="448" t="str">
        <x:v>c-1</x:v>
      </x:c>
      <x:c r="K78" s="448" t="str">
        <x:v>None (consolidated total)</x:v>
      </x:c>
      <x:c r="L78" s="460" t="n">
        <x:v>6</x:v>
      </x:c>
      <x:c r="M78" s="448" t="str">
        <x:v>-6</x:v>
      </x:c>
      <x:c r="N78" s="448" t="str">
        <x:v>https://www.sec.gov/Archives/edgar/data/1692819/000169281926000006/vistra-20251231.htm</x:v>
      </x:c>
      <x:c r="O78" s="448" t="str">
        <x:v>Operations p. 79</x:v>
      </x:c>
      <x:c r="P78" s="461" t="str"/>
      <x:c r="Q78" s="448" t="str">
        <x:v>42e6a0ba0c833ede7d9d452b9f1ea68fbc4cb52035129ab5d5e02916e02822d4</x:v>
      </x:c>
      <x:c r="R78" s="449" t="str">
        <x:v>iso4217:USD; Exact tag, duration, USD, Vistra CIK and no dimensions; agreeing duplicates only</x:v>
      </x:c>
    </x:row>
    <x:row r="79" ht="52" customHeight="1">
      <x:c r="A79" s="406" t="str">
        <x:v>coverage_fy_interest</x:v>
      </x:c>
      <x:c r="B79" s="458" t="n">
        <x:v>1107000000</x:v>
      </x:c>
      <x:c r="C79" s="448" t="str">
        <x:v>fy interest</x:v>
      </x:c>
      <x:c r="D79" s="459" t="d">
        <x:v>2025-01-01T00:00:00.000Z</x:v>
      </x:c>
      <x:c r="E79" s="459" t="d">
        <x:v>2025-12-31T00:00:00.000Z</x:v>
      </x:c>
      <x:c r="F79" s="448" t="str">
        <x:v>10-K</x:v>
      </x:c>
      <x:c r="G79" s="459" t="d">
        <x:v>2026-02-27T00:00:00.000Z</x:v>
      </x:c>
      <x:c r="H79" s="448" t="str">
        <x:v>0001692819-26-000006</x:v>
      </x:c>
      <x:c r="I79" s="448" t="str">
        <x:v>vistra:PostEmergenceInterestPaidAndAccrued</x:v>
      </x:c>
      <x:c r="J79" s="448" t="str">
        <x:v>c-1</x:v>
      </x:c>
      <x:c r="K79" s="448" t="str">
        <x:v>None (consolidated total)</x:v>
      </x:c>
      <x:c r="L79" s="460" t="n">
        <x:v>6</x:v>
      </x:c>
      <x:c r="M79" s="448" t="str">
        <x:v>-6</x:v>
      </x:c>
      <x:c r="N79" s="448" t="str">
        <x:v>https://www.sec.gov/Archives/edgar/data/1692819/000169281926000006/vistra-20251231.htm</x:v>
      </x:c>
      <x:c r="O79" s="448" t="str">
        <x:v>Interest table p. 121</x:v>
      </x:c>
      <x:c r="P79" s="461" t="str"/>
      <x:c r="Q79" s="448" t="str">
        <x:v>42e6a0ba0c833ede7d9d452b9f1ea68fbc4cb52035129ab5d5e02916e02822d4</x:v>
      </x:c>
      <x:c r="R79" s="449" t="str">
        <x:v>iso4217:USD; Exact tag, duration, USD, Vistra CIK and no dimensions; agreeing duplicates only</x:v>
      </x:c>
    </x:row>
    <x:row r="80" ht="52" customHeight="1">
      <x:c r="A80" s="406" t="str">
        <x:v>coverage_fy_swaps</x:v>
      </x:c>
      <x:c r="B80" s="458" t="n">
        <x:v>-67000000</x:v>
      </x:c>
      <x:c r="C80" s="448" t="str">
        <x:v>fy swaps</x:v>
      </x:c>
      <x:c r="D80" s="459" t="d">
        <x:v>2025-01-01T00:00:00.000Z</x:v>
      </x:c>
      <x:c r="E80" s="459" t="d">
        <x:v>2025-12-31T00:00:00.000Z</x:v>
      </x:c>
      <x:c r="F80" s="448" t="str">
        <x:v>10-K</x:v>
      </x:c>
      <x:c r="G80" s="459" t="d">
        <x:v>2026-02-27T00:00:00.000Z</x:v>
      </x:c>
      <x:c r="H80" s="448" t="str">
        <x:v>0001692819-26-000006</x:v>
      </x:c>
      <x:c r="I80" s="448" t="str">
        <x:v>vistra:UnrealizedGainLossOnInterestRateSwapDerivatives</x:v>
      </x:c>
      <x:c r="J80" s="448" t="str">
        <x:v>c-1</x:v>
      </x:c>
      <x:c r="K80" s="448" t="str">
        <x:v>None (consolidated total)</x:v>
      </x:c>
      <x:c r="L80" s="460" t="n">
        <x:v>6</x:v>
      </x:c>
      <x:c r="M80" s="448" t="str">
        <x:v>-6</x:v>
      </x:c>
      <x:c r="N80" s="448" t="str">
        <x:v>https://www.sec.gov/Archives/edgar/data/1692819/000169281926000006/vistra-20251231.htm</x:v>
      </x:c>
      <x:c r="O80" s="448" t="str">
        <x:v>Interest table p. 121</x:v>
      </x:c>
      <x:c r="P80" s="461" t="str"/>
      <x:c r="Q80" s="448" t="str">
        <x:v>42e6a0ba0c833ede7d9d452b9f1ea68fbc4cb52035129ab5d5e02916e02822d4</x:v>
      </x:c>
      <x:c r="R80" s="449" t="str">
        <x:v>iso4217:USD; Exact tag, duration, USD, Vistra CIK and no dimensions; agreeing duplicates only</x:v>
      </x:c>
    </x:row>
    <x:row r="81" ht="52" customHeight="1">
      <x:c r="A81" s="406" t="str">
        <x:v>coverage_fy_amortization</x:v>
      </x:c>
      <x:c r="B81" s="458" t="n">
        <x:v>46000000</x:v>
      </x:c>
      <x:c r="C81" s="448" t="str">
        <x:v>fy amortization</x:v>
      </x:c>
      <x:c r="D81" s="459" t="d">
        <x:v>2025-01-01T00:00:00.000Z</x:v>
      </x:c>
      <x:c r="E81" s="459" t="d">
        <x:v>2025-12-31T00:00:00.000Z</x:v>
      </x:c>
      <x:c r="F81" s="448" t="str">
        <x:v>10-K</x:v>
      </x:c>
      <x:c r="G81" s="459" t="d">
        <x:v>2026-02-27T00:00:00.000Z</x:v>
      </x:c>
      <x:c r="H81" s="448" t="str">
        <x:v>0001692819-26-000006</x:v>
      </x:c>
      <x:c r="I81" s="448" t="str">
        <x:v>us-gaap:AmortizationOfDebtDiscountPremium</x:v>
      </x:c>
      <x:c r="J81" s="448" t="str">
        <x:v>c-1</x:v>
      </x:c>
      <x:c r="K81" s="448" t="str">
        <x:v>None (consolidated total)</x:v>
      </x:c>
      <x:c r="L81" s="460" t="n">
        <x:v>6</x:v>
      </x:c>
      <x:c r="M81" s="448" t="str">
        <x:v>-6</x:v>
      </x:c>
      <x:c r="N81" s="448" t="str">
        <x:v>https://www.sec.gov/Archives/edgar/data/1692819/000169281926000006/vistra-20251231.htm</x:v>
      </x:c>
      <x:c r="O81" s="448" t="str">
        <x:v>Interest table p. 121</x:v>
      </x:c>
      <x:c r="P81" s="461" t="str"/>
      <x:c r="Q81" s="448" t="str">
        <x:v>42e6a0ba0c833ede7d9d452b9f1ea68fbc4cb52035129ab5d5e02916e02822d4</x:v>
      </x:c>
      <x:c r="R81" s="449" t="str">
        <x:v>iso4217:USD; Exact tag, duration, USD, Vistra CIK and no dimensions; agreeing duplicates only</x:v>
      </x:c>
    </x:row>
    <x:row r="82" ht="52" customHeight="1">
      <x:c r="A82" s="406" t="str">
        <x:v>coverage_fy_extinguishment</x:v>
      </x:c>
      <x:c r="B82" s="458" t="n">
        <x:v>0</x:v>
      </x:c>
      <x:c r="C82" s="448" t="str">
        <x:v>fy extinguishment</x:v>
      </x:c>
      <x:c r="D82" s="459" t="d">
        <x:v>2025-01-01T00:00:00.000Z</x:v>
      </x:c>
      <x:c r="E82" s="459" t="d">
        <x:v>2025-12-31T00:00:00.000Z</x:v>
      </x:c>
      <x:c r="F82" s="448" t="str">
        <x:v>10-K</x:v>
      </x:c>
      <x:c r="G82" s="459" t="d">
        <x:v>2026-02-27T00:00:00.000Z</x:v>
      </x:c>
      <x:c r="H82" s="448" t="str">
        <x:v>0001692819-26-000006</x:v>
      </x:c>
      <x:c r="I82" s="448" t="str">
        <x:v>us-gaap:GainsLossesOnExtinguishmentOfDebt</x:v>
      </x:c>
      <x:c r="J82" s="448" t="str">
        <x:v>c-1</x:v>
      </x:c>
      <x:c r="K82" s="448" t="str">
        <x:v>None (consolidated total)</x:v>
      </x:c>
      <x:c r="L82" s="460" t="n">
        <x:v>6</x:v>
      </x:c>
      <x:c r="M82" s="448" t="str">
        <x:v>-6</x:v>
      </x:c>
      <x:c r="N82" s="448" t="str">
        <x:v>https://www.sec.gov/Archives/edgar/data/1692819/000169281926000006/vistra-20251231.htm</x:v>
      </x:c>
      <x:c r="O82" s="448" t="str">
        <x:v>Interest table p. 121</x:v>
      </x:c>
      <x:c r="P82" s="461" t="str"/>
      <x:c r="Q82" s="448" t="str">
        <x:v>42e6a0ba0c833ede7d9d452b9f1ea68fbc4cb52035129ab5d5e02916e02822d4</x:v>
      </x:c>
      <x:c r="R82" s="449" t="str">
        <x:v>iso4217:USD; Exact tag, duration, USD, Vistra CIK and no dimensions; agreeing duplicates only</x:v>
      </x:c>
    </x:row>
    <x:row r="83" ht="52" customHeight="1">
      <x:c r="A83" s="406" t="str">
        <x:v>coverage_fy_capitalized</x:v>
      </x:c>
      <x:c r="B83" s="458" t="n">
        <x:v>125000000</x:v>
      </x:c>
      <x:c r="C83" s="448" t="str">
        <x:v>fy capitalized</x:v>
      </x:c>
      <x:c r="D83" s="459" t="d">
        <x:v>2025-01-01T00:00:00.000Z</x:v>
      </x:c>
      <x:c r="E83" s="459" t="d">
        <x:v>2025-12-31T00:00:00.000Z</x:v>
      </x:c>
      <x:c r="F83" s="448" t="str">
        <x:v>10-K</x:v>
      </x:c>
      <x:c r="G83" s="459" t="d">
        <x:v>2026-02-27T00:00:00.000Z</x:v>
      </x:c>
      <x:c r="H83" s="448" t="str">
        <x:v>0001692819-26-000006</x:v>
      </x:c>
      <x:c r="I83" s="448" t="str">
        <x:v>us-gaap:InterestCostsCapitalizedAdjustment</x:v>
      </x:c>
      <x:c r="J83" s="448" t="str">
        <x:v>c-1</x:v>
      </x:c>
      <x:c r="K83" s="448" t="str">
        <x:v>None (consolidated total)</x:v>
      </x:c>
      <x:c r="L83" s="460" t="n">
        <x:v>6</x:v>
      </x:c>
      <x:c r="M83" s="448" t="str">
        <x:v>-6</x:v>
      </x:c>
      <x:c r="N83" s="448" t="str">
        <x:v>https://www.sec.gov/Archives/edgar/data/1692819/000169281926000006/vistra-20251231.htm</x:v>
      </x:c>
      <x:c r="O83" s="448" t="str">
        <x:v>Interest table p. 121</x:v>
      </x:c>
      <x:c r="P83" s="461" t="str"/>
      <x:c r="Q83" s="448" t="str">
        <x:v>42e6a0ba0c833ede7d9d452b9f1ea68fbc4cb52035129ab5d5e02916e02822d4</x:v>
      </x:c>
      <x:c r="R83" s="449" t="str">
        <x:v>iso4217:USD; Exact tag, duration, USD, Vistra CIK and no dimensions; agreeing duplicates only</x:v>
      </x:c>
    </x:row>
    <x:row r="84" ht="52" customHeight="1">
      <x:c r="A84" s="406" t="str">
        <x:v>coverage_fy_other</x:v>
      </x:c>
      <x:c r="B84" s="458" t="n">
        <x:v>84000000</x:v>
      </x:c>
      <x:c r="C84" s="448" t="str">
        <x:v>fy other</x:v>
      </x:c>
      <x:c r="D84" s="459" t="d">
        <x:v>2025-01-01T00:00:00.000Z</x:v>
      </x:c>
      <x:c r="E84" s="459" t="d">
        <x:v>2025-12-31T00:00:00.000Z</x:v>
      </x:c>
      <x:c r="F84" s="448" t="str">
        <x:v>10-K</x:v>
      </x:c>
      <x:c r="G84" s="459" t="d">
        <x:v>2026-02-27T00:00:00.000Z</x:v>
      </x:c>
      <x:c r="H84" s="448" t="str">
        <x:v>0001692819-26-000006</x:v>
      </x:c>
      <x:c r="I84" s="448" t="str">
        <x:v>us-gaap:InterestExpenseOther</x:v>
      </x:c>
      <x:c r="J84" s="448" t="str">
        <x:v>c-1</x:v>
      </x:c>
      <x:c r="K84" s="448" t="str">
        <x:v>None (consolidated total)</x:v>
      </x:c>
      <x:c r="L84" s="460" t="n">
        <x:v>6</x:v>
      </x:c>
      <x:c r="M84" s="448" t="str">
        <x:v>-6</x:v>
      </x:c>
      <x:c r="N84" s="448" t="str">
        <x:v>https://www.sec.gov/Archives/edgar/data/1692819/000169281926000006/vistra-20251231.htm</x:v>
      </x:c>
      <x:c r="O84" s="448" t="str">
        <x:v>Interest table p. 121</x:v>
      </x:c>
      <x:c r="P84" s="461" t="str"/>
      <x:c r="Q84" s="448" t="str">
        <x:v>42e6a0ba0c833ede7d9d452b9f1ea68fbc4cb52035129ab5d5e02916e02822d4</x:v>
      </x:c>
      <x:c r="R84" s="449" t="str">
        <x:v>iso4217:USD; Exact tag, duration, USD, Vistra CIK and no dimensions; agreeing duplicates only</x:v>
      </x:c>
    </x:row>
    <x:row r="85" ht="52" customHeight="1">
      <x:c r="A85" s="406" t="str">
        <x:v>coverage_fy_total</x:v>
      </x:c>
      <x:c r="B85" s="458" t="n">
        <x:v>1179000000</x:v>
      </x:c>
      <x:c r="C85" s="448" t="str">
        <x:v>fy total</x:v>
      </x:c>
      <x:c r="D85" s="459" t="d">
        <x:v>2025-01-01T00:00:00.000Z</x:v>
      </x:c>
      <x:c r="E85" s="459" t="d">
        <x:v>2025-12-31T00:00:00.000Z</x:v>
      </x:c>
      <x:c r="F85" s="448" t="str">
        <x:v>10-K</x:v>
      </x:c>
      <x:c r="G85" s="459" t="d">
        <x:v>2026-02-27T00:00:00.000Z</x:v>
      </x:c>
      <x:c r="H85" s="448" t="str">
        <x:v>0001692819-26-000006</x:v>
      </x:c>
      <x:c r="I85" s="448" t="str">
        <x:v>us-gaap:InterestExpenseNonoperating</x:v>
      </x:c>
      <x:c r="J85" s="448" t="str">
        <x:v>c-1</x:v>
      </x:c>
      <x:c r="K85" s="448" t="str">
        <x:v>None (consolidated total)</x:v>
      </x:c>
      <x:c r="L85" s="460" t="n">
        <x:v>6</x:v>
      </x:c>
      <x:c r="M85" s="448" t="str">
        <x:v>-6</x:v>
      </x:c>
      <x:c r="N85" s="448" t="str">
        <x:v>https://www.sec.gov/Archives/edgar/data/1692819/000169281926000006/vistra-20251231.htm</x:v>
      </x:c>
      <x:c r="O85" s="448" t="str">
        <x:v>Interest table p. 121</x:v>
      </x:c>
      <x:c r="P85" s="461" t="str"/>
      <x:c r="Q85" s="448" t="str">
        <x:v>42e6a0ba0c833ede7d9d452b9f1ea68fbc4cb52035129ab5d5e02916e02822d4</x:v>
      </x:c>
      <x:c r="R85" s="449" t="str">
        <x:v>iso4217:USD; Exact tag, duration, USD, Vistra CIK and no dimensions; agreeing duplicates only</x:v>
      </x:c>
    </x:row>
    <x:row r="86" ht="52" customHeight="1">
      <x:c r="A86" s="406" t="str">
        <x:v>coverage_current_operating_income</x:v>
      </x:c>
      <x:c r="B86" s="458" t="n">
        <x:v>2052000000</x:v>
      </x:c>
      <x:c r="C86" s="448" t="str">
        <x:v>current operating_income</x:v>
      </x:c>
      <x:c r="D86" s="459" t="d">
        <x:v>2026-01-01T00:00:00.000Z</x:v>
      </x:c>
      <x:c r="E86" s="459" t="d">
        <x:v>2026-06-30T00:00:00.000Z</x:v>
      </x:c>
      <x:c r="F86" s="448" t="str">
        <x:v>10-Q</x:v>
      </x:c>
      <x:c r="G86" s="459" t="d">
        <x:v>2026-08-10T00:00:00.000Z</x:v>
      </x:c>
      <x:c r="H86" s="448" t="str">
        <x:v>0001692819-26-000019</x:v>
      </x:c>
      <x:c r="I86" s="448" t="str">
        <x:v>us-gaap:OperatingIncomeLoss</x:v>
      </x:c>
      <x:c r="J86" s="448" t="str">
        <x:v>c-1</x:v>
      </x:c>
      <x:c r="K86" s="448" t="str">
        <x:v>None (consolidated total)</x:v>
      </x:c>
      <x:c r="L86" s="460" t="n">
        <x:v>6</x:v>
      </x:c>
      <x:c r="M86" s="448" t="str">
        <x:v>-6</x:v>
      </x:c>
      <x:c r="N86" s="448" t="str">
        <x:v>https://www.sec.gov/Archives/edgar/data/1692819/000169281926000019/vistra-20260630.htm</x:v>
      </x:c>
      <x:c r="O86" s="448" t="str">
        <x:v>Operations p. 1</x:v>
      </x:c>
      <x:c r="P86" s="461" t="str"/>
      <x:c r="Q86" s="448" t="str">
        <x:v>c6d9f5b5d8348c2060282019841c8bec09662fefd3b78f6fefd3add3ed985875</x:v>
      </x:c>
      <x:c r="R86" s="449" t="str">
        <x:v>iso4217:USD; Exact tag, duration, USD, Vistra CIK and no dimensions; agreeing duplicates only</x:v>
      </x:c>
    </x:row>
    <x:row r="87" ht="52" customHeight="1">
      <x:c r="A87" s="406" t="str">
        <x:v>coverage_current_interest</x:v>
      </x:c>
      <x:c r="B87" s="458" t="n">
        <x:v>557000000</x:v>
      </x:c>
      <x:c r="C87" s="448" t="str">
        <x:v>current interest</x:v>
      </x:c>
      <x:c r="D87" s="459" t="d">
        <x:v>2026-01-01T00:00:00.000Z</x:v>
      </x:c>
      <x:c r="E87" s="459" t="d">
        <x:v>2026-06-30T00:00:00.000Z</x:v>
      </x:c>
      <x:c r="F87" s="448" t="str">
        <x:v>10-Q</x:v>
      </x:c>
      <x:c r="G87" s="459" t="d">
        <x:v>2026-08-10T00:00:00.000Z</x:v>
      </x:c>
      <x:c r="H87" s="448" t="str">
        <x:v>0001692819-26-000019</x:v>
      </x:c>
      <x:c r="I87" s="448" t="str">
        <x:v>vistra:PostEmergenceInterestPaidAndAccrued</x:v>
      </x:c>
      <x:c r="J87" s="448" t="str">
        <x:v>c-1</x:v>
      </x:c>
      <x:c r="K87" s="448" t="str">
        <x:v>None (consolidated total)</x:v>
      </x:c>
      <x:c r="L87" s="460" t="n">
        <x:v>6</x:v>
      </x:c>
      <x:c r="M87" s="448" t="str">
        <x:v>-6</x:v>
      </x:c>
      <x:c r="N87" s="448" t="str">
        <x:v>https://www.sec.gov/Archives/edgar/data/1692819/000169281926000019/vistra-20260630.htm</x:v>
      </x:c>
      <x:c r="O87" s="448" t="str">
        <x:v>Debt Note 12 p. 28</x:v>
      </x:c>
      <x:c r="P87" s="461" t="str"/>
      <x:c r="Q87" s="448" t="str">
        <x:v>c6d9f5b5d8348c2060282019841c8bec09662fefd3b78f6fefd3add3ed985875</x:v>
      </x:c>
      <x:c r="R87" s="449" t="str">
        <x:v>iso4217:USD; Exact tag, duration, USD, Vistra CIK and no dimensions; agreeing duplicates only</x:v>
      </x:c>
    </x:row>
    <x:row r="88" ht="52" customHeight="1">
      <x:c r="A88" s="406" t="str">
        <x:v>coverage_current_swaps</x:v>
      </x:c>
      <x:c r="B88" s="458" t="n">
        <x:v>7000000</x:v>
      </x:c>
      <x:c r="C88" s="448" t="str">
        <x:v>current swaps</x:v>
      </x:c>
      <x:c r="D88" s="459" t="d">
        <x:v>2026-01-01T00:00:00.000Z</x:v>
      </x:c>
      <x:c r="E88" s="459" t="d">
        <x:v>2026-06-30T00:00:00.000Z</x:v>
      </x:c>
      <x:c r="F88" s="448" t="str">
        <x:v>10-Q</x:v>
      </x:c>
      <x:c r="G88" s="459" t="d">
        <x:v>2026-08-10T00:00:00.000Z</x:v>
      </x:c>
      <x:c r="H88" s="448" t="str">
        <x:v>0001692819-26-000019</x:v>
      </x:c>
      <x:c r="I88" s="448" t="str">
        <x:v>vistra:UnrealizedGainLossOnInterestRateSwapDerivatives</x:v>
      </x:c>
      <x:c r="J88" s="448" t="str">
        <x:v>c-1</x:v>
      </x:c>
      <x:c r="K88" s="448" t="str">
        <x:v>None (consolidated total)</x:v>
      </x:c>
      <x:c r="L88" s="460" t="n">
        <x:v>6</x:v>
      </x:c>
      <x:c r="M88" s="448" t="str">
        <x:v>-6</x:v>
      </x:c>
      <x:c r="N88" s="448" t="str">
        <x:v>https://www.sec.gov/Archives/edgar/data/1692819/000169281926000019/vistra-20260630.htm</x:v>
      </x:c>
      <x:c r="O88" s="448" t="str">
        <x:v>Debt Note 12 p. 28</x:v>
      </x:c>
      <x:c r="P88" s="461" t="str"/>
      <x:c r="Q88" s="448" t="str">
        <x:v>c6d9f5b5d8348c2060282019841c8bec09662fefd3b78f6fefd3add3ed985875</x:v>
      </x:c>
      <x:c r="R88" s="449" t="str">
        <x:v>iso4217:USD; Exact tag, duration, USD, Vistra CIK and no dimensions; agreeing duplicates only</x:v>
      </x:c>
    </x:row>
    <x:row r="89" ht="52" customHeight="1">
      <x:c r="A89" s="406" t="str">
        <x:v>coverage_current_amortization</x:v>
      </x:c>
      <x:c r="B89" s="458" t="n">
        <x:v>21000000</x:v>
      </x:c>
      <x:c r="C89" s="448" t="str">
        <x:v>current amortization</x:v>
      </x:c>
      <x:c r="D89" s="459" t="d">
        <x:v>2026-01-01T00:00:00.000Z</x:v>
      </x:c>
      <x:c r="E89" s="459" t="d">
        <x:v>2026-06-30T00:00:00.000Z</x:v>
      </x:c>
      <x:c r="F89" s="448" t="str">
        <x:v>10-Q</x:v>
      </x:c>
      <x:c r="G89" s="459" t="d">
        <x:v>2026-08-10T00:00:00.000Z</x:v>
      </x:c>
      <x:c r="H89" s="448" t="str">
        <x:v>0001692819-26-000019</x:v>
      </x:c>
      <x:c r="I89" s="448" t="str">
        <x:v>us-gaap:AmortizationOfDebtDiscountPremium</x:v>
      </x:c>
      <x:c r="J89" s="448" t="str">
        <x:v>c-1</x:v>
      </x:c>
      <x:c r="K89" s="448" t="str">
        <x:v>None (consolidated total)</x:v>
      </x:c>
      <x:c r="L89" s="460" t="n">
        <x:v>6</x:v>
      </x:c>
      <x:c r="M89" s="448" t="str">
        <x:v>-6</x:v>
      </x:c>
      <x:c r="N89" s="448" t="str">
        <x:v>https://www.sec.gov/Archives/edgar/data/1692819/000169281926000019/vistra-20260630.htm</x:v>
      </x:c>
      <x:c r="O89" s="448" t="str">
        <x:v>Debt Note 12 p. 28</x:v>
      </x:c>
      <x:c r="P89" s="461" t="str"/>
      <x:c r="Q89" s="448" t="str">
        <x:v>c6d9f5b5d8348c2060282019841c8bec09662fefd3b78f6fefd3add3ed985875</x:v>
      </x:c>
      <x:c r="R89" s="449" t="str">
        <x:v>iso4217:USD; Exact tag, duration, USD, Vistra CIK and no dimensions; agreeing duplicates only</x:v>
      </x:c>
    </x:row>
    <x:row r="90" ht="52" customHeight="1">
      <x:c r="A90" s="406" t="str">
        <x:v>coverage_current_extinguishment</x:v>
      </x:c>
      <x:c r="B90" s="458" t="n">
        <x:v>-35000000</x:v>
      </x:c>
      <x:c r="C90" s="448" t="str">
        <x:v>current extinguishment</x:v>
      </x:c>
      <x:c r="D90" s="459" t="d">
        <x:v>2026-01-01T00:00:00.000Z</x:v>
      </x:c>
      <x:c r="E90" s="459" t="d">
        <x:v>2026-06-30T00:00:00.000Z</x:v>
      </x:c>
      <x:c r="F90" s="448" t="str">
        <x:v>10-Q</x:v>
      </x:c>
      <x:c r="G90" s="459" t="d">
        <x:v>2026-08-10T00:00:00.000Z</x:v>
      </x:c>
      <x:c r="H90" s="448" t="str">
        <x:v>0001692819-26-000019</x:v>
      </x:c>
      <x:c r="I90" s="448" t="str">
        <x:v>us-gaap:GainsLossesOnExtinguishmentOfDebt</x:v>
      </x:c>
      <x:c r="J90" s="448" t="str">
        <x:v>c-1</x:v>
      </x:c>
      <x:c r="K90" s="448" t="str">
        <x:v>None (consolidated total)</x:v>
      </x:c>
      <x:c r="L90" s="460" t="n">
        <x:v>6</x:v>
      </x:c>
      <x:c r="M90" s="448" t="str">
        <x:v>-6</x:v>
      </x:c>
      <x:c r="N90" s="448" t="str">
        <x:v>https://www.sec.gov/Archives/edgar/data/1692819/000169281926000019/vistra-20260630.htm</x:v>
      </x:c>
      <x:c r="O90" s="448" t="str">
        <x:v>Debt Note 12 p. 28</x:v>
      </x:c>
      <x:c r="P90" s="461" t="str"/>
      <x:c r="Q90" s="448" t="str">
        <x:v>c6d9f5b5d8348c2060282019841c8bec09662fefd3b78f6fefd3add3ed985875</x:v>
      </x:c>
      <x:c r="R90" s="449" t="str">
        <x:v>iso4217:USD; Exact tag, duration, USD, Vistra CIK and no dimensions; agreeing duplicates only</x:v>
      </x:c>
    </x:row>
    <x:row r="91" ht="52" customHeight="1">
      <x:c r="A91" s="406" t="str">
        <x:v>coverage_current_capitalized</x:v>
      </x:c>
      <x:c r="B91" s="458" t="n">
        <x:v>82000000</x:v>
      </x:c>
      <x:c r="C91" s="448" t="str">
        <x:v>current capitalized</x:v>
      </x:c>
      <x:c r="D91" s="459" t="d">
        <x:v>2026-01-01T00:00:00.000Z</x:v>
      </x:c>
      <x:c r="E91" s="459" t="d">
        <x:v>2026-06-30T00:00:00.000Z</x:v>
      </x:c>
      <x:c r="F91" s="448" t="str">
        <x:v>10-Q</x:v>
      </x:c>
      <x:c r="G91" s="459" t="d">
        <x:v>2026-08-10T00:00:00.000Z</x:v>
      </x:c>
      <x:c r="H91" s="448" t="str">
        <x:v>0001692819-26-000019</x:v>
      </x:c>
      <x:c r="I91" s="448" t="str">
        <x:v>us-gaap:InterestCostsCapitalizedAdjustment</x:v>
      </x:c>
      <x:c r="J91" s="448" t="str">
        <x:v>c-1</x:v>
      </x:c>
      <x:c r="K91" s="448" t="str">
        <x:v>None (consolidated total)</x:v>
      </x:c>
      <x:c r="L91" s="460" t="n">
        <x:v>6</x:v>
      </x:c>
      <x:c r="M91" s="448" t="str">
        <x:v>-6</x:v>
      </x:c>
      <x:c r="N91" s="448" t="str">
        <x:v>https://www.sec.gov/Archives/edgar/data/1692819/000169281926000019/vistra-20260630.htm</x:v>
      </x:c>
      <x:c r="O91" s="448" t="str">
        <x:v>Debt Note 12 p. 28</x:v>
      </x:c>
      <x:c r="P91" s="461" t="str"/>
      <x:c r="Q91" s="448" t="str">
        <x:v>c6d9f5b5d8348c2060282019841c8bec09662fefd3b78f6fefd3add3ed985875</x:v>
      </x:c>
      <x:c r="R91" s="449" t="str">
        <x:v>iso4217:USD; Exact tag, duration, USD, Vistra CIK and no dimensions; agreeing duplicates only</x:v>
      </x:c>
    </x:row>
    <x:row r="92" ht="52" customHeight="1">
      <x:c r="A92" s="406" t="str">
        <x:v>coverage_current_other</x:v>
      </x:c>
      <x:c r="B92" s="458" t="n">
        <x:v>51000000</x:v>
      </x:c>
      <x:c r="C92" s="448" t="str">
        <x:v>current other</x:v>
      </x:c>
      <x:c r="D92" s="459" t="d">
        <x:v>2026-01-01T00:00:00.000Z</x:v>
      </x:c>
      <x:c r="E92" s="459" t="d">
        <x:v>2026-06-30T00:00:00.000Z</x:v>
      </x:c>
      <x:c r="F92" s="448" t="str">
        <x:v>10-Q</x:v>
      </x:c>
      <x:c r="G92" s="459" t="d">
        <x:v>2026-08-10T00:00:00.000Z</x:v>
      </x:c>
      <x:c r="H92" s="448" t="str">
        <x:v>0001692819-26-000019</x:v>
      </x:c>
      <x:c r="I92" s="448" t="str">
        <x:v>us-gaap:InterestExpenseOther</x:v>
      </x:c>
      <x:c r="J92" s="448" t="str">
        <x:v>c-1</x:v>
      </x:c>
      <x:c r="K92" s="448" t="str">
        <x:v>None (consolidated total)</x:v>
      </x:c>
      <x:c r="L92" s="460" t="n">
        <x:v>6</x:v>
      </x:c>
      <x:c r="M92" s="448" t="str">
        <x:v>-6</x:v>
      </x:c>
      <x:c r="N92" s="448" t="str">
        <x:v>https://www.sec.gov/Archives/edgar/data/1692819/000169281926000019/vistra-20260630.htm</x:v>
      </x:c>
      <x:c r="O92" s="448" t="str">
        <x:v>Debt Note 12 p. 28</x:v>
      </x:c>
      <x:c r="P92" s="461" t="str"/>
      <x:c r="Q92" s="448" t="str">
        <x:v>c6d9f5b5d8348c2060282019841c8bec09662fefd3b78f6fefd3add3ed985875</x:v>
      </x:c>
      <x:c r="R92" s="449" t="str">
        <x:v>iso4217:USD; Exact tag, duration, USD, Vistra CIK and no dimensions; agreeing duplicates only</x:v>
      </x:c>
    </x:row>
    <x:row r="93" ht="52" customHeight="1">
      <x:c r="A93" s="406" t="str">
        <x:v>coverage_current_total</x:v>
      </x:c>
      <x:c r="B93" s="458" t="n">
        <x:v>575000000</x:v>
      </x:c>
      <x:c r="C93" s="448" t="str">
        <x:v>current total</x:v>
      </x:c>
      <x:c r="D93" s="459" t="d">
        <x:v>2026-01-01T00:00:00.000Z</x:v>
      </x:c>
      <x:c r="E93" s="459" t="d">
        <x:v>2026-06-30T00:00:00.000Z</x:v>
      </x:c>
      <x:c r="F93" s="448" t="str">
        <x:v>10-Q</x:v>
      </x:c>
      <x:c r="G93" s="459" t="d">
        <x:v>2026-08-10T00:00:00.000Z</x:v>
      </x:c>
      <x:c r="H93" s="448" t="str">
        <x:v>0001692819-26-000019</x:v>
      </x:c>
      <x:c r="I93" s="448" t="str">
        <x:v>us-gaap:InterestExpenseNonoperating</x:v>
      </x:c>
      <x:c r="J93" s="448" t="str">
        <x:v>c-1</x:v>
      </x:c>
      <x:c r="K93" s="448" t="str">
        <x:v>None (consolidated total)</x:v>
      </x:c>
      <x:c r="L93" s="460" t="n">
        <x:v>6</x:v>
      </x:c>
      <x:c r="M93" s="448" t="str">
        <x:v>-6</x:v>
      </x:c>
      <x:c r="N93" s="448" t="str">
        <x:v>https://www.sec.gov/Archives/edgar/data/1692819/000169281926000019/vistra-20260630.htm</x:v>
      </x:c>
      <x:c r="O93" s="448" t="str">
        <x:v>Debt Note 12 p. 28</x:v>
      </x:c>
      <x:c r="P93" s="461" t="str"/>
      <x:c r="Q93" s="448" t="str">
        <x:v>c6d9f5b5d8348c2060282019841c8bec09662fefd3b78f6fefd3add3ed985875</x:v>
      </x:c>
      <x:c r="R93" s="449" t="str">
        <x:v>iso4217:USD; Exact tag, duration, USD, Vistra CIK and no dimensions; agreeing duplicates only</x:v>
      </x:c>
    </x:row>
    <x:row r="94" ht="52" customHeight="1">
      <x:c r="A94" s="406" t="str">
        <x:v>coverage_prior_operating_income</x:v>
      </x:c>
      <x:c r="B94" s="458" t="n">
        <x:v>395000000</x:v>
      </x:c>
      <x:c r="C94" s="448" t="str">
        <x:v>prior operating_income</x:v>
      </x:c>
      <x:c r="D94" s="459" t="d">
        <x:v>2025-01-01T00:00:00.000Z</x:v>
      </x:c>
      <x:c r="E94" s="459" t="d">
        <x:v>2025-06-30T00:00:00.000Z</x:v>
      </x:c>
      <x:c r="F94" s="448" t="str">
        <x:v>10-Q</x:v>
      </x:c>
      <x:c r="G94" s="459" t="d">
        <x:v>2026-08-10T00:00:00.000Z</x:v>
      </x:c>
      <x:c r="H94" s="448" t="str">
        <x:v>0001692819-26-000019</x:v>
      </x:c>
      <x:c r="I94" s="448" t="str">
        <x:v>us-gaap:OperatingIncomeLoss</x:v>
      </x:c>
      <x:c r="J94" s="448" t="str">
        <x:v>c-7</x:v>
      </x:c>
      <x:c r="K94" s="448" t="str">
        <x:v>None (consolidated total)</x:v>
      </x:c>
      <x:c r="L94" s="460" t="n">
        <x:v>6</x:v>
      </x:c>
      <x:c r="M94" s="448" t="str">
        <x:v>-6</x:v>
      </x:c>
      <x:c r="N94" s="448" t="str">
        <x:v>https://www.sec.gov/Archives/edgar/data/1692819/000169281926000019/vistra-20260630.htm</x:v>
      </x:c>
      <x:c r="O94" s="448" t="str">
        <x:v>Operations p. 1</x:v>
      </x:c>
      <x:c r="P94" s="461" t="str"/>
      <x:c r="Q94" s="448" t="str">
        <x:v>c6d9f5b5d8348c2060282019841c8bec09662fefd3b78f6fefd3add3ed985875</x:v>
      </x:c>
      <x:c r="R94" s="449" t="str">
        <x:v>iso4217:USD; Exact tag, duration, USD, Vistra CIK and no dimensions; agreeing duplicates only</x:v>
      </x:c>
    </x:row>
    <x:row r="95" ht="52" customHeight="1">
      <x:c r="A95" s="406" t="str">
        <x:v>coverage_prior_interest</x:v>
      </x:c>
      <x:c r="B95" s="458" t="n">
        <x:v>547000000</x:v>
      </x:c>
      <x:c r="C95" s="448" t="str">
        <x:v>prior interest</x:v>
      </x:c>
      <x:c r="D95" s="459" t="d">
        <x:v>2025-01-01T00:00:00.000Z</x:v>
      </x:c>
      <x:c r="E95" s="459" t="d">
        <x:v>2025-06-30T00:00:00.000Z</x:v>
      </x:c>
      <x:c r="F95" s="448" t="str">
        <x:v>10-Q</x:v>
      </x:c>
      <x:c r="G95" s="459" t="d">
        <x:v>2026-08-10T00:00:00.000Z</x:v>
      </x:c>
      <x:c r="H95" s="448" t="str">
        <x:v>0001692819-26-000019</x:v>
      </x:c>
      <x:c r="I95" s="448" t="str">
        <x:v>vistra:PostEmergenceInterestPaidAndAccrued</x:v>
      </x:c>
      <x:c r="J95" s="448" t="str">
        <x:v>c-7</x:v>
      </x:c>
      <x:c r="K95" s="448" t="str">
        <x:v>None (consolidated total)</x:v>
      </x:c>
      <x:c r="L95" s="460" t="n">
        <x:v>6</x:v>
      </x:c>
      <x:c r="M95" s="448" t="str">
        <x:v>-6</x:v>
      </x:c>
      <x:c r="N95" s="448" t="str">
        <x:v>https://www.sec.gov/Archives/edgar/data/1692819/000169281926000019/vistra-20260630.htm</x:v>
      </x:c>
      <x:c r="O95" s="448" t="str">
        <x:v>Debt Note 12 p. 28</x:v>
      </x:c>
      <x:c r="P95" s="461" t="str"/>
      <x:c r="Q95" s="448" t="str">
        <x:v>c6d9f5b5d8348c2060282019841c8bec09662fefd3b78f6fefd3add3ed985875</x:v>
      </x:c>
      <x:c r="R95" s="449" t="str">
        <x:v>iso4217:USD; Exact tag, duration, USD, Vistra CIK and no dimensions; agreeing duplicates only</x:v>
      </x:c>
    </x:row>
    <x:row r="96" ht="52" customHeight="1">
      <x:c r="A96" s="406" t="str">
        <x:v>coverage_prior_swaps</x:v>
      </x:c>
      <x:c r="B96" s="458" t="n">
        <x:v>-74000000</x:v>
      </x:c>
      <x:c r="C96" s="448" t="str">
        <x:v>prior swaps</x:v>
      </x:c>
      <x:c r="D96" s="459" t="d">
        <x:v>2025-01-01T00:00:00.000Z</x:v>
      </x:c>
      <x:c r="E96" s="459" t="d">
        <x:v>2025-06-30T00:00:00.000Z</x:v>
      </x:c>
      <x:c r="F96" s="448" t="str">
        <x:v>10-Q</x:v>
      </x:c>
      <x:c r="G96" s="459" t="d">
        <x:v>2026-08-10T00:00:00.000Z</x:v>
      </x:c>
      <x:c r="H96" s="448" t="str">
        <x:v>0001692819-26-000019</x:v>
      </x:c>
      <x:c r="I96" s="448" t="str">
        <x:v>vistra:UnrealizedGainLossOnInterestRateSwapDerivatives</x:v>
      </x:c>
      <x:c r="J96" s="448" t="str">
        <x:v>c-7</x:v>
      </x:c>
      <x:c r="K96" s="448" t="str">
        <x:v>None (consolidated total)</x:v>
      </x:c>
      <x:c r="L96" s="460" t="n">
        <x:v>6</x:v>
      </x:c>
      <x:c r="M96" s="448" t="str">
        <x:v>-6</x:v>
      </x:c>
      <x:c r="N96" s="448" t="str">
        <x:v>https://www.sec.gov/Archives/edgar/data/1692819/000169281926000019/vistra-20260630.htm</x:v>
      </x:c>
      <x:c r="O96" s="448" t="str">
        <x:v>Debt Note 12 p. 28</x:v>
      </x:c>
      <x:c r="P96" s="461" t="str"/>
      <x:c r="Q96" s="448" t="str">
        <x:v>c6d9f5b5d8348c2060282019841c8bec09662fefd3b78f6fefd3add3ed985875</x:v>
      </x:c>
      <x:c r="R96" s="449" t="str">
        <x:v>iso4217:USD; Exact tag, duration, USD, Vistra CIK and no dimensions; agreeing duplicates only</x:v>
      </x:c>
    </x:row>
    <x:row r="97" ht="52" customHeight="1">
      <x:c r="A97" s="406" t="str">
        <x:v>coverage_prior_amortization</x:v>
      </x:c>
      <x:c r="B97" s="458" t="n">
        <x:v>22000000</x:v>
      </x:c>
      <x:c r="C97" s="448" t="str">
        <x:v>prior amortization</x:v>
      </x:c>
      <x:c r="D97" s="459" t="d">
        <x:v>2025-01-01T00:00:00.000Z</x:v>
      </x:c>
      <x:c r="E97" s="459" t="d">
        <x:v>2025-06-30T00:00:00.000Z</x:v>
      </x:c>
      <x:c r="F97" s="448" t="str">
        <x:v>10-Q</x:v>
      </x:c>
      <x:c r="G97" s="459" t="d">
        <x:v>2026-08-10T00:00:00.000Z</x:v>
      </x:c>
      <x:c r="H97" s="448" t="str">
        <x:v>0001692819-26-000019</x:v>
      </x:c>
      <x:c r="I97" s="448" t="str">
        <x:v>us-gaap:AmortizationOfDebtDiscountPremium</x:v>
      </x:c>
      <x:c r="J97" s="448" t="str">
        <x:v>c-7</x:v>
      </x:c>
      <x:c r="K97" s="448" t="str">
        <x:v>None (consolidated total)</x:v>
      </x:c>
      <x:c r="L97" s="460" t="n">
        <x:v>6</x:v>
      </x:c>
      <x:c r="M97" s="448" t="str">
        <x:v>-6</x:v>
      </x:c>
      <x:c r="N97" s="448" t="str">
        <x:v>https://www.sec.gov/Archives/edgar/data/1692819/000169281926000019/vistra-20260630.htm</x:v>
      </x:c>
      <x:c r="O97" s="448" t="str">
        <x:v>Debt Note 12 p. 28</x:v>
      </x:c>
      <x:c r="P97" s="461" t="str"/>
      <x:c r="Q97" s="448" t="str">
        <x:v>c6d9f5b5d8348c2060282019841c8bec09662fefd3b78f6fefd3add3ed985875</x:v>
      </x:c>
      <x:c r="R97" s="449" t="str">
        <x:v>iso4217:USD; Exact tag, duration, USD, Vistra CIK and no dimensions; agreeing duplicates only</x:v>
      </x:c>
    </x:row>
    <x:row r="98" ht="52" customHeight="1">
      <x:c r="A98" s="406" t="str">
        <x:v>coverage_prior_extinguishment</x:v>
      </x:c>
      <x:c r="B98" s="458" t="n">
        <x:v>0</x:v>
      </x:c>
      <x:c r="C98" s="448" t="str">
        <x:v>prior extinguishment</x:v>
      </x:c>
      <x:c r="D98" s="459" t="d">
        <x:v>2025-01-01T00:00:00.000Z</x:v>
      </x:c>
      <x:c r="E98" s="459" t="d">
        <x:v>2025-06-30T00:00:00.000Z</x:v>
      </x:c>
      <x:c r="F98" s="448" t="str">
        <x:v>10-Q</x:v>
      </x:c>
      <x:c r="G98" s="459" t="d">
        <x:v>2026-08-10T00:00:00.000Z</x:v>
      </x:c>
      <x:c r="H98" s="448" t="str">
        <x:v>0001692819-26-000019</x:v>
      </x:c>
      <x:c r="I98" s="448" t="str">
        <x:v>us-gaap:GainsLossesOnExtinguishmentOfDebt</x:v>
      </x:c>
      <x:c r="J98" s="448" t="str">
        <x:v>c-7</x:v>
      </x:c>
      <x:c r="K98" s="448" t="str">
        <x:v>None (consolidated total)</x:v>
      </x:c>
      <x:c r="L98" s="460" t="n">
        <x:v>6</x:v>
      </x:c>
      <x:c r="M98" s="448" t="str">
        <x:v>-6</x:v>
      </x:c>
      <x:c r="N98" s="448" t="str">
        <x:v>https://www.sec.gov/Archives/edgar/data/1692819/000169281926000019/vistra-20260630.htm</x:v>
      </x:c>
      <x:c r="O98" s="448" t="str">
        <x:v>Debt Note 12 p. 28</x:v>
      </x:c>
      <x:c r="P98" s="461" t="str"/>
      <x:c r="Q98" s="448" t="str">
        <x:v>c6d9f5b5d8348c2060282019841c8bec09662fefd3b78f6fefd3add3ed985875</x:v>
      </x:c>
      <x:c r="R98" s="449" t="str">
        <x:v>iso4217:USD; Exact tag, duration, USD, Vistra CIK and no dimensions; agreeing duplicates only</x:v>
      </x:c>
    </x:row>
    <x:row r="99" ht="52" customHeight="1">
      <x:c r="A99" s="406" t="str">
        <x:v>coverage_prior_capitalized</x:v>
      </x:c>
      <x:c r="B99" s="458" t="n">
        <x:v>56000000</x:v>
      </x:c>
      <x:c r="C99" s="448" t="str">
        <x:v>prior capitalized</x:v>
      </x:c>
      <x:c r="D99" s="459" t="d">
        <x:v>2025-01-01T00:00:00.000Z</x:v>
      </x:c>
      <x:c r="E99" s="459" t="d">
        <x:v>2025-06-30T00:00:00.000Z</x:v>
      </x:c>
      <x:c r="F99" s="448" t="str">
        <x:v>10-Q</x:v>
      </x:c>
      <x:c r="G99" s="459" t="d">
        <x:v>2026-08-10T00:00:00.000Z</x:v>
      </x:c>
      <x:c r="H99" s="448" t="str">
        <x:v>0001692819-26-000019</x:v>
      </x:c>
      <x:c r="I99" s="448" t="str">
        <x:v>us-gaap:InterestCostsCapitalizedAdjustment</x:v>
      </x:c>
      <x:c r="J99" s="448" t="str">
        <x:v>c-7</x:v>
      </x:c>
      <x:c r="K99" s="448" t="str">
        <x:v>None (consolidated total)</x:v>
      </x:c>
      <x:c r="L99" s="460" t="n">
        <x:v>6</x:v>
      </x:c>
      <x:c r="M99" s="448" t="str">
        <x:v>-6</x:v>
      </x:c>
      <x:c r="N99" s="448" t="str">
        <x:v>https://www.sec.gov/Archives/edgar/data/1692819/000169281926000019/vistra-20260630.htm</x:v>
      </x:c>
      <x:c r="O99" s="448" t="str">
        <x:v>Debt Note 12 p. 28</x:v>
      </x:c>
      <x:c r="P99" s="461" t="str"/>
      <x:c r="Q99" s="448" t="str">
        <x:v>c6d9f5b5d8348c2060282019841c8bec09662fefd3b78f6fefd3add3ed985875</x:v>
      </x:c>
      <x:c r="R99" s="449" t="str">
        <x:v>iso4217:USD; Exact tag, duration, USD, Vistra CIK and no dimensions; agreeing duplicates only</x:v>
      </x:c>
    </x:row>
    <x:row r="100" ht="52" customHeight="1">
      <x:c r="A100" s="406" t="str">
        <x:v>coverage_prior_other</x:v>
      </x:c>
      <x:c r="B100" s="458" t="n">
        <x:v>35000000</x:v>
      </x:c>
      <x:c r="C100" s="448" t="str">
        <x:v>prior other</x:v>
      </x:c>
      <x:c r="D100" s="459" t="d">
        <x:v>2025-01-01T00:00:00.000Z</x:v>
      </x:c>
      <x:c r="E100" s="459" t="d">
        <x:v>2025-06-30T00:00:00.000Z</x:v>
      </x:c>
      <x:c r="F100" s="448" t="str">
        <x:v>10-Q</x:v>
      </x:c>
      <x:c r="G100" s="459" t="d">
        <x:v>2026-08-10T00:00:00.000Z</x:v>
      </x:c>
      <x:c r="H100" s="448" t="str">
        <x:v>0001692819-26-000019</x:v>
      </x:c>
      <x:c r="I100" s="448" t="str">
        <x:v>us-gaap:InterestExpenseOther</x:v>
      </x:c>
      <x:c r="J100" s="448" t="str">
        <x:v>c-7</x:v>
      </x:c>
      <x:c r="K100" s="448" t="str">
        <x:v>None (consolidated total)</x:v>
      </x:c>
      <x:c r="L100" s="460" t="n">
        <x:v>6</x:v>
      </x:c>
      <x:c r="M100" s="448" t="str">
        <x:v>-6</x:v>
      </x:c>
      <x:c r="N100" s="448" t="str">
        <x:v>https://www.sec.gov/Archives/edgar/data/1692819/000169281926000019/vistra-20260630.htm</x:v>
      </x:c>
      <x:c r="O100" s="448" t="str">
        <x:v>Debt Note 12 p. 28</x:v>
      </x:c>
      <x:c r="P100" s="461" t="str"/>
      <x:c r="Q100" s="448" t="str">
        <x:v>c6d9f5b5d8348c2060282019841c8bec09662fefd3b78f6fefd3add3ed985875</x:v>
      </x:c>
      <x:c r="R100" s="449" t="str">
        <x:v>iso4217:USD; Exact tag, duration, USD, Vistra CIK and no dimensions; agreeing duplicates only</x:v>
      </x:c>
    </x:row>
    <x:row r="101" ht="52" customHeight="1">
      <x:c r="A101" s="406" t="str">
        <x:v>coverage_prior_total</x:v>
      </x:c>
      <x:c r="B101" s="458" t="n">
        <x:v>622000000</x:v>
      </x:c>
      <x:c r="C101" s="448" t="str">
        <x:v>prior total</x:v>
      </x:c>
      <x:c r="D101" s="459" t="d">
        <x:v>2025-01-01T00:00:00.000Z</x:v>
      </x:c>
      <x:c r="E101" s="459" t="d">
        <x:v>2025-06-30T00:00:00.000Z</x:v>
      </x:c>
      <x:c r="F101" s="448" t="str">
        <x:v>10-Q</x:v>
      </x:c>
      <x:c r="G101" s="459" t="d">
        <x:v>2026-08-10T00:00:00.000Z</x:v>
      </x:c>
      <x:c r="H101" s="448" t="str">
        <x:v>0001692819-26-000019</x:v>
      </x:c>
      <x:c r="I101" s="448" t="str">
        <x:v>us-gaap:InterestExpenseNonoperating</x:v>
      </x:c>
      <x:c r="J101" s="448" t="str">
        <x:v>c-7</x:v>
      </x:c>
      <x:c r="K101" s="448" t="str">
        <x:v>None (consolidated total)</x:v>
      </x:c>
      <x:c r="L101" s="460" t="n">
        <x:v>6</x:v>
      </x:c>
      <x:c r="M101" s="448" t="str">
        <x:v>-6</x:v>
      </x:c>
      <x:c r="N101" s="448" t="str">
        <x:v>https://www.sec.gov/Archives/edgar/data/1692819/000169281926000019/vistra-20260630.htm</x:v>
      </x:c>
      <x:c r="O101" s="448" t="str">
        <x:v>Debt Note 12 p. 28</x:v>
      </x:c>
      <x:c r="P101" s="461" t="str"/>
      <x:c r="Q101" s="448" t="str">
        <x:v>c6d9f5b5d8348c2060282019841c8bec09662fefd3b78f6fefd3add3ed985875</x:v>
      </x:c>
      <x:c r="R101" s="449" t="str">
        <x:v>iso4217:USD; Exact tag, duration, USD, Vistra CIK and no dimensions; agreeing duplicates only</x:v>
      </x:c>
    </x:row>
    <x:row r="102" ht="52" customHeight="1">
      <x:c r="A102" s="406" t="str">
        <x:v>coverage_prior_original_operating_income</x:v>
      </x:c>
      <x:c r="B102" s="458" t="n">
        <x:v>395000000</x:v>
      </x:c>
      <x:c r="C102" s="448" t="str">
        <x:v>prior_original operating_income</x:v>
      </x:c>
      <x:c r="D102" s="459" t="d">
        <x:v>2025-01-01T00:00:00.000Z</x:v>
      </x:c>
      <x:c r="E102" s="459" t="d">
        <x:v>2025-06-30T00:00:00.000Z</x:v>
      </x:c>
      <x:c r="F102" s="448" t="str">
        <x:v>10-Q</x:v>
      </x:c>
      <x:c r="G102" s="459" t="d">
        <x:v>2025-08-08T00:00:00.000Z</x:v>
      </x:c>
      <x:c r="H102" s="448" t="str">
        <x:v>0001692819-25-000085</x:v>
      </x:c>
      <x:c r="I102" s="448" t="str">
        <x:v>us-gaap:OperatingIncomeLoss</x:v>
      </x:c>
      <x:c r="J102" s="448" t="str">
        <x:v>c-1</x:v>
      </x:c>
      <x:c r="K102" s="448" t="str">
        <x:v>None (consolidated total)</x:v>
      </x:c>
      <x:c r="L102" s="460" t="n">
        <x:v>6</x:v>
      </x:c>
      <x:c r="M102" s="448" t="str">
        <x:v>-6</x:v>
      </x:c>
      <x:c r="N102" s="448" t="str">
        <x:v>https://www.sec.gov/Archives/edgar/data/1692819/000169281925000085/vistra-20250630.htm</x:v>
      </x:c>
      <x:c r="O102" s="448" t="str">
        <x:v>Operations p. 1</x:v>
      </x:c>
      <x:c r="P102" s="461" t="str"/>
      <x:c r="Q102" s="448" t="str">
        <x:v>4234cc94ced57c42cf07c4a35295b480a87033491e96881774eee658f1dc75ea</x:v>
      </x:c>
      <x:c r="R102" s="449" t="str">
        <x:v>iso4217:USD; Exact tag, duration, USD, Vistra CIK and no dimensions; agreeing duplicates only</x:v>
      </x:c>
    </x:row>
    <x:row r="103" ht="52" customHeight="1">
      <x:c r="A103" s="406" t="str">
        <x:v>coverage_prior_original_interest</x:v>
      </x:c>
      <x:c r="B103" s="458" t="n">
        <x:v>547000000</x:v>
      </x:c>
      <x:c r="C103" s="448" t="str">
        <x:v>prior_original interest</x:v>
      </x:c>
      <x:c r="D103" s="459" t="d">
        <x:v>2025-01-01T00:00:00.000Z</x:v>
      </x:c>
      <x:c r="E103" s="459" t="d">
        <x:v>2025-06-30T00:00:00.000Z</x:v>
      </x:c>
      <x:c r="F103" s="448" t="str">
        <x:v>10-Q</x:v>
      </x:c>
      <x:c r="G103" s="459" t="d">
        <x:v>2025-08-08T00:00:00.000Z</x:v>
      </x:c>
      <x:c r="H103" s="448" t="str">
        <x:v>0001692819-25-000085</x:v>
      </x:c>
      <x:c r="I103" s="448" t="str">
        <x:v>vistra:PostEmergenceInterestPaidAndAccrued</x:v>
      </x:c>
      <x:c r="J103" s="448" t="str">
        <x:v>c-1</x:v>
      </x:c>
      <x:c r="K103" s="448" t="str">
        <x:v>None (consolidated total)</x:v>
      </x:c>
      <x:c r="L103" s="460" t="n">
        <x:v>6</x:v>
      </x:c>
      <x:c r="M103" s="448" t="str">
        <x:v>-6</x:v>
      </x:c>
      <x:c r="N103" s="448" t="str">
        <x:v>https://www.sec.gov/Archives/edgar/data/1692819/000169281925000085/vistra-20250630.htm</x:v>
      </x:c>
      <x:c r="O103" s="448" t="str">
        <x:v>Debt Note 9 p. 30</x:v>
      </x:c>
      <x:c r="P103" s="461" t="str"/>
      <x:c r="Q103" s="448" t="str">
        <x:v>4234cc94ced57c42cf07c4a35295b480a87033491e96881774eee658f1dc75ea</x:v>
      </x:c>
      <x:c r="R103" s="449" t="str">
        <x:v>iso4217:USD; Exact tag, duration, USD, Vistra CIK and no dimensions; agreeing duplicates only</x:v>
      </x:c>
    </x:row>
    <x:row r="104" ht="52" customHeight="1">
      <x:c r="A104" s="406" t="str">
        <x:v>coverage_prior_original_swaps</x:v>
      </x:c>
      <x:c r="B104" s="458" t="n">
        <x:v>-74000000</x:v>
      </x:c>
      <x:c r="C104" s="448" t="str">
        <x:v>prior_original swaps</x:v>
      </x:c>
      <x:c r="D104" s="459" t="d">
        <x:v>2025-01-01T00:00:00.000Z</x:v>
      </x:c>
      <x:c r="E104" s="459" t="d">
        <x:v>2025-06-30T00:00:00.000Z</x:v>
      </x:c>
      <x:c r="F104" s="448" t="str">
        <x:v>10-Q</x:v>
      </x:c>
      <x:c r="G104" s="459" t="d">
        <x:v>2025-08-08T00:00:00.000Z</x:v>
      </x:c>
      <x:c r="H104" s="448" t="str">
        <x:v>0001692819-25-000085</x:v>
      </x:c>
      <x:c r="I104" s="448" t="str">
        <x:v>vistra:UnrealizedGainLossOnInterestRateSwapDerivatives</x:v>
      </x:c>
      <x:c r="J104" s="448" t="str">
        <x:v>c-1</x:v>
      </x:c>
      <x:c r="K104" s="448" t="str">
        <x:v>None (consolidated total)</x:v>
      </x:c>
      <x:c r="L104" s="460" t="n">
        <x:v>6</x:v>
      </x:c>
      <x:c r="M104" s="448" t="str">
        <x:v>-6</x:v>
      </x:c>
      <x:c r="N104" s="448" t="str">
        <x:v>https://www.sec.gov/Archives/edgar/data/1692819/000169281925000085/vistra-20250630.htm</x:v>
      </x:c>
      <x:c r="O104" s="448" t="str">
        <x:v>Debt Note 9 p. 30</x:v>
      </x:c>
      <x:c r="P104" s="461" t="str"/>
      <x:c r="Q104" s="448" t="str">
        <x:v>4234cc94ced57c42cf07c4a35295b480a87033491e96881774eee658f1dc75ea</x:v>
      </x:c>
      <x:c r="R104" s="449" t="str">
        <x:v>iso4217:USD; Exact tag, duration, USD, Vistra CIK and no dimensions; agreeing duplicates only</x:v>
      </x:c>
    </x:row>
    <x:row r="105" ht="52" customHeight="1">
      <x:c r="A105" s="406" t="str">
        <x:v>coverage_prior_original_amortization</x:v>
      </x:c>
      <x:c r="B105" s="458" t="n">
        <x:v>22000000</x:v>
      </x:c>
      <x:c r="C105" s="448" t="str">
        <x:v>prior_original amortization</x:v>
      </x:c>
      <x:c r="D105" s="459" t="d">
        <x:v>2025-01-01T00:00:00.000Z</x:v>
      </x:c>
      <x:c r="E105" s="459" t="d">
        <x:v>2025-06-30T00:00:00.000Z</x:v>
      </x:c>
      <x:c r="F105" s="448" t="str">
        <x:v>10-Q</x:v>
      </x:c>
      <x:c r="G105" s="459" t="d">
        <x:v>2025-08-08T00:00:00.000Z</x:v>
      </x:c>
      <x:c r="H105" s="448" t="str">
        <x:v>0001692819-25-000085</x:v>
      </x:c>
      <x:c r="I105" s="448" t="str">
        <x:v>us-gaap:AmortizationOfDebtDiscountPremium</x:v>
      </x:c>
      <x:c r="J105" s="448" t="str">
        <x:v>c-1</x:v>
      </x:c>
      <x:c r="K105" s="448" t="str">
        <x:v>None (consolidated total)</x:v>
      </x:c>
      <x:c r="L105" s="460" t="n">
        <x:v>6</x:v>
      </x:c>
      <x:c r="M105" s="448" t="str">
        <x:v>-6</x:v>
      </x:c>
      <x:c r="N105" s="448" t="str">
        <x:v>https://www.sec.gov/Archives/edgar/data/1692819/000169281925000085/vistra-20250630.htm</x:v>
      </x:c>
      <x:c r="O105" s="448" t="str">
        <x:v>Debt Note 9 p. 30</x:v>
      </x:c>
      <x:c r="P105" s="461" t="str"/>
      <x:c r="Q105" s="448" t="str">
        <x:v>4234cc94ced57c42cf07c4a35295b480a87033491e96881774eee658f1dc75ea</x:v>
      </x:c>
      <x:c r="R105" s="449" t="str">
        <x:v>iso4217:USD; Exact tag, duration, USD, Vistra CIK and no dimensions; agreeing duplicates only</x:v>
      </x:c>
    </x:row>
    <x:row r="106" ht="52" customHeight="1">
      <x:c r="A106" s="406" t="str">
        <x:v>coverage_prior_original_extinguishment</x:v>
      </x:c>
      <x:c r="B106" s="458" t="n">
        <x:v>0</x:v>
      </x:c>
      <x:c r="C106" s="448" t="str">
        <x:v>prior_original extinguishment</x:v>
      </x:c>
      <x:c r="D106" s="459" t="d">
        <x:v>2025-01-01T00:00:00.000Z</x:v>
      </x:c>
      <x:c r="E106" s="459" t="d">
        <x:v>2025-06-30T00:00:00.000Z</x:v>
      </x:c>
      <x:c r="F106" s="448" t="str">
        <x:v>10-Q</x:v>
      </x:c>
      <x:c r="G106" s="459" t="d">
        <x:v>2025-08-08T00:00:00.000Z</x:v>
      </x:c>
      <x:c r="H106" s="448" t="str">
        <x:v>0001692819-25-000085</x:v>
      </x:c>
      <x:c r="I106" s="448" t="str">
        <x:v>us-gaap:GainsLossesOnExtinguishmentOfDebt</x:v>
      </x:c>
      <x:c r="J106" s="448" t="str">
        <x:v>c-1</x:v>
      </x:c>
      <x:c r="K106" s="448" t="str">
        <x:v>None (consolidated total)</x:v>
      </x:c>
      <x:c r="L106" s="460" t="n">
        <x:v>6</x:v>
      </x:c>
      <x:c r="M106" s="448" t="str">
        <x:v>-6</x:v>
      </x:c>
      <x:c r="N106" s="448" t="str">
        <x:v>https://www.sec.gov/Archives/edgar/data/1692819/000169281925000085/vistra-20250630.htm</x:v>
      </x:c>
      <x:c r="O106" s="448" t="str">
        <x:v>Debt Note 9 p. 30</x:v>
      </x:c>
      <x:c r="P106" s="461" t="str"/>
      <x:c r="Q106" s="448" t="str">
        <x:v>4234cc94ced57c42cf07c4a35295b480a87033491e96881774eee658f1dc75ea</x:v>
      </x:c>
      <x:c r="R106" s="449" t="str">
        <x:v>iso4217:USD; Exact tag, duration, USD, Vistra CIK and no dimensions; agreeing duplicates only</x:v>
      </x:c>
    </x:row>
    <x:row r="107" ht="52" customHeight="1">
      <x:c r="A107" s="406" t="str">
        <x:v>coverage_prior_original_capitalized</x:v>
      </x:c>
      <x:c r="B107" s="458" t="n">
        <x:v>56000000</x:v>
      </x:c>
      <x:c r="C107" s="448" t="str">
        <x:v>prior_original capitalized</x:v>
      </x:c>
      <x:c r="D107" s="459" t="d">
        <x:v>2025-01-01T00:00:00.000Z</x:v>
      </x:c>
      <x:c r="E107" s="459" t="d">
        <x:v>2025-06-30T00:00:00.000Z</x:v>
      </x:c>
      <x:c r="F107" s="448" t="str">
        <x:v>10-Q</x:v>
      </x:c>
      <x:c r="G107" s="459" t="d">
        <x:v>2025-08-08T00:00:00.000Z</x:v>
      </x:c>
      <x:c r="H107" s="448" t="str">
        <x:v>0001692819-25-000085</x:v>
      </x:c>
      <x:c r="I107" s="448" t="str">
        <x:v>us-gaap:InterestCostsCapitalizedAdjustment</x:v>
      </x:c>
      <x:c r="J107" s="448" t="str">
        <x:v>c-1</x:v>
      </x:c>
      <x:c r="K107" s="448" t="str">
        <x:v>None (consolidated total)</x:v>
      </x:c>
      <x:c r="L107" s="460" t="n">
        <x:v>6</x:v>
      </x:c>
      <x:c r="M107" s="448" t="str">
        <x:v>-6</x:v>
      </x:c>
      <x:c r="N107" s="448" t="str">
        <x:v>https://www.sec.gov/Archives/edgar/data/1692819/000169281925000085/vistra-20250630.htm</x:v>
      </x:c>
      <x:c r="O107" s="448" t="str">
        <x:v>Debt Note 9 p. 30</x:v>
      </x:c>
      <x:c r="P107" s="461" t="str"/>
      <x:c r="Q107" s="448" t="str">
        <x:v>4234cc94ced57c42cf07c4a35295b480a87033491e96881774eee658f1dc75ea</x:v>
      </x:c>
      <x:c r="R107" s="449" t="str">
        <x:v>iso4217:USD; Exact tag, duration, USD, Vistra CIK and no dimensions; agreeing duplicates only</x:v>
      </x:c>
    </x:row>
    <x:row r="108" ht="52" customHeight="1">
      <x:c r="A108" s="406" t="str">
        <x:v>coverage_prior_original_other</x:v>
      </x:c>
      <x:c r="B108" s="458" t="n">
        <x:v>35000000</x:v>
      </x:c>
      <x:c r="C108" s="448" t="str">
        <x:v>prior_original other</x:v>
      </x:c>
      <x:c r="D108" s="459" t="d">
        <x:v>2025-01-01T00:00:00.000Z</x:v>
      </x:c>
      <x:c r="E108" s="459" t="d">
        <x:v>2025-06-30T00:00:00.000Z</x:v>
      </x:c>
      <x:c r="F108" s="448" t="str">
        <x:v>10-Q</x:v>
      </x:c>
      <x:c r="G108" s="459" t="d">
        <x:v>2025-08-08T00:00:00.000Z</x:v>
      </x:c>
      <x:c r="H108" s="448" t="str">
        <x:v>0001692819-25-000085</x:v>
      </x:c>
      <x:c r="I108" s="448" t="str">
        <x:v>us-gaap:InterestExpenseOther</x:v>
      </x:c>
      <x:c r="J108" s="448" t="str">
        <x:v>c-1</x:v>
      </x:c>
      <x:c r="K108" s="448" t="str">
        <x:v>None (consolidated total)</x:v>
      </x:c>
      <x:c r="L108" s="460" t="n">
        <x:v>6</x:v>
      </x:c>
      <x:c r="M108" s="448" t="str">
        <x:v>-6</x:v>
      </x:c>
      <x:c r="N108" s="448" t="str">
        <x:v>https://www.sec.gov/Archives/edgar/data/1692819/000169281925000085/vistra-20250630.htm</x:v>
      </x:c>
      <x:c r="O108" s="448" t="str">
        <x:v>Debt Note 9 p. 30</x:v>
      </x:c>
      <x:c r="P108" s="461" t="str"/>
      <x:c r="Q108" s="448" t="str">
        <x:v>4234cc94ced57c42cf07c4a35295b480a87033491e96881774eee658f1dc75ea</x:v>
      </x:c>
      <x:c r="R108" s="449" t="str">
        <x:v>iso4217:USD; Exact tag, duration, USD, Vistra CIK and no dimensions; agreeing duplicates only</x:v>
      </x:c>
    </x:row>
    <x:row r="109" ht="52" customHeight="1">
      <x:c r="A109" s="424" t="str">
        <x:v>coverage_prior_original_total</x:v>
      </x:c>
      <x:c r="B109" s="464" t="n">
        <x:v>622000000</x:v>
      </x:c>
      <x:c r="C109" s="452" t="str">
        <x:v>prior_original total</x:v>
      </x:c>
      <x:c r="D109" s="465" t="d">
        <x:v>2025-01-01T00:00:00.000Z</x:v>
      </x:c>
      <x:c r="E109" s="465" t="d">
        <x:v>2025-06-30T00:00:00.000Z</x:v>
      </x:c>
      <x:c r="F109" s="452" t="str">
        <x:v>10-Q</x:v>
      </x:c>
      <x:c r="G109" s="465" t="d">
        <x:v>2025-08-08T00:00:00.000Z</x:v>
      </x:c>
      <x:c r="H109" s="452" t="str">
        <x:v>0001692819-25-000085</x:v>
      </x:c>
      <x:c r="I109" s="452" t="str">
        <x:v>us-gaap:InterestExpenseNonoperating</x:v>
      </x:c>
      <x:c r="J109" s="452" t="str">
        <x:v>c-1</x:v>
      </x:c>
      <x:c r="K109" s="452" t="str">
        <x:v>None (consolidated total)</x:v>
      </x:c>
      <x:c r="L109" s="466" t="n">
        <x:v>6</x:v>
      </x:c>
      <x:c r="M109" s="452" t="str">
        <x:v>-6</x:v>
      </x:c>
      <x:c r="N109" s="452" t="str">
        <x:v>https://www.sec.gov/Archives/edgar/data/1692819/000169281925000085/vistra-20250630.htm</x:v>
      </x:c>
      <x:c r="O109" s="452" t="str">
        <x:v>Debt Note 9 p. 30</x:v>
      </x:c>
      <x:c r="P109" s="425" t="str"/>
      <x:c r="Q109" s="452" t="str">
        <x:v>4234cc94ced57c42cf07c4a35295b480a87033491e96881774eee658f1dc75ea</x:v>
      </x:c>
      <x:c r="R109" s="453" t="str">
        <x:v>iso4217:USD; Exact tag, duration, USD, Vistra CIK and no dimensions; agreeing duplicates only</x:v>
      </x:c>
    </x:row>
    <x:row r="112" ht="72" customHeight="1">
      <x:c r="A112" s="318" t="str">
        <x:v>Funding conclusion evidence</x:v>
      </x:c>
      <x:c r="B112" s="334" t="str">
        <x:v>Filing / filed date</x:v>
      </x:c>
      <x:c r="C112" s="334" t="str">
        <x:v>Accession</x:v>
      </x:c>
      <x:c r="D112" s="376" t="str">
        <x:v>Location</x:v>
      </x:c>
      <x:c r="N112" s="467" t="str">
        <x:v>SEC source</x:v>
      </x:c>
    </x:row>
    <x:row r="113" ht="72" customHeight="1">
      <x:c r="A113" s="326" t="str">
        <x:v>Near-term obligations</x:v>
      </x:c>
      <x:c r="B113" s="337" t="str">
        <x:v>10-Q filed Aug 10, 2026</x:v>
      </x:c>
      <x:c r="C113" s="337" t="str">
        <x:v>0001692819-26-000019</x:v>
      </x:c>
      <x:c r="D113" s="468" t="str">
        <x:v>pp. 1–5, 15, 20–28, 39, 67–70</x:v>
      </x:c>
      <x:c r="N113" s="469" t="str">
        <x:v>https://www.sec.gov/Archives/edgar/data/1692819/000169281926000019/vistra-20260630.htm</x:v>
      </x:c>
    </x:row>
    <x:row r="114" ht="72" customHeight="1">
      <x:c r="A114" s="326" t="str">
        <x:v>Resources and access</x:v>
      </x:c>
      <x:c r="B114" s="337" t="str">
        <x:v>10-Q filed Aug 10, 2026</x:v>
      </x:c>
      <x:c r="C114" s="337" t="str">
        <x:v>0001692819-26-000019</x:v>
      </x:c>
      <x:c r="D114" s="468" t="str">
        <x:v>pp. 1–5, 15, 20–28, 39, 67–70</x:v>
      </x:c>
      <x:c r="N114" s="469" t="str">
        <x:v>https://www.sec.gov/Archives/edgar/data/1692819/000169281926000019/vistra-20260630.htm</x:v>
      </x:c>
    </x:row>
    <x:row r="115" ht="72" customHeight="1">
      <x:c r="A115" s="326" t="str">
        <x:v>Resources and access</x:v>
      </x:c>
      <x:c r="B115" s="337" t="str">
        <x:v>10-K filed Feb 27, 2026</x:v>
      </x:c>
      <x:c r="C115" s="337" t="str">
        <x:v>0001692819-26-000006</x:v>
      </x:c>
      <x:c r="D115" s="468" t="str">
        <x:v>pp. 79, 113–121, 159–160</x:v>
      </x:c>
      <x:c r="N115" s="469" t="str">
        <x:v>https://www.sec.gov/Archives/edgar/data/1692819/000169281926000006/vistra-20251231.htm</x:v>
      </x:c>
    </x:row>
    <x:row r="116" ht="72" customHeight="1">
      <x:c r="A116" s="326" t="str">
        <x:v>Resources and access</x:v>
      </x:c>
      <x:c r="B116" s="337" t="str">
        <x:v>Credit amendment filed Jun 30, 2026</x:v>
      </x:c>
      <x:c r="C116" s="337" t="str">
        <x:v>0001140361-26-026944</x:v>
      </x:c>
      <x:c r="D116" s="468" t="str">
        <x:v>Annex B §§7.1–7.2, 9.13, 10.9</x:v>
      </x:c>
      <x:c r="N116" s="469" t="str">
        <x:v>https://www.sec.gov/Archives/edgar/data/1692819/000114036126026944/ef20077059_ex10-1.htm</x:v>
      </x:c>
    </x:row>
    <x:row r="117" ht="72" customHeight="1">
      <x:c r="A117" s="326" t="str">
        <x:v>Competing cash uses</x:v>
      </x:c>
      <x:c r="B117" s="337" t="str">
        <x:v>10-Q filed Aug 10, 2026</x:v>
      </x:c>
      <x:c r="C117" s="337" t="str">
        <x:v>0001692819-26-000019</x:v>
      </x:c>
      <x:c r="D117" s="468" t="str">
        <x:v>pp. 1–5, 15, 20–28, 39, 67–70</x:v>
      </x:c>
      <x:c r="N117" s="469" t="str">
        <x:v>https://www.sec.gov/Archives/edgar/data/1692819/000169281926000019/vistra-20260630.htm</x:v>
      </x:c>
    </x:row>
    <x:row r="118" ht="72" customHeight="1">
      <x:c r="A118" s="326" t="str">
        <x:v>Decisive unknowns</x:v>
      </x:c>
      <x:c r="B118" s="337" t="str">
        <x:v>10-Q filed Aug 10, 2026</x:v>
      </x:c>
      <x:c r="C118" s="337" t="str">
        <x:v>0001692819-26-000019</x:v>
      </x:c>
      <x:c r="D118" s="468" t="str">
        <x:v>pp. 1–5, 15, 20–28, 39, 67–70</x:v>
      </x:c>
      <x:c r="N118" s="469" t="str">
        <x:v>https://www.sec.gov/Archives/edgar/data/1692819/000169281926000019/vistra-20260630.htm</x:v>
      </x:c>
    </x:row>
    <x:row r="119" ht="72" customHeight="1">
      <x:c r="A119" s="326" t="str">
        <x:v>Decisive unknowns</x:v>
      </x:c>
      <x:c r="B119" s="337" t="str">
        <x:v>10-K filed Feb 27, 2026</x:v>
      </x:c>
      <x:c r="C119" s="337" t="str">
        <x:v>0001692819-26-000006</x:v>
      </x:c>
      <x:c r="D119" s="468" t="str">
        <x:v>pp. 79, 113–121, 159–160</x:v>
      </x:c>
      <x:c r="N119" s="469" t="str">
        <x:v>https://www.sec.gov/Archives/edgar/data/1692819/000169281926000006/vistra-20251231.htm</x:v>
      </x:c>
    </x:row>
    <x:row r="120" ht="72" customHeight="1">
      <x:c r="A120" s="326" t="str">
        <x:v>Decisive unknowns</x:v>
      </x:c>
      <x:c r="B120" s="337" t="str">
        <x:v>Credit amendment filed Jun 30, 2026</x:v>
      </x:c>
      <x:c r="C120" s="337" t="str">
        <x:v>0001140361-26-026944</x:v>
      </x:c>
      <x:c r="D120" s="468" t="str">
        <x:v>Annex B §§7.1–7.2, 9.13, 10.9</x:v>
      </x:c>
      <x:c r="N120" s="469" t="str">
        <x:v>https://www.sec.gov/Archives/edgar/data/1692819/000114036126026944/ef20077059_ex10-1.htm</x:v>
      </x:c>
    </x:row>
    <x:row r="121" ht="72" customHeight="1">
      <x:c r="A121" s="326" t="str">
        <x:v>Decisive unknowns</x:v>
      </x:c>
      <x:c r="B121" s="337" t="str">
        <x:v>Issuance 8-K filed Sep 24, 2026</x:v>
      </x:c>
      <x:c r="C121" s="337" t="str">
        <x:v>0001140361-26-037577</x:v>
      </x:c>
      <x:c r="D121" s="468" t="str">
        <x:v>Items 1.01, 8.01; Ex. 4.2</x:v>
      </x:c>
      <x:c r="N121" s="469" t="str">
        <x:v>https://www.sec.gov/Archives/edgar/data/1692819/000114036126037577/ef20082680_8k.htm</x:v>
      </x:c>
    </x:row>
    <x:row r="122" ht="72" customHeight="1">
      <x:c r="A122" s="326" t="str">
        <x:v>Historical coverage</x:v>
      </x:c>
      <x:c r="B122" s="337" t="str">
        <x:v>10-Q filed Aug 10, 2026</x:v>
      </x:c>
      <x:c r="C122" s="337" t="str">
        <x:v>0001692819-26-000019</x:v>
      </x:c>
      <x:c r="D122" s="468" t="str">
        <x:v>Operations p. 1; interest Note 12 p. 28</x:v>
      </x:c>
      <x:c r="N122" s="469" t="str">
        <x:v>https://www.sec.gov/Archives/edgar/data/1692819/000169281926000019/vistra-20260630.htm</x:v>
      </x:c>
    </x:row>
    <x:row r="123" ht="72" customHeight="1">
      <x:c r="A123" s="327" t="str">
        <x:v>Historical coverage</x:v>
      </x:c>
      <x:c r="B123" s="470" t="str">
        <x:v>10-K filed Feb 27, 2026</x:v>
      </x:c>
      <x:c r="C123" s="470" t="str">
        <x:v>0001692819-26-000006</x:v>
      </x:c>
      <x:c r="D123" s="471" t="str">
        <x:v>Operations p. 79; interest table p. 121</x:v>
      </x:c>
      <x:c r="N123" s="472" t="str">
        <x:v>https://www.sec.gov/Archives/edgar/data/1692819/000169281926000006/vistra-20251231.htm</x:v>
      </x:c>
    </x:row>
    <x:row r="126" ht="78" customHeight="1">
      <x:c r="A126" s="318" t="str">
        <x:v>Input</x:v>
      </x:c>
      <x:c r="B126" s="334" t="str">
        <x:v>USD, displayed millions</x:v>
      </x:c>
      <x:c r="C126" s="334" t="str">
        <x:v>Description</x:v>
      </x:c>
      <x:c r="D126" s="334" t="str">
        <x:v>Period from</x:v>
      </x:c>
      <x:c r="E126" s="334" t="str">
        <x:v>Period through</x:v>
      </x:c>
      <x:c r="F126" s="334" t="str">
        <x:v>Form</x:v>
      </x:c>
      <x:c r="G126" s="334" t="str">
        <x:v>Filed</x:v>
      </x:c>
      <x:c r="H126" s="334" t="str">
        <x:v>Accession</x:v>
      </x:c>
      <x:c r="I126" s="334" t="str">
        <x:v>Tag</x:v>
      </x:c>
      <x:c r="J126" s="334" t="str">
        <x:v>Context</x:v>
      </x:c>
      <x:c r="K126" s="334" t="str">
        <x:v>Dimensions</x:v>
      </x:c>
      <x:c r="L126" s="334" t="str">
        <x:v>Scale</x:v>
      </x:c>
      <x:c r="M126" s="334" t="str">
        <x:v>Decimals</x:v>
      </x:c>
      <x:c r="N126" s="334" t="str">
        <x:v>Source</x:v>
      </x:c>
      <x:c r="O126" s="334" t="str">
        <x:v>Location</x:v>
      </x:c>
      <x:c r="P126" s="334" t="str">
        <x:v>Reason if unavailable</x:v>
      </x:c>
      <x:c r="Q126" s="334" t="str">
        <x:v>Reviewed source SHA256</x:v>
      </x:c>
      <x:c r="R126" s="319" t="str">
        <x:v>Unit and selection rule</x:v>
      </x:c>
    </x:row>
    <x:row r="127" ht="78" customHeight="1">
      <x:c r="A127" s="326" t="str">
        <x:v>Long-term debt, current portion</x:v>
      </x:c>
      <x:c r="B127" s="473" t="n">
        <x:v>1876000000</x:v>
      </x:c>
      <x:c r="C127" s="337" t="str">
        <x:v>Long-term debt, current portion</x:v>
      </x:c>
      <x:c r="D127" s="369"/>
      <x:c r="E127" s="336" t="d">
        <x:v>2026-06-30T00:00:00.000Z</x:v>
      </x:c>
      <x:c r="F127" s="337" t="str">
        <x:v>10-Q</x:v>
      </x:c>
      <x:c r="G127" s="336" t="d">
        <x:v>2026-08-10T00:00:00.000Z</x:v>
      </x:c>
      <x:c r="H127" s="337" t="str">
        <x:v>0001692819-26-000019</x:v>
      </x:c>
      <x:c r="I127" s="337" t="str">
        <x:v>us-gaap:LongTermDebtAndCapitalLeaseObligationsCurrent</x:v>
      </x:c>
      <x:c r="J127" s="369"/>
      <x:c r="K127" s="337" t="str">
        <x:v>None (consolidated total)</x:v>
      </x:c>
      <x:c r="L127" s="369"/>
      <x:c r="M127" s="369"/>
      <x:c r="N127" s="337" t="str">
        <x:v>https://www.sec.gov/Archives/edgar/data/1692819/000169281926000019/vistra-20260630.htm</x:v>
      </x:c>
      <x:c r="O127" s="337" t="str">
        <x:v>10-Q balance sheet, p. 2; Note 12, p. 20</x:v>
      </x:c>
      <x:c r="P127" s="369" t="str"/>
      <x:c r="Q127" s="369" t="str"/>
      <x:c r="R127" s="321" t="str">
        <x:v>USD; USD instant at the balance-sheet date, from the latest original 10-K or 10-Q itself</x:v>
      </x:c>
    </x:row>
    <x:row r="128" ht="78" customHeight="1">
      <x:c r="A128" s="326" t="str">
        <x:v>Long-term debt, noncurrent</x:v>
      </x:c>
      <x:c r="B128" s="473" t="n">
        <x:v>17719000000</x:v>
      </x:c>
      <x:c r="C128" s="337" t="str">
        <x:v>Long-term debt, noncurrent</x:v>
      </x:c>
      <x:c r="D128" s="369"/>
      <x:c r="E128" s="336" t="d">
        <x:v>2026-06-30T00:00:00.000Z</x:v>
      </x:c>
      <x:c r="F128" s="337" t="str">
        <x:v>10-Q</x:v>
      </x:c>
      <x:c r="G128" s="336" t="d">
        <x:v>2026-08-10T00:00:00.000Z</x:v>
      </x:c>
      <x:c r="H128" s="337" t="str">
        <x:v>0001692819-26-000019</x:v>
      </x:c>
      <x:c r="I128" s="337" t="str">
        <x:v>us-gaap:LongTermDebtAndCapitalLeaseObligations</x:v>
      </x:c>
      <x:c r="J128" s="369"/>
      <x:c r="K128" s="337" t="str">
        <x:v>None (consolidated total)</x:v>
      </x:c>
      <x:c r="L128" s="369"/>
      <x:c r="M128" s="369"/>
      <x:c r="N128" s="337" t="str">
        <x:v>https://www.sec.gov/Archives/edgar/data/1692819/000169281926000019/vistra-20260630.htm</x:v>
      </x:c>
      <x:c r="O128" s="337" t="str">
        <x:v>10-Q balance sheet, p. 2; Note 12, p. 20</x:v>
      </x:c>
      <x:c r="P128" s="369" t="str"/>
      <x:c r="Q128" s="369" t="str"/>
      <x:c r="R128" s="321" t="str">
        <x:v>USD; USD instant at the balance-sheet date, from the latest original 10-K or 10-Q itself</x:v>
      </x:c>
    </x:row>
    <x:row r="129" ht="78" customHeight="1">
      <x:c r="A129" s="326" t="str">
        <x:v>Short-term borrowings</x:v>
      </x:c>
      <x:c r="B129" s="473" t="n">
        <x:v>0</x:v>
      </x:c>
      <x:c r="C129" s="337" t="str">
        <x:v>Short-term borrowings</x:v>
      </x:c>
      <x:c r="D129" s="369"/>
      <x:c r="E129" s="336" t="d">
        <x:v>2026-06-30T00:00:00.000Z</x:v>
      </x:c>
      <x:c r="F129" s="337" t="str">
        <x:v>10-Q</x:v>
      </x:c>
      <x:c r="G129" s="336" t="d">
        <x:v>2026-08-10T00:00:00.000Z</x:v>
      </x:c>
      <x:c r="H129" s="337" t="str">
        <x:v>0001692819-26-000019</x:v>
      </x:c>
      <x:c r="I129" s="337" t="str">
        <x:v>us-gaap:ShortTermBorrowings</x:v>
      </x:c>
      <x:c r="J129" s="369"/>
      <x:c r="K129" s="337" t="str">
        <x:v>None (consolidated total)</x:v>
      </x:c>
      <x:c r="L129" s="369"/>
      <x:c r="M129" s="369"/>
      <x:c r="N129" s="337" t="str">
        <x:v>https://www.sec.gov/Archives/edgar/data/1692819/000169281926000019/vistra-20260630.htm</x:v>
      </x:c>
      <x:c r="O129" s="337" t="str">
        <x:v>10-Q balance sheet, p. 2; Note 12, p. 20</x:v>
      </x:c>
      <x:c r="P129" s="369" t="str"/>
      <x:c r="Q129" s="369" t="str"/>
      <x:c r="R129" s="321" t="str">
        <x:v>USD; USD instant at the balance-sheet date, from the latest original 10-K or 10-Q itself</x:v>
      </x:c>
    </x:row>
    <x:row r="130" ht="78" customHeight="1">
      <x:c r="A130" s="326" t="str">
        <x:v>Accounts receivable financing</x:v>
      </x:c>
      <x:c r="B130" s="473" t="n">
        <x:v>300000000</x:v>
      </x:c>
      <x:c r="C130" s="337" t="str">
        <x:v>Accounts receivable financing</x:v>
      </x:c>
      <x:c r="D130" s="369"/>
      <x:c r="E130" s="336" t="d">
        <x:v>2026-06-30T00:00:00.000Z</x:v>
      </x:c>
      <x:c r="F130" s="337" t="str">
        <x:v>10-Q</x:v>
      </x:c>
      <x:c r="G130" s="336" t="d">
        <x:v>2026-08-10T00:00:00.000Z</x:v>
      </x:c>
      <x:c r="H130" s="337" t="str">
        <x:v>0001692819-26-000019</x:v>
      </x:c>
      <x:c r="I130" s="337" t="str">
        <x:v>vistra:AccountsReceivableSecuritizationProgramAmountsBorrowed</x:v>
      </x:c>
      <x:c r="J130" s="337" t="str">
        <x:v>c-8</x:v>
      </x:c>
      <x:c r="K130" s="337" t="str">
        <x:v>None (consolidated total)</x:v>
      </x:c>
      <x:c r="L130" s="474" t="n">
        <x:v>6</x:v>
      </x:c>
      <x:c r="M130" s="337" t="str">
        <x:v>-6</x:v>
      </x:c>
      <x:c r="N130" s="337" t="str">
        <x:v>https://www.sec.gov/Archives/edgar/data/1692819/000169281926000019/vistra-20260630.htm</x:v>
      </x:c>
      <x:c r="O130" s="337" t="str">
        <x:v>10-Q balance sheet, p. 2; Note 12, p. 20</x:v>
      </x:c>
      <x:c r="P130" s="369" t="str"/>
      <x:c r="Q130" s="369" t="str"/>
      <x:c r="R130" s="321" t="str">
        <x:v>USD; USD instant at the balance-sheet date in the checked filing document, no dimensions</x:v>
      </x:c>
    </x:row>
    <x:row r="131" ht="78" customHeight="1">
      <x:c r="A131" s="326" t="str">
        <x:v>Latest-date lease liabilities — Unavailable</x:v>
      </x:c>
      <x:c r="B131" s="475"/>
      <x:c r="C131" s="337" t="str">
        <x:v>Latest-date lease liabilities — Unavailable</x:v>
      </x:c>
      <x:c r="D131" s="369"/>
      <x:c r="E131" s="336" t="d">
        <x:v>2026-06-30T00:00:00.000Z</x:v>
      </x:c>
      <x:c r="F131" s="337" t="str">
        <x:v>10-Q</x:v>
      </x:c>
      <x:c r="G131" s="336" t="d">
        <x:v>2026-08-10T00:00:00.000Z</x:v>
      </x:c>
      <x:c r="H131" s="337" t="str">
        <x:v>0001692819-26-000019</x:v>
      </x:c>
      <x:c r="I131" s="369"/>
      <x:c r="J131" s="369"/>
      <x:c r="K131" s="337" t="str">
        <x:v>None (consolidated total)</x:v>
      </x:c>
      <x:c r="L131" s="369"/>
      <x:c r="M131" s="369"/>
      <x:c r="N131" s="337" t="str">
        <x:v>https://www.sec.gov/Archives/edgar/data/1692819/000169281926000019/vistra-20260630.htm</x:v>
      </x:c>
      <x:c r="O131" s="337" t="str">
        <x:v>10-Q balance sheet, p. 2; Note 12, p. 20</x:v>
      </x:c>
      <x:c r="P131" s="337" t="str">
        <x:v>Latest-date lease liabilities Unavailable; no checked amount in the 10-Q.</x:v>
      </x:c>
      <x:c r="Q131" s="369" t="str"/>
      <x:c r="R131" s="321" t="str">
        <x:v>Unavailable; no numeric fact established</x:v>
      </x:c>
    </x:row>
    <x:row r="132" ht="78" customHeight="1">
      <x:c r="A132" s="326" t="str">
        <x:v>Operating lease liabilities — current</x:v>
      </x:c>
      <x:c r="B132" s="473" t="n">
        <x:v>13000000</x:v>
      </x:c>
      <x:c r="C132" s="337" t="str">
        <x:v>Operating lease liabilities — current</x:v>
      </x:c>
      <x:c r="D132" s="369"/>
      <x:c r="E132" s="336" t="d">
        <x:v>2025-12-31T00:00:00.000Z</x:v>
      </x:c>
      <x:c r="F132" s="337" t="str">
        <x:v>10-K</x:v>
      </x:c>
      <x:c r="G132" s="336" t="d">
        <x:v>2026-02-27T00:00:00.000Z</x:v>
      </x:c>
      <x:c r="H132" s="337" t="str">
        <x:v>0001692819-26-000006</x:v>
      </x:c>
      <x:c r="I132" s="337" t="str">
        <x:v>us-gaap:OperatingLeaseLiabilityCurrent</x:v>
      </x:c>
      <x:c r="J132" s="337" t="str">
        <x:v>c-7</x:v>
      </x:c>
      <x:c r="K132" s="337" t="str">
        <x:v>None (consolidated total)</x:v>
      </x:c>
      <x:c r="L132" s="474" t="n">
        <x:v>6</x:v>
      </x:c>
      <x:c r="M132" s="337" t="str">
        <x:v>-6</x:v>
      </x:c>
      <x:c r="N132" s="337" t="str">
        <x:v>https://www.sec.gov/Archives/edgar/data/1692819/000169281926000006/vistra-20251231.htm</x:v>
      </x:c>
      <x:c r="O132" s="337" t="str">
        <x:v>10-K lease note, pp. 122–123</x:v>
      </x:c>
      <x:c r="P132" s="369" t="str"/>
      <x:c r="Q132" s="337" t="str">
        <x:v>42e6a0ba0c833ede7d9d452b9f1ea68fbc4cb52035129ab5d5e02916e02822d4</x:v>
      </x:c>
      <x:c r="R132" s="321" t="str">
        <x:v>USD; Exact prefixed tag; exact stated instant; USD; no dimensions; agreeing duplicates.</x:v>
      </x:c>
    </x:row>
    <x:row r="133" ht="78" customHeight="1">
      <x:c r="A133" s="326" t="str">
        <x:v>Operating lease liabilities — noncurrent</x:v>
      </x:c>
      <x:c r="B133" s="473" t="n">
        <x:v>92000000</x:v>
      </x:c>
      <x:c r="C133" s="337" t="str">
        <x:v>Operating lease liabilities — noncurrent</x:v>
      </x:c>
      <x:c r="D133" s="369"/>
      <x:c r="E133" s="336" t="d">
        <x:v>2025-12-31T00:00:00.000Z</x:v>
      </x:c>
      <x:c r="F133" s="337" t="str">
        <x:v>10-K</x:v>
      </x:c>
      <x:c r="G133" s="336" t="d">
        <x:v>2026-02-27T00:00:00.000Z</x:v>
      </x:c>
      <x:c r="H133" s="337" t="str">
        <x:v>0001692819-26-000006</x:v>
      </x:c>
      <x:c r="I133" s="337" t="str">
        <x:v>us-gaap:OperatingLeaseLiabilityNoncurrent</x:v>
      </x:c>
      <x:c r="J133" s="337" t="str">
        <x:v>c-7</x:v>
      </x:c>
      <x:c r="K133" s="337" t="str">
        <x:v>None (consolidated total)</x:v>
      </x:c>
      <x:c r="L133" s="474" t="n">
        <x:v>6</x:v>
      </x:c>
      <x:c r="M133" s="337" t="str">
        <x:v>-6</x:v>
      </x:c>
      <x:c r="N133" s="337" t="str">
        <x:v>https://www.sec.gov/Archives/edgar/data/1692819/000169281926000006/vistra-20251231.htm</x:v>
      </x:c>
      <x:c r="O133" s="337" t="str">
        <x:v>10-K lease note, pp. 122–123</x:v>
      </x:c>
      <x:c r="P133" s="369" t="str"/>
      <x:c r="Q133" s="337" t="str">
        <x:v>42e6a0ba0c833ede7d9d452b9f1ea68fbc4cb52035129ab5d5e02916e02822d4</x:v>
      </x:c>
      <x:c r="R133" s="321" t="str">
        <x:v>USD; Exact prefixed tag; exact stated instant; USD; no dimensions; agreeing duplicates.</x:v>
      </x:c>
    </x:row>
    <x:row r="134" ht="78" customHeight="1">
      <x:c r="A134" s="326" t="str">
        <x:v>Operating lease liabilities — reported total control</x:v>
      </x:c>
      <x:c r="B134" s="473" t="n">
        <x:v>105000000</x:v>
      </x:c>
      <x:c r="C134" s="337" t="str">
        <x:v>Operating lease liabilities — reported total control</x:v>
      </x:c>
      <x:c r="D134" s="369"/>
      <x:c r="E134" s="336" t="d">
        <x:v>2025-12-31T00:00:00.000Z</x:v>
      </x:c>
      <x:c r="F134" s="337" t="str">
        <x:v>10-K</x:v>
      </x:c>
      <x:c r="G134" s="336" t="d">
        <x:v>2026-02-27T00:00:00.000Z</x:v>
      </x:c>
      <x:c r="H134" s="337" t="str">
        <x:v>0001692819-26-000006</x:v>
      </x:c>
      <x:c r="I134" s="337" t="str">
        <x:v>us-gaap:OperatingLeaseLiability</x:v>
      </x:c>
      <x:c r="J134" s="337" t="str">
        <x:v>c-7</x:v>
      </x:c>
      <x:c r="K134" s="337" t="str">
        <x:v>None (consolidated total)</x:v>
      </x:c>
      <x:c r="L134" s="474" t="n">
        <x:v>6</x:v>
      </x:c>
      <x:c r="M134" s="337" t="str">
        <x:v>-6</x:v>
      </x:c>
      <x:c r="N134" s="337" t="str">
        <x:v>https://www.sec.gov/Archives/edgar/data/1692819/000169281926000006/vistra-20251231.htm</x:v>
      </x:c>
      <x:c r="O134" s="337" t="str">
        <x:v>10-K lease note, pp. 122–123</x:v>
      </x:c>
      <x:c r="P134" s="369" t="str"/>
      <x:c r="Q134" s="337" t="str">
        <x:v>42e6a0ba0c833ede7d9d452b9f1ea68fbc4cb52035129ab5d5e02916e02822d4</x:v>
      </x:c>
      <x:c r="R134" s="321" t="str">
        <x:v>USD; Exact prefixed tag; exact stated instant; USD; no dimensions; agreeing duplicates.</x:v>
      </x:c>
    </x:row>
    <x:row r="135" ht="78" customHeight="1">
      <x:c r="A135" s="326" t="str">
        <x:v>Finance lease liabilities — current</x:v>
      </x:c>
      <x:c r="B135" s="473" t="n">
        <x:v>4000000</x:v>
      </x:c>
      <x:c r="C135" s="337" t="str">
        <x:v>Finance lease liabilities — current</x:v>
      </x:c>
      <x:c r="D135" s="369"/>
      <x:c r="E135" s="336" t="d">
        <x:v>2025-12-31T00:00:00.000Z</x:v>
      </x:c>
      <x:c r="F135" s="337" t="str">
        <x:v>10-K</x:v>
      </x:c>
      <x:c r="G135" s="336" t="d">
        <x:v>2026-02-27T00:00:00.000Z</x:v>
      </x:c>
      <x:c r="H135" s="337" t="str">
        <x:v>0001692819-26-000006</x:v>
      </x:c>
      <x:c r="I135" s="337" t="str">
        <x:v>us-gaap:FinanceLeaseLiabilityCurrent</x:v>
      </x:c>
      <x:c r="J135" s="337" t="str">
        <x:v>c-7</x:v>
      </x:c>
      <x:c r="K135" s="337" t="str">
        <x:v>None (consolidated total)</x:v>
      </x:c>
      <x:c r="L135" s="474" t="n">
        <x:v>6</x:v>
      </x:c>
      <x:c r="M135" s="337" t="str">
        <x:v>-6</x:v>
      </x:c>
      <x:c r="N135" s="337" t="str">
        <x:v>https://www.sec.gov/Archives/edgar/data/1692819/000169281926000006/vistra-20251231.htm</x:v>
      </x:c>
      <x:c r="O135" s="337" t="str">
        <x:v>10-K lease note, pp. 122–123</x:v>
      </x:c>
      <x:c r="P135" s="369" t="str"/>
      <x:c r="Q135" s="337" t="str">
        <x:v>42e6a0ba0c833ede7d9d452b9f1ea68fbc4cb52035129ab5d5e02916e02822d4</x:v>
      </x:c>
      <x:c r="R135" s="321" t="str">
        <x:v>USD; Exact prefixed tag; exact stated instant; USD; no dimensions; agreeing duplicates.</x:v>
      </x:c>
    </x:row>
    <x:row r="136" ht="78" customHeight="1">
      <x:c r="A136" s="326" t="str">
        <x:v>Finance lease liabilities — noncurrent</x:v>
      </x:c>
      <x:c r="B136" s="473" t="n">
        <x:v>218000000</x:v>
      </x:c>
      <x:c r="C136" s="337" t="str">
        <x:v>Finance lease liabilities — noncurrent</x:v>
      </x:c>
      <x:c r="D136" s="369"/>
      <x:c r="E136" s="336" t="d">
        <x:v>2025-12-31T00:00:00.000Z</x:v>
      </x:c>
      <x:c r="F136" s="337" t="str">
        <x:v>10-K</x:v>
      </x:c>
      <x:c r="G136" s="336" t="d">
        <x:v>2026-02-27T00:00:00.000Z</x:v>
      </x:c>
      <x:c r="H136" s="337" t="str">
        <x:v>0001692819-26-000006</x:v>
      </x:c>
      <x:c r="I136" s="337" t="str">
        <x:v>us-gaap:FinanceLeaseLiabilityNoncurrent</x:v>
      </x:c>
      <x:c r="J136" s="337" t="str">
        <x:v>c-7</x:v>
      </x:c>
      <x:c r="K136" s="337" t="str">
        <x:v>None (consolidated total)</x:v>
      </x:c>
      <x:c r="L136" s="474" t="n">
        <x:v>6</x:v>
      </x:c>
      <x:c r="M136" s="337" t="str">
        <x:v>-6</x:v>
      </x:c>
      <x:c r="N136" s="337" t="str">
        <x:v>https://www.sec.gov/Archives/edgar/data/1692819/000169281926000006/vistra-20251231.htm</x:v>
      </x:c>
      <x:c r="O136" s="337" t="str">
        <x:v>10-K lease note, pp. 122–123</x:v>
      </x:c>
      <x:c r="P136" s="369" t="str"/>
      <x:c r="Q136" s="337" t="str">
        <x:v>42e6a0ba0c833ede7d9d452b9f1ea68fbc4cb52035129ab5d5e02916e02822d4</x:v>
      </x:c>
      <x:c r="R136" s="321" t="str">
        <x:v>USD; Exact prefixed tag; exact stated instant; USD; no dimensions; agreeing duplicates.</x:v>
      </x:c>
    </x:row>
    <x:row r="137" ht="78" customHeight="1">
      <x:c r="A137" s="326" t="str">
        <x:v>Finance lease liabilities — reported total control</x:v>
      </x:c>
      <x:c r="B137" s="473" t="n">
        <x:v>222000000</x:v>
      </x:c>
      <x:c r="C137" s="337" t="str">
        <x:v>Finance lease liabilities — reported total control</x:v>
      </x:c>
      <x:c r="D137" s="369"/>
      <x:c r="E137" s="336" t="d">
        <x:v>2025-12-31T00:00:00.000Z</x:v>
      </x:c>
      <x:c r="F137" s="337" t="str">
        <x:v>10-K</x:v>
      </x:c>
      <x:c r="G137" s="336" t="d">
        <x:v>2026-02-27T00:00:00.000Z</x:v>
      </x:c>
      <x:c r="H137" s="337" t="str">
        <x:v>0001692819-26-000006</x:v>
      </x:c>
      <x:c r="I137" s="337" t="str">
        <x:v>us-gaap:FinanceLeaseLiability</x:v>
      </x:c>
      <x:c r="J137" s="337" t="str">
        <x:v>c-7</x:v>
      </x:c>
      <x:c r="K137" s="337" t="str">
        <x:v>None (consolidated total)</x:v>
      </x:c>
      <x:c r="L137" s="474" t="n">
        <x:v>6</x:v>
      </x:c>
      <x:c r="M137" s="337" t="str">
        <x:v>-6</x:v>
      </x:c>
      <x:c r="N137" s="337" t="str">
        <x:v>https://www.sec.gov/Archives/edgar/data/1692819/000169281926000006/vistra-20251231.htm</x:v>
      </x:c>
      <x:c r="O137" s="337" t="str">
        <x:v>10-K lease note, pp. 122–123</x:v>
      </x:c>
      <x:c r="P137" s="369" t="str"/>
      <x:c r="Q137" s="337" t="str">
        <x:v>42e6a0ba0c833ede7d9d452b9f1ea68fbc4cb52035129ab5d5e02916e02822d4</x:v>
      </x:c>
      <x:c r="R137" s="321" t="str">
        <x:v>USD; Exact prefixed tag; exact stated instant; USD; no dimensions; agreeing duplicates.</x:v>
      </x:c>
    </x:row>
    <x:row r="138" ht="78" customHeight="1">
      <x:c r="A138" s="327" t="str">
        <x:v>Leases not yet commenced — Unavailable</x:v>
      </x:c>
      <x:c r="B138" s="476"/>
      <x:c r="C138" s="470" t="str">
        <x:v>Leases not yet commenced — Unavailable</x:v>
      </x:c>
      <x:c r="D138" s="370"/>
      <x:c r="E138" s="366" t="d">
        <x:v>2026-06-30T00:00:00.000Z</x:v>
      </x:c>
      <x:c r="F138" s="470" t="str">
        <x:v>10-Q</x:v>
      </x:c>
      <x:c r="G138" s="366" t="d">
        <x:v>2026-08-10T00:00:00.000Z</x:v>
      </x:c>
      <x:c r="H138" s="470" t="str">
        <x:v>0001692819-26-000019</x:v>
      </x:c>
      <x:c r="I138" s="370"/>
      <x:c r="J138" s="370"/>
      <x:c r="K138" s="470" t="str">
        <x:v>None (consolidated total)</x:v>
      </x:c>
      <x:c r="L138" s="370"/>
      <x:c r="M138" s="370"/>
      <x:c r="N138" s="470" t="str">
        <x:v>https://www.sec.gov/Archives/edgar/data/1692819/000169281926000019/vistra-20260630.htm</x:v>
      </x:c>
      <x:c r="O138" s="470" t="str">
        <x:v>Saved pilot evidence; 10-Q review</x:v>
      </x:c>
      <x:c r="P138" s="470" t="str">
        <x:v>No checked amount for leases not yet commenced is established in the saved pilot evidence. Unavailable does not mean zero.</x:v>
      </x:c>
      <x:c r="Q138" s="370" t="str"/>
      <x:c r="R138" s="323" t="str">
        <x:v>Unavailable; no numeric fact established</x:v>
      </x:c>
    </x:row>
    <x:row r="141" ht="86" customHeight="1">
      <x:c r="A141" s="318" t="str">
        <x:v>Input</x:v>
      </x:c>
      <x:c r="B141" s="334" t="str">
        <x:v>USD, displayed millions</x:v>
      </x:c>
      <x:c r="C141" s="334" t="str">
        <x:v>Description</x:v>
      </x:c>
      <x:c r="D141" s="334" t="str">
        <x:v>Period from</x:v>
      </x:c>
      <x:c r="E141" s="334" t="str">
        <x:v>Period through</x:v>
      </x:c>
      <x:c r="F141" s="334" t="str">
        <x:v>Form</x:v>
      </x:c>
      <x:c r="G141" s="334" t="str">
        <x:v>Filed</x:v>
      </x:c>
      <x:c r="H141" s="334" t="str">
        <x:v>Accession</x:v>
      </x:c>
      <x:c r="I141" s="334" t="str">
        <x:v>Tag</x:v>
      </x:c>
      <x:c r="J141" s="334" t="str">
        <x:v>Context</x:v>
      </x:c>
      <x:c r="K141" s="334" t="str">
        <x:v>Dimensions</x:v>
      </x:c>
      <x:c r="L141" s="334" t="str">
        <x:v>Scale</x:v>
      </x:c>
      <x:c r="M141" s="334" t="str">
        <x:v>Decimals</x:v>
      </x:c>
      <x:c r="N141" s="334" t="str">
        <x:v>Source</x:v>
      </x:c>
      <x:c r="O141" s="334" t="str">
        <x:v>Location</x:v>
      </x:c>
      <x:c r="P141" s="334" t="str">
        <x:v>Reason if unavailable</x:v>
      </x:c>
      <x:c r="Q141" s="334" t="str">
        <x:v>Reviewed source SHA256</x:v>
      </x:c>
      <x:c r="R141" s="319" t="str">
        <x:v>Unit and selection rule</x:v>
      </x:c>
    </x:row>
    <x:row r="142" ht="86" customHeight="1">
      <x:c r="A142" s="326" t="str">
        <x:v>Ratio input: Cash and cash equivalents</x:v>
      </x:c>
      <x:c r="B142" s="473" t="n">
        <x:v>435000000</x:v>
      </x:c>
      <x:c r="C142" s="337" t="str">
        <x:v>Cash and cash equivalents</x:v>
      </x:c>
      <x:c r="D142" s="477"/>
      <x:c r="E142" s="336" t="d">
        <x:v>2026-06-30T00:00:00.000Z</x:v>
      </x:c>
      <x:c r="F142" s="337" t="str">
        <x:v>10-Q</x:v>
      </x:c>
      <x:c r="G142" s="336" t="d">
        <x:v>2026-08-10T00:00:00.000Z</x:v>
      </x:c>
      <x:c r="H142" s="337" t="str">
        <x:v>0001692819-26-000019</x:v>
      </x:c>
      <x:c r="I142" s="337" t="str">
        <x:v>us-gaap:CashAndCashEquivalentsAtCarryingValue</x:v>
      </x:c>
      <x:c r="J142" s="369"/>
      <x:c r="K142" s="337" t="str">
        <x:v>None (consolidated total)</x:v>
      </x:c>
      <x:c r="L142" s="369"/>
      <x:c r="M142" s="369"/>
      <x:c r="N142" s="337" t="str">
        <x:v>https://www.sec.gov/Archives/edgar/data/1692819/000169281926000019/vistra-20260630.htm</x:v>
      </x:c>
      <x:c r="O142" s="337" t="str">
        <x:v>Checked balance sheet / cash-flow statement</x:v>
      </x:c>
      <x:c r="P142" s="337" t="str">
        <x:v>USD instant at the balance-sheet date, from the latest original 10-K or 10-Q itself</x:v>
      </x:c>
      <x:c r="Q142" s="369"/>
      <x:c r="R142" s="321" t="str">
        <x:v>USD</x:v>
      </x:c>
    </x:row>
    <x:row r="143" ht="86" customHeight="1">
      <x:c r="A143" s="326" t="str">
        <x:v>Ratio input: Long-term debt due currently</x:v>
      </x:c>
      <x:c r="B143" s="473" t="n">
        <x:v>1876000000</x:v>
      </x:c>
      <x:c r="C143" s="337" t="str">
        <x:v>Long-term debt due currently</x:v>
      </x:c>
      <x:c r="D143" s="477"/>
      <x:c r="E143" s="336" t="d">
        <x:v>2026-06-30T00:00:00.000Z</x:v>
      </x:c>
      <x:c r="F143" s="337" t="str">
        <x:v>10-Q</x:v>
      </x:c>
      <x:c r="G143" s="336" t="d">
        <x:v>2026-08-10T00:00:00.000Z</x:v>
      </x:c>
      <x:c r="H143" s="337" t="str">
        <x:v>0001692819-26-000019</x:v>
      </x:c>
      <x:c r="I143" s="337" t="str">
        <x:v>us-gaap:LongTermDebtAndCapitalLeaseObligationsCurrent</x:v>
      </x:c>
      <x:c r="J143" s="369"/>
      <x:c r="K143" s="337" t="str">
        <x:v>None (consolidated total)</x:v>
      </x:c>
      <x:c r="L143" s="369"/>
      <x:c r="M143" s="369"/>
      <x:c r="N143" s="337" t="str">
        <x:v>https://www.sec.gov/Archives/edgar/data/1692819/000169281926000019/vistra-20260630.htm</x:v>
      </x:c>
      <x:c r="O143" s="337" t="str">
        <x:v>Checked balance sheet / cash-flow statement</x:v>
      </x:c>
      <x:c r="P143" s="337" t="str">
        <x:v>USD instant at the balance-sheet date, from the latest original 10-K or 10-Q itself</x:v>
      </x:c>
      <x:c r="Q143" s="369"/>
      <x:c r="R143" s="321" t="str">
        <x:v>USD</x:v>
      </x:c>
    </x:row>
    <x:row r="144" ht="86" customHeight="1">
      <x:c r="A144" s="326" t="str">
        <x:v>Ratio input: Long-term debt, less amounts due currently</x:v>
      </x:c>
      <x:c r="B144" s="473" t="n">
        <x:v>17719000000</x:v>
      </x:c>
      <x:c r="C144" s="337" t="str">
        <x:v>Long-term debt, less amounts due currently</x:v>
      </x:c>
      <x:c r="D144" s="477"/>
      <x:c r="E144" s="336" t="d">
        <x:v>2026-06-30T00:00:00.000Z</x:v>
      </x:c>
      <x:c r="F144" s="337" t="str">
        <x:v>10-Q</x:v>
      </x:c>
      <x:c r="G144" s="336" t="d">
        <x:v>2026-08-10T00:00:00.000Z</x:v>
      </x:c>
      <x:c r="H144" s="337" t="str">
        <x:v>0001692819-26-000019</x:v>
      </x:c>
      <x:c r="I144" s="337" t="str">
        <x:v>us-gaap:LongTermDebtAndCapitalLeaseObligations</x:v>
      </x:c>
      <x:c r="J144" s="369"/>
      <x:c r="K144" s="337" t="str">
        <x:v>None (consolidated total)</x:v>
      </x:c>
      <x:c r="L144" s="369"/>
      <x:c r="M144" s="369"/>
      <x:c r="N144" s="337" t="str">
        <x:v>https://www.sec.gov/Archives/edgar/data/1692819/000169281926000019/vistra-20260630.htm</x:v>
      </x:c>
      <x:c r="O144" s="337" t="str">
        <x:v>Checked balance sheet / cash-flow statement</x:v>
      </x:c>
      <x:c r="P144" s="337" t="str">
        <x:v>USD instant at the balance-sheet date, from the latest original 10-K or 10-Q itself</x:v>
      </x:c>
      <x:c r="Q144" s="369"/>
      <x:c r="R144" s="321" t="str">
        <x:v>USD</x:v>
      </x:c>
    </x:row>
    <x:row r="145" ht="86" customHeight="1">
      <x:c r="A145" s="326" t="str">
        <x:v>Ratio input: Short-term borrowings</x:v>
      </x:c>
      <x:c r="B145" s="473" t="n">
        <x:v>0</x:v>
      </x:c>
      <x:c r="C145" s="337" t="str">
        <x:v>Short-term borrowings</x:v>
      </x:c>
      <x:c r="D145" s="477"/>
      <x:c r="E145" s="336" t="d">
        <x:v>2026-06-30T00:00:00.000Z</x:v>
      </x:c>
      <x:c r="F145" s="337" t="str">
        <x:v>10-Q</x:v>
      </x:c>
      <x:c r="G145" s="336" t="d">
        <x:v>2026-08-10T00:00:00.000Z</x:v>
      </x:c>
      <x:c r="H145" s="337" t="str">
        <x:v>0001692819-26-000019</x:v>
      </x:c>
      <x:c r="I145" s="337" t="str">
        <x:v>us-gaap:ShortTermBorrowings</x:v>
      </x:c>
      <x:c r="J145" s="369"/>
      <x:c r="K145" s="337" t="str">
        <x:v>None (consolidated total)</x:v>
      </x:c>
      <x:c r="L145" s="369"/>
      <x:c r="M145" s="369"/>
      <x:c r="N145" s="337" t="str">
        <x:v>https://www.sec.gov/Archives/edgar/data/1692819/000169281926000019/vistra-20260630.htm</x:v>
      </x:c>
      <x:c r="O145" s="337" t="str">
        <x:v>Checked balance sheet / cash-flow statement</x:v>
      </x:c>
      <x:c r="P145" s="337" t="str">
        <x:v>USD instant at the balance-sheet date, from the latest original 10-K or 10-Q itself</x:v>
      </x:c>
      <x:c r="Q145" s="369"/>
      <x:c r="R145" s="321" t="str">
        <x:v>USD</x:v>
      </x:c>
    </x:row>
    <x:row r="146" ht="86" customHeight="1">
      <x:c r="A146" s="326" t="str">
        <x:v>Ratio input: Accounts receivable financing</x:v>
      </x:c>
      <x:c r="B146" s="473" t="n">
        <x:v>300000000</x:v>
      </x:c>
      <x:c r="C146" s="337" t="str">
        <x:v>Accounts receivable financing</x:v>
      </x:c>
      <x:c r="D146" s="477"/>
      <x:c r="E146" s="336" t="d">
        <x:v>2026-06-30T00:00:00.000Z</x:v>
      </x:c>
      <x:c r="F146" s="337" t="str">
        <x:v>10-Q</x:v>
      </x:c>
      <x:c r="G146" s="336" t="d">
        <x:v>2026-08-10T00:00:00.000Z</x:v>
      </x:c>
      <x:c r="H146" s="337" t="str">
        <x:v>0001692819-26-000019</x:v>
      </x:c>
      <x:c r="I146" s="337" t="str">
        <x:v>vistra:AccountsReceivableSecuritizationProgramAmountsBorrowed</x:v>
      </x:c>
      <x:c r="J146" s="337" t="str">
        <x:v>c-8</x:v>
      </x:c>
      <x:c r="K146" s="337" t="str">
        <x:v>None (consolidated total)</x:v>
      </x:c>
      <x:c r="L146" s="474" t="n">
        <x:v>6</x:v>
      </x:c>
      <x:c r="M146" s="337" t="str">
        <x:v>-6</x:v>
      </x:c>
      <x:c r="N146" s="337" t="str">
        <x:v>https://www.sec.gov/Archives/edgar/data/1692819/000169281926000019/vistra-20260630.htm</x:v>
      </x:c>
      <x:c r="O146" s="337" t="str">
        <x:v>Checked balance sheet / cash-flow statement</x:v>
      </x:c>
      <x:c r="P146" s="337" t="str">
        <x:v>USD instant at the balance-sheet date in the checked filing document, no dimensions</x:v>
      </x:c>
      <x:c r="Q146" s="369"/>
      <x:c r="R146" s="321" t="str">
        <x:v>USD</x:v>
      </x:c>
    </x:row>
    <x:row r="147" ht="86" customHeight="1">
      <x:c r="A147" s="326" t="str">
        <x:v>Ratio input: Current liabilities</x:v>
      </x:c>
      <x:c r="B147" s="473" t="n">
        <x:v>10557000000</x:v>
      </x:c>
      <x:c r="C147" s="337" t="str">
        <x:v>Current liabilities</x:v>
      </x:c>
      <x:c r="D147" s="477"/>
      <x:c r="E147" s="336" t="d">
        <x:v>2026-06-30T00:00:00.000Z</x:v>
      </x:c>
      <x:c r="F147" s="337" t="str">
        <x:v>10-Q</x:v>
      </x:c>
      <x:c r="G147" s="336" t="d">
        <x:v>2026-08-10T00:00:00.000Z</x:v>
      </x:c>
      <x:c r="H147" s="337" t="str">
        <x:v>0001692819-26-000019</x:v>
      </x:c>
      <x:c r="I147" s="337" t="str">
        <x:v>us-gaap:LiabilitiesCurrent</x:v>
      </x:c>
      <x:c r="J147" s="369"/>
      <x:c r="K147" s="337" t="str">
        <x:v>None (consolidated total)</x:v>
      </x:c>
      <x:c r="L147" s="369"/>
      <x:c r="M147" s="369"/>
      <x:c r="N147" s="337" t="str">
        <x:v>https://www.sec.gov/Archives/edgar/data/1692819/000169281926000019/vistra-20260630.htm</x:v>
      </x:c>
      <x:c r="O147" s="337" t="str">
        <x:v>Checked balance sheet / cash-flow statement</x:v>
      </x:c>
      <x:c r="P147" s="337" t="str">
        <x:v>USD instant at the balance-sheet date, from the latest original 10-K or 10-Q itself</x:v>
      </x:c>
      <x:c r="Q147" s="369"/>
      <x:c r="R147" s="321" t="str">
        <x:v>USD</x:v>
      </x:c>
    </x:row>
    <x:row r="148" ht="86" customHeight="1">
      <x:c r="A148" s="326" t="str">
        <x:v>Ratio input: Current assets</x:v>
      </x:c>
      <x:c r="B148" s="473" t="n">
        <x:v>10276000000</x:v>
      </x:c>
      <x:c r="C148" s="337" t="str">
        <x:v>Current assets</x:v>
      </x:c>
      <x:c r="D148" s="477"/>
      <x:c r="E148" s="336" t="d">
        <x:v>2026-06-30T00:00:00.000Z</x:v>
      </x:c>
      <x:c r="F148" s="337" t="str">
        <x:v>10-Q</x:v>
      </x:c>
      <x:c r="G148" s="336" t="d">
        <x:v>2026-08-10T00:00:00.000Z</x:v>
      </x:c>
      <x:c r="H148" s="337" t="str">
        <x:v>0001692819-26-000019</x:v>
      </x:c>
      <x:c r="I148" s="337" t="str">
        <x:v>us-gaap:AssetsCurrent</x:v>
      </x:c>
      <x:c r="J148" s="369"/>
      <x:c r="K148" s="337" t="str">
        <x:v>None (consolidated total)</x:v>
      </x:c>
      <x:c r="L148" s="369"/>
      <x:c r="M148" s="369"/>
      <x:c r="N148" s="337" t="str">
        <x:v>https://www.sec.gov/Archives/edgar/data/1692819/000169281926000019/vistra-20260630.htm</x:v>
      </x:c>
      <x:c r="O148" s="337" t="str">
        <x:v>Checked balance sheet / cash-flow statement</x:v>
      </x:c>
      <x:c r="P148" s="337" t="str">
        <x:v>USD instant at the balance-sheet date, from the latest original 10-K or 10-Q itself</x:v>
      </x:c>
      <x:c r="Q148" s="369"/>
      <x:c r="R148" s="321" t="str">
        <x:v>USD</x:v>
      </x:c>
    </x:row>
    <x:row r="149" ht="86" customHeight="1">
      <x:c r="A149" s="326" t="str">
        <x:v>Ratio input: Operating cash flow · fiscal year</x:v>
      </x:c>
      <x:c r="B149" s="473" t="n">
        <x:v>4070000000</x:v>
      </x:c>
      <x:c r="C149" s="337" t="str">
        <x:v>Operating cash flow · fiscal year</x:v>
      </x:c>
      <x:c r="D149" s="336" t="d">
        <x:v>2025-01-01T00:00:00.000Z</x:v>
      </x:c>
      <x:c r="E149" s="336" t="d">
        <x:v>2025-12-31T00:00:00.000Z</x:v>
      </x:c>
      <x:c r="F149" s="337" t="str">
        <x:v>10-K</x:v>
      </x:c>
      <x:c r="G149" s="336" t="d">
        <x:v>2026-02-27T00:00:00.000Z</x:v>
      </x:c>
      <x:c r="H149" s="337" t="str">
        <x:v>0001692819-26-000006</x:v>
      </x:c>
      <x:c r="I149" s="337" t="str">
        <x:v>us-gaap:NetCashProvidedByUsedInOperatingActivities</x:v>
      </x:c>
      <x:c r="J149" s="337" t="str">
        <x:v>c-1</x:v>
      </x:c>
      <x:c r="K149" s="337" t="str">
        <x:v>None (consolidated total)</x:v>
      </x:c>
      <x:c r="L149" s="474" t="n">
        <x:v>6</x:v>
      </x:c>
      <x:c r="M149" s="337" t="str">
        <x:v>-6</x:v>
      </x:c>
      <x:c r="N149" s="337" t="str">
        <x:v>https://www.sec.gov/Archives/edgar/data/1692819/000169281926000006/vistra-20251231.htm</x:v>
      </x:c>
      <x:c r="O149" s="337" t="str">
        <x:v>Checked balance sheet / cash-flow statement</x:v>
      </x:c>
      <x:c r="P149" s="337" t="str">
        <x:v>Exact tag, USD duration, exact start and end dates, no dimensions</x:v>
      </x:c>
      <x:c r="Q149" s="369"/>
      <x:c r="R149" s="321" t="str">
        <x:v>USD</x:v>
      </x:c>
    </x:row>
    <x:row r="150" ht="86" customHeight="1">
      <x:c r="A150" s="326" t="str">
        <x:v>Ratio input: Operating cash flow · current year to date</x:v>
      </x:c>
      <x:c r="B150" s="473" t="n">
        <x:v>2222000000</x:v>
      </x:c>
      <x:c r="C150" s="337" t="str">
        <x:v>Operating cash flow · current year to date</x:v>
      </x:c>
      <x:c r="D150" s="336" t="d">
        <x:v>2026-01-01T00:00:00.000Z</x:v>
      </x:c>
      <x:c r="E150" s="336" t="d">
        <x:v>2026-06-30T00:00:00.000Z</x:v>
      </x:c>
      <x:c r="F150" s="337" t="str">
        <x:v>10-Q</x:v>
      </x:c>
      <x:c r="G150" s="336" t="d">
        <x:v>2026-08-10T00:00:00.000Z</x:v>
      </x:c>
      <x:c r="H150" s="337" t="str">
        <x:v>0001692819-26-000019</x:v>
      </x:c>
      <x:c r="I150" s="337" t="str">
        <x:v>us-gaap:NetCashProvidedByUsedInOperatingActivities</x:v>
      </x:c>
      <x:c r="J150" s="337" t="str">
        <x:v>c-1</x:v>
      </x:c>
      <x:c r="K150" s="337" t="str">
        <x:v>None (consolidated total)</x:v>
      </x:c>
      <x:c r="L150" s="474" t="n">
        <x:v>6</x:v>
      </x:c>
      <x:c r="M150" s="337" t="str">
        <x:v>-6</x:v>
      </x:c>
      <x:c r="N150" s="337" t="str">
        <x:v>https://www.sec.gov/Archives/edgar/data/1692819/000169281926000019/vistra-20260630.htm</x:v>
      </x:c>
      <x:c r="O150" s="337" t="str">
        <x:v>Checked balance sheet / cash-flow statement</x:v>
      </x:c>
      <x:c r="P150" s="337" t="str">
        <x:v>Exact tag, USD duration, exact start and end dates, no dimensions</x:v>
      </x:c>
      <x:c r="Q150" s="369"/>
      <x:c r="R150" s="321" t="str">
        <x:v>USD</x:v>
      </x:c>
    </x:row>
    <x:row r="151" ht="86" customHeight="1">
      <x:c r="A151" s="326" t="str">
        <x:v>Ratio input: Operating cash flow · prior year to date</x:v>
      </x:c>
      <x:c r="B151" s="473" t="n">
        <x:v>1171000000</x:v>
      </x:c>
      <x:c r="C151" s="337" t="str">
        <x:v>Operating cash flow · prior year to date</x:v>
      </x:c>
      <x:c r="D151" s="336" t="d">
        <x:v>2025-01-01T00:00:00.000Z</x:v>
      </x:c>
      <x:c r="E151" s="336" t="d">
        <x:v>2025-06-30T00:00:00.000Z</x:v>
      </x:c>
      <x:c r="F151" s="337" t="str">
        <x:v>10-Q</x:v>
      </x:c>
      <x:c r="G151" s="336" t="d">
        <x:v>2026-08-10T00:00:00.000Z</x:v>
      </x:c>
      <x:c r="H151" s="337" t="str">
        <x:v>0001692819-26-000019</x:v>
      </x:c>
      <x:c r="I151" s="337" t="str">
        <x:v>us-gaap:NetCashProvidedByUsedInOperatingActivities</x:v>
      </x:c>
      <x:c r="J151" s="337" t="str">
        <x:v>c-7</x:v>
      </x:c>
      <x:c r="K151" s="337" t="str">
        <x:v>None (consolidated total)</x:v>
      </x:c>
      <x:c r="L151" s="474" t="n">
        <x:v>6</x:v>
      </x:c>
      <x:c r="M151" s="337" t="str">
        <x:v>-6</x:v>
      </x:c>
      <x:c r="N151" s="337" t="str">
        <x:v>https://www.sec.gov/Archives/edgar/data/1692819/000169281926000019/vistra-20260630.htm</x:v>
      </x:c>
      <x:c r="O151" s="337" t="str">
        <x:v>Checked balance sheet / cash-flow statement</x:v>
      </x:c>
      <x:c r="P151" s="337" t="str">
        <x:v>Exact tag, USD duration, exact start and end dates, no dimensions</x:v>
      </x:c>
      <x:c r="Q151" s="369"/>
      <x:c r="R151" s="321" t="str">
        <x:v>USD</x:v>
      </x:c>
    </x:row>
    <x:row r="152" ht="86" customHeight="1">
      <x:c r="A152" s="326" t="str">
        <x:v>Ratio input: Capital expenditures, including nuclear fuel and LTSA prepayments · fiscal year</x:v>
      </x:c>
      <x:c r="B152" s="473" t="n">
        <x:v>2752000000</x:v>
      </x:c>
      <x:c r="C152" s="337" t="str">
        <x:v>Capital expenditures, including nuclear fuel and LTSA prepayments · fiscal year</x:v>
      </x:c>
      <x:c r="D152" s="336" t="d">
        <x:v>2025-01-01T00:00:00.000Z</x:v>
      </x:c>
      <x:c r="E152" s="336" t="d">
        <x:v>2025-12-31T00:00:00.000Z</x:v>
      </x:c>
      <x:c r="F152" s="337" t="str">
        <x:v>10-K</x:v>
      </x:c>
      <x:c r="G152" s="336" t="d">
        <x:v>2026-02-27T00:00:00.000Z</x:v>
      </x:c>
      <x:c r="H152" s="337" t="str">
        <x:v>0001692819-26-000006</x:v>
      </x:c>
      <x:c r="I152" s="337" t="str">
        <x:v>us-gaap:PaymentsToAcquirePropertyPlantAndEquipment</x:v>
      </x:c>
      <x:c r="J152" s="337" t="str">
        <x:v>c-1</x:v>
      </x:c>
      <x:c r="K152" s="337" t="str">
        <x:v>None (consolidated total)</x:v>
      </x:c>
      <x:c r="L152" s="474" t="n">
        <x:v>6</x:v>
      </x:c>
      <x:c r="M152" s="337" t="str">
        <x:v>-6</x:v>
      </x:c>
      <x:c r="N152" s="337" t="str">
        <x:v>https://www.sec.gov/Archives/edgar/data/1692819/000169281926000006/vistra-20251231.htm</x:v>
      </x:c>
      <x:c r="O152" s="337" t="str">
        <x:v>Checked balance sheet / cash-flow statement</x:v>
      </x:c>
      <x:c r="P152" s="337" t="str">
        <x:v>Exact tag, USD duration, exact start and end dates, no dimensions</x:v>
      </x:c>
      <x:c r="Q152" s="369"/>
      <x:c r="R152" s="321" t="str">
        <x:v>USD</x:v>
      </x:c>
    </x:row>
    <x:row r="153" ht="86" customHeight="1">
      <x:c r="A153" s="326" t="str">
        <x:v>Ratio input: Capital expenditures, including nuclear fuel and LTSA prepayments · current year to date</x:v>
      </x:c>
      <x:c r="B153" s="473" t="n">
        <x:v>1572000000</x:v>
      </x:c>
      <x:c r="C153" s="337" t="str">
        <x:v>Capital expenditures, including nuclear fuel and LTSA prepayments · current year to date</x:v>
      </x:c>
      <x:c r="D153" s="336" t="d">
        <x:v>2026-01-01T00:00:00.000Z</x:v>
      </x:c>
      <x:c r="E153" s="336" t="d">
        <x:v>2026-06-30T00:00:00.000Z</x:v>
      </x:c>
      <x:c r="F153" s="337" t="str">
        <x:v>10-Q</x:v>
      </x:c>
      <x:c r="G153" s="336" t="d">
        <x:v>2026-08-10T00:00:00.000Z</x:v>
      </x:c>
      <x:c r="H153" s="337" t="str">
        <x:v>0001692819-26-000019</x:v>
      </x:c>
      <x:c r="I153" s="337" t="str">
        <x:v>us-gaap:PaymentsToAcquirePropertyPlantAndEquipment</x:v>
      </x:c>
      <x:c r="J153" s="337" t="str">
        <x:v>c-1</x:v>
      </x:c>
      <x:c r="K153" s="337" t="str">
        <x:v>None (consolidated total)</x:v>
      </x:c>
      <x:c r="L153" s="474" t="n">
        <x:v>6</x:v>
      </x:c>
      <x:c r="M153" s="337" t="str">
        <x:v>-6</x:v>
      </x:c>
      <x:c r="N153" s="337" t="str">
        <x:v>https://www.sec.gov/Archives/edgar/data/1692819/000169281926000019/vistra-20260630.htm</x:v>
      </x:c>
      <x:c r="O153" s="337" t="str">
        <x:v>Checked balance sheet / cash-flow statement</x:v>
      </x:c>
      <x:c r="P153" s="337" t="str">
        <x:v>Exact tag, USD duration, exact start and end dates, no dimensions</x:v>
      </x:c>
      <x:c r="Q153" s="369"/>
      <x:c r="R153" s="321" t="str">
        <x:v>USD</x:v>
      </x:c>
    </x:row>
    <x:row r="154" ht="86" customHeight="1">
      <x:c r="A154" s="327" t="str">
        <x:v>Ratio input: Capital expenditures, including nuclear fuel and LTSA prepayments · prior year to date</x:v>
      </x:c>
      <x:c r="B154" s="478" t="n">
        <x:v>1458000000</x:v>
      </x:c>
      <x:c r="C154" s="470" t="str">
        <x:v>Capital expenditures, including nuclear fuel and LTSA prepayments · prior year to date</x:v>
      </x:c>
      <x:c r="D154" s="366" t="d">
        <x:v>2025-01-01T00:00:00.000Z</x:v>
      </x:c>
      <x:c r="E154" s="366" t="d">
        <x:v>2025-06-30T00:00:00.000Z</x:v>
      </x:c>
      <x:c r="F154" s="470" t="str">
        <x:v>10-Q</x:v>
      </x:c>
      <x:c r="G154" s="366" t="d">
        <x:v>2026-08-10T00:00:00.000Z</x:v>
      </x:c>
      <x:c r="H154" s="470" t="str">
        <x:v>0001692819-26-000019</x:v>
      </x:c>
      <x:c r="I154" s="470" t="str">
        <x:v>us-gaap:PaymentsToAcquirePropertyPlantAndEquipment</x:v>
      </x:c>
      <x:c r="J154" s="470" t="str">
        <x:v>c-7</x:v>
      </x:c>
      <x:c r="K154" s="470" t="str">
        <x:v>None (consolidated total)</x:v>
      </x:c>
      <x:c r="L154" s="479" t="n">
        <x:v>6</x:v>
      </x:c>
      <x:c r="M154" s="470" t="str">
        <x:v>-6</x:v>
      </x:c>
      <x:c r="N154" s="470" t="str">
        <x:v>https://www.sec.gov/Archives/edgar/data/1692819/000169281926000019/vistra-20260630.htm</x:v>
      </x:c>
      <x:c r="O154" s="470" t="str">
        <x:v>Checked balance sheet / cash-flow statement</x:v>
      </x:c>
      <x:c r="P154" s="470" t="str">
        <x:v>Exact tag, USD duration, exact start and end dates, no dimensions</x:v>
      </x:c>
      <x:c r="Q154" s="370"/>
      <x:c r="R154" s="323" t="str">
        <x:v>USD</x:v>
      </x:c>
    </x:row>
    <x:row r="157" ht="70" customHeight="1">
      <x:c r="A157" s="318" t="str">
        <x:v>Input</x:v>
      </x:c>
      <x:c r="B157" s="334" t="str">
        <x:v>USD, displayed millions</x:v>
      </x:c>
      <x:c r="C157" s="334" t="str">
        <x:v>Description</x:v>
      </x:c>
      <x:c r="D157" s="334" t="str">
        <x:v>Period from</x:v>
      </x:c>
      <x:c r="E157" s="334" t="str">
        <x:v>Period through</x:v>
      </x:c>
      <x:c r="F157" s="334" t="str">
        <x:v>Form</x:v>
      </x:c>
      <x:c r="G157" s="334" t="str">
        <x:v>Filed</x:v>
      </x:c>
      <x:c r="H157" s="334" t="str">
        <x:v>Accession</x:v>
      </x:c>
      <x:c r="I157" s="334" t="str">
        <x:v>Tag</x:v>
      </x:c>
      <x:c r="J157" s="334" t="str">
        <x:v>Context</x:v>
      </x:c>
      <x:c r="K157" s="334" t="str">
        <x:v>Dimensions</x:v>
      </x:c>
      <x:c r="L157" s="334" t="str">
        <x:v>Scale</x:v>
      </x:c>
      <x:c r="M157" s="334" t="str">
        <x:v>Decimals</x:v>
      </x:c>
      <x:c r="N157" s="334" t="str">
        <x:v>Source</x:v>
      </x:c>
      <x:c r="O157" s="334" t="str">
        <x:v>Location</x:v>
      </x:c>
      <x:c r="P157" s="334" t="str">
        <x:v>Reason if unavailable</x:v>
      </x:c>
      <x:c r="Q157" s="334" t="str">
        <x:v>Reviewed source SHA256</x:v>
      </x:c>
      <x:c r="R157" s="319" t="str">
        <x:v>Unit and selection rule</x:v>
      </x:c>
    </x:row>
    <x:row r="158" ht="70" customHeight="1">
      <x:c r="A158" s="326" t="str">
        <x:v>Cash and cash equivalents</x:v>
      </x:c>
      <x:c r="B158" s="473" t="n">
        <x:v>785000000</x:v>
      </x:c>
      <x:c r="C158" s="337" t="str">
        <x:v>Cash and cash equivalents</x:v>
      </x:c>
      <x:c r="D158" s="477"/>
      <x:c r="E158" s="336" t="d">
        <x:v>2025-12-31T00:00:00.000Z</x:v>
      </x:c>
      <x:c r="F158" s="337" t="str">
        <x:v>10-K</x:v>
      </x:c>
      <x:c r="G158" s="336" t="d">
        <x:v>2026-02-27T00:00:00.000Z</x:v>
      </x:c>
      <x:c r="H158" s="337" t="str">
        <x:v>0001692819-26-000006</x:v>
      </x:c>
      <x:c r="I158" s="337" t="str">
        <x:v>us-gaap:CashAndCashEquivalentsAtCarryingValue</x:v>
      </x:c>
      <x:c r="J158" s="337" t="str">
        <x:v>c-7</x:v>
      </x:c>
      <x:c r="K158" s="337" t="str">
        <x:v>None (consolidated total)</x:v>
      </x:c>
      <x:c r="L158" s="474" t="n">
        <x:v>6</x:v>
      </x:c>
      <x:c r="M158" s="337" t="str">
        <x:v>-6</x:v>
      </x:c>
      <x:c r="N158" s="337" t="str">
        <x:v>https://www.sec.gov/Archives/edgar/data/1692819/000169281926000006/vistra-20251231.htm</x:v>
      </x:c>
      <x:c r="O158" s="337" t="str">
        <x:v>10-K balance sheet p. 80; cash/restricted cash reconciliation</x:v>
      </x:c>
      <x:c r="P158" s="337" t="str">
        <x:v>USD instant at the balance-sheet date, from the latest original 10-K or 10-Q itself</x:v>
      </x:c>
      <x:c r="Q158" s="337" t="str">
        <x:v>42e6a0ba0c833ede7d9d452b9f1ea68fbc4cb52035129ab5d5e02916e02822d4</x:v>
      </x:c>
      <x:c r="R158" s="321" t="str">
        <x:v>USD</x:v>
      </x:c>
    </x:row>
    <x:row r="159" ht="70" customHeight="1">
      <x:c r="A159" s="326" t="str">
        <x:v>Current assets</x:v>
      </x:c>
      <x:c r="B159" s="473" t="n">
        <x:v>9179000000</x:v>
      </x:c>
      <x:c r="C159" s="337" t="str">
        <x:v>Current assets</x:v>
      </x:c>
      <x:c r="D159" s="477"/>
      <x:c r="E159" s="336" t="d">
        <x:v>2025-12-31T00:00:00.000Z</x:v>
      </x:c>
      <x:c r="F159" s="337" t="str">
        <x:v>10-K</x:v>
      </x:c>
      <x:c r="G159" s="336" t="d">
        <x:v>2026-02-27T00:00:00.000Z</x:v>
      </x:c>
      <x:c r="H159" s="337" t="str">
        <x:v>0001692819-26-000006</x:v>
      </x:c>
      <x:c r="I159" s="337" t="str">
        <x:v>us-gaap:AssetsCurrent</x:v>
      </x:c>
      <x:c r="J159" s="337" t="str">
        <x:v>c-7</x:v>
      </x:c>
      <x:c r="K159" s="337" t="str">
        <x:v>None (consolidated total)</x:v>
      </x:c>
      <x:c r="L159" s="474" t="n">
        <x:v>6</x:v>
      </x:c>
      <x:c r="M159" s="337" t="str">
        <x:v>-6</x:v>
      </x:c>
      <x:c r="N159" s="337" t="str">
        <x:v>https://www.sec.gov/Archives/edgar/data/1692819/000169281926000006/vistra-20251231.htm</x:v>
      </x:c>
      <x:c r="O159" s="337" t="str">
        <x:v>10-K balance sheet p. 80; cash/restricted cash reconciliation</x:v>
      </x:c>
      <x:c r="P159" s="337" t="str">
        <x:v>USD instant at the balance-sheet date, from the latest original 10-K or 10-Q itself</x:v>
      </x:c>
      <x:c r="Q159" s="337" t="str">
        <x:v>42e6a0ba0c833ede7d9d452b9f1ea68fbc4cb52035129ab5d5e02916e02822d4</x:v>
      </x:c>
      <x:c r="R159" s="321" t="str">
        <x:v>USD</x:v>
      </x:c>
    </x:row>
    <x:row r="160" ht="70" customHeight="1">
      <x:c r="A160" s="326" t="str">
        <x:v>Current liabilities</x:v>
      </x:c>
      <x:c r="B160" s="473" t="n">
        <x:v>11814000000</x:v>
      </x:c>
      <x:c r="C160" s="337" t="str">
        <x:v>Current liabilities</x:v>
      </x:c>
      <x:c r="D160" s="477"/>
      <x:c r="E160" s="336" t="d">
        <x:v>2025-12-31T00:00:00.000Z</x:v>
      </x:c>
      <x:c r="F160" s="337" t="str">
        <x:v>10-K</x:v>
      </x:c>
      <x:c r="G160" s="336" t="d">
        <x:v>2026-02-27T00:00:00.000Z</x:v>
      </x:c>
      <x:c r="H160" s="337" t="str">
        <x:v>0001692819-26-000006</x:v>
      </x:c>
      <x:c r="I160" s="337" t="str">
        <x:v>us-gaap:LiabilitiesCurrent</x:v>
      </x:c>
      <x:c r="J160" s="337" t="str">
        <x:v>c-7</x:v>
      </x:c>
      <x:c r="K160" s="337" t="str">
        <x:v>None (consolidated total)</x:v>
      </x:c>
      <x:c r="L160" s="474" t="n">
        <x:v>6</x:v>
      </x:c>
      <x:c r="M160" s="337" t="str">
        <x:v>-6</x:v>
      </x:c>
      <x:c r="N160" s="337" t="str">
        <x:v>https://www.sec.gov/Archives/edgar/data/1692819/000169281926000006/vistra-20251231.htm</x:v>
      </x:c>
      <x:c r="O160" s="337" t="str">
        <x:v>10-K balance sheet p. 80; cash/restricted cash reconciliation</x:v>
      </x:c>
      <x:c r="P160" s="337" t="str">
        <x:v>USD instant at the balance-sheet date, from the latest original 10-K or 10-Q itself</x:v>
      </x:c>
      <x:c r="Q160" s="337" t="str">
        <x:v>42e6a0ba0c833ede7d9d452b9f1ea68fbc4cb52035129ab5d5e02916e02822d4</x:v>
      </x:c>
      <x:c r="R160" s="321" t="str">
        <x:v>USD</x:v>
      </x:c>
    </x:row>
    <x:row r="161" ht="70" customHeight="1">
      <x:c r="A161" s="326" t="str">
        <x:v>Operating cash flow · fiscal year</x:v>
      </x:c>
      <x:c r="B161" s="473" t="n">
        <x:v>4070000000</x:v>
      </x:c>
      <x:c r="C161" s="337" t="str">
        <x:v>Operating cash flow · fiscal year</x:v>
      </x:c>
      <x:c r="D161" s="336" t="d">
        <x:v>2025-01-01T00:00:00.000Z</x:v>
      </x:c>
      <x:c r="E161" s="336" t="d">
        <x:v>2025-12-31T00:00:00.000Z</x:v>
      </x:c>
      <x:c r="F161" s="337" t="str">
        <x:v>10-K</x:v>
      </x:c>
      <x:c r="G161" s="336" t="d">
        <x:v>2026-02-27T00:00:00.000Z</x:v>
      </x:c>
      <x:c r="H161" s="337" t="str">
        <x:v>0001692819-26-000006</x:v>
      </x:c>
      <x:c r="I161" s="337" t="str">
        <x:v>us-gaap:NetCashProvidedByUsedInOperatingActivities</x:v>
      </x:c>
      <x:c r="J161" s="337" t="str">
        <x:v>c-1</x:v>
      </x:c>
      <x:c r="K161" s="337" t="str">
        <x:v>None (consolidated total)</x:v>
      </x:c>
      <x:c r="L161" s="474" t="n">
        <x:v>6</x:v>
      </x:c>
      <x:c r="M161" s="337" t="str">
        <x:v>-6</x:v>
      </x:c>
      <x:c r="N161" s="337" t="str">
        <x:v>https://www.sec.gov/Archives/edgar/data/1692819/000169281926000006/vistra-20251231.htm</x:v>
      </x:c>
      <x:c r="O161" s="337" t="str">
        <x:v>Annual cash-flow statement</x:v>
      </x:c>
      <x:c r="P161" s="337" t="str">
        <x:v>Exact tag, USD duration, exact start and end dates, no dimensions</x:v>
      </x:c>
      <x:c r="Q161" s="369" t="str"/>
      <x:c r="R161" s="321" t="str">
        <x:v>USD</x:v>
      </x:c>
    </x:row>
    <x:row r="162" ht="70" customHeight="1">
      <x:c r="A162" s="327" t="str">
        <x:v>Capital expenditures, including nuclear fuel and LTSA prepayments · fiscal year</x:v>
      </x:c>
      <x:c r="B162" s="478" t="n">
        <x:v>2752000000</x:v>
      </x:c>
      <x:c r="C162" s="470" t="str">
        <x:v>Capital expenditures, including nuclear fuel and LTSA prepayments · fiscal year</x:v>
      </x:c>
      <x:c r="D162" s="366" t="d">
        <x:v>2025-01-01T00:00:00.000Z</x:v>
      </x:c>
      <x:c r="E162" s="366" t="d">
        <x:v>2025-12-31T00:00:00.000Z</x:v>
      </x:c>
      <x:c r="F162" s="470" t="str">
        <x:v>10-K</x:v>
      </x:c>
      <x:c r="G162" s="366" t="d">
        <x:v>2026-02-27T00:00:00.000Z</x:v>
      </x:c>
      <x:c r="H162" s="470" t="str">
        <x:v>0001692819-26-000006</x:v>
      </x:c>
      <x:c r="I162" s="470" t="str">
        <x:v>us-gaap:PaymentsToAcquirePropertyPlantAndEquipment</x:v>
      </x:c>
      <x:c r="J162" s="470" t="str">
        <x:v>c-1</x:v>
      </x:c>
      <x:c r="K162" s="470" t="str">
        <x:v>None (consolidated total)</x:v>
      </x:c>
      <x:c r="L162" s="479" t="n">
        <x:v>6</x:v>
      </x:c>
      <x:c r="M162" s="470" t="str">
        <x:v>-6</x:v>
      </x:c>
      <x:c r="N162" s="470" t="str">
        <x:v>https://www.sec.gov/Archives/edgar/data/1692819/000169281926000006/vistra-20251231.htm</x:v>
      </x:c>
      <x:c r="O162" s="470" t="str">
        <x:v>Annual cash-flow statement</x:v>
      </x:c>
      <x:c r="P162" s="470" t="str">
        <x:v>Exact tag, USD duration, exact start and end dates, no dimensions</x:v>
      </x:c>
      <x:c r="Q162" s="370" t="str"/>
      <x:c r="R162" s="323" t="str">
        <x:v>USD</x:v>
      </x:c>
    </x:row>
  </x:sheetData>
  <x:hyperlinks>
    <x:hyperlink ref="N2" ns1:id="rIdSource1"/>
    <x:hyperlink ref="N3" ns1:id="rIdSource2"/>
    <x:hyperlink ref="N4" ns1:id="rIdSource3"/>
    <x:hyperlink ref="N5" ns1:id="rIdSource4"/>
    <x:hyperlink ref="N6" ns1:id="rIdSource5"/>
    <x:hyperlink ref="N7" ns1:id="rIdSource6"/>
    <x:hyperlink ref="N8" ns1:id="rIdSource7"/>
    <x:hyperlink ref="N9" ns1:id="rIdSource8"/>
    <x:hyperlink ref="N10" ns1:id="rIdSource9"/>
    <x:hyperlink ref="N11" ns1:id="rIdSource10"/>
    <x:hyperlink ref="N12" ns1:id="rIdSource11"/>
    <x:hyperlink ref="N13" ns1:id="rIdSource12"/>
    <x:hyperlink ref="N14" ns1:id="rIdSource13"/>
    <x:hyperlink ref="N15" ns1:id="rIdSource14"/>
    <x:hyperlink ref="N16" ns1:id="rIdSource15"/>
    <x:hyperlink ref="N17" ns1:id="rIdSource16"/>
    <x:hyperlink ref="N18" ns1:id="rIdSource17"/>
    <x:hyperlink ref="N19" ns1:id="rIdSource18"/>
    <x:hyperlink ref="N20" ns1:id="rIdSource19"/>
    <x:hyperlink ref="N21" ns1:id="rIdSource20"/>
    <x:hyperlink ref="N22" ns1:id="rIdSource21"/>
    <x:hyperlink ref="N23" ns1:id="rIdSource22"/>
    <x:hyperlink ref="N24" ns1:id="rIdSource23"/>
    <x:hyperlink ref="N25" ns1:id="rIdSource24"/>
    <x:hyperlink ref="N26" ns1:id="rIdSource25"/>
    <x:hyperlink ref="N27" ns1:id="rIdSource26"/>
    <x:hyperlink ref="N28" ns1:id="rIdSource27"/>
    <x:hyperlink ref="N29" ns1:id="rIdSource28"/>
    <x:hyperlink ref="N30" ns1:id="rIdSource29"/>
    <x:hyperlink ref="N31" ns1:id="rIdSource30"/>
    <x:hyperlink ref="N32" ns1:id="rIdSource31"/>
    <x:hyperlink ref="N33" ns1:id="rIdSource32"/>
    <x:hyperlink ref="N34" ns1:id="rIdSource33"/>
    <x:hyperlink ref="N35" ns1:id="rIdSource34"/>
    <x:hyperlink ref="N36" ns1:id="rIdSource35"/>
    <x:hyperlink ref="N37" ns1:id="rIdSource36"/>
    <x:hyperlink ref="N38" ns1:id="rIdSource37"/>
    <x:hyperlink ref="N39" ns1:id="rIdSource38"/>
    <x:hyperlink ref="N40" ns1:id="rIdSource39"/>
    <x:hyperlink ref="N41" ns1:id="rIdSource40"/>
    <x:hyperlink ref="N42" ns1:id="rIdSource41"/>
    <x:hyperlink ref="N43" ns1:id="rIdSource42"/>
    <x:hyperlink ref="N44" ns1:id="rIdSource43"/>
    <x:hyperlink ref="N45" ns1:id="rIdSource44"/>
    <x:hyperlink ref="N46" ns1:id="rIdSource45"/>
    <x:hyperlink ref="N47" ns1:id="rIdSource46"/>
    <x:hyperlink ref="N48" ns1:id="rIdSource47"/>
    <x:hyperlink ref="N49" ns1:id="rIdSource48"/>
    <x:hyperlink ref="N50" ns1:id="rIdSource49"/>
    <x:hyperlink ref="N51" ns1:id="rIdSource50"/>
    <x:hyperlink ref="N52" ns1:id="rIdSource51"/>
    <x:hyperlink ref="N53" ns1:id="rIdSource52"/>
    <x:hyperlink ref="N54" ns1:id="rIdSource53"/>
    <x:hyperlink ref="N55" ns1:id="rIdSource54"/>
    <x:hyperlink ref="N56" ns1:id="rIdSource55"/>
    <x:hyperlink ref="N57" ns1:id="rIdSource56"/>
    <x:hyperlink ref="N58" ns1:id="rIdSource57"/>
    <x:hyperlink ref="N59" ns1:id="rIdSource58"/>
    <x:hyperlink ref="N60" ns1:id="rIdSource59"/>
    <x:hyperlink ref="N61" ns1:id="rIdSource60"/>
    <x:hyperlink ref="N62" ns1:id="rIdSource61"/>
    <x:hyperlink ref="N63" ns1:id="rIdSource62"/>
    <x:hyperlink ref="N64" ns1:id="rIdSource63"/>
    <x:hyperlink ref="N65" ns1:id="rIdSource64"/>
    <x:hyperlink ref="N66" ns1:id="rIdSource65"/>
    <x:hyperlink ref="N67" ns1:id="rIdSource66"/>
    <x:hyperlink ref="N68" ns1:id="rIdSource67"/>
    <x:hyperlink ref="N69" ns1:id="rIdSource68"/>
    <x:hyperlink ref="N70" ns1:id="rIdSource69"/>
    <x:hyperlink ref="N71" ns1:id="rIdSource70"/>
    <x:hyperlink ref="N72" ns1:id="rIdSource71"/>
    <x:hyperlink ref="N73" ns1:id="rIdSource72"/>
    <x:hyperlink ref="N74" ns1:id="rIdSource73"/>
    <x:hyperlink ref="N75" ns1:id="rIdSource74"/>
    <x:hyperlink ref="N76" ns1:id="rIdSource75"/>
    <x:hyperlink ref="N77" ns1:id="rIdSource76"/>
    <x:hyperlink ref="N78" ns1:id="rIdSource77"/>
    <x:hyperlink ref="N79" ns1:id="rIdSource78"/>
    <x:hyperlink ref="N80" ns1:id="rIdSource79"/>
    <x:hyperlink ref="N81" ns1:id="rIdSource80"/>
    <x:hyperlink ref="N82" ns1:id="rIdSource81"/>
    <x:hyperlink ref="N83" ns1:id="rIdSource82"/>
    <x:hyperlink ref="N84" ns1:id="rIdSource83"/>
    <x:hyperlink ref="N85" ns1:id="rIdSource84"/>
    <x:hyperlink ref="N86" ns1:id="rIdSource85"/>
    <x:hyperlink ref="N87" ns1:id="rIdSource86"/>
    <x:hyperlink ref="N88" ns1:id="rIdSource87"/>
    <x:hyperlink ref="N89" ns1:id="rIdSource88"/>
    <x:hyperlink ref="N90" ns1:id="rIdSource89"/>
    <x:hyperlink ref="N91" ns1:id="rIdSource90"/>
    <x:hyperlink ref="N92" ns1:id="rIdSource91"/>
    <x:hyperlink ref="N93" ns1:id="rIdSource92"/>
    <x:hyperlink ref="N94" ns1:id="rIdSource93"/>
    <x:hyperlink ref="N95" ns1:id="rIdSource94"/>
    <x:hyperlink ref="N96" ns1:id="rIdSource95"/>
    <x:hyperlink ref="N97" ns1:id="rIdSource96"/>
    <x:hyperlink ref="N98" ns1:id="rIdSource97"/>
    <x:hyperlink ref="N99" ns1:id="rIdSource98"/>
    <x:hyperlink ref="N100" ns1:id="rIdSource99"/>
    <x:hyperlink ref="N101" ns1:id="rIdSource100"/>
    <x:hyperlink ref="N102" ns1:id="rIdSource101"/>
    <x:hyperlink ref="N103" ns1:id="rIdSource102"/>
    <x:hyperlink ref="N104" ns1:id="rIdSource103"/>
    <x:hyperlink ref="N105" ns1:id="rIdSource104"/>
    <x:hyperlink ref="N106" ns1:id="rIdSource105"/>
    <x:hyperlink ref="N107" ns1:id="rIdSource106"/>
    <x:hyperlink ref="N108" ns1:id="rIdSource107"/>
    <x:hyperlink ref="N109" ns1:id="rIdSource108"/>
    <x:hyperlink ref="N113" ns1:id="rIdSource109"/>
    <x:hyperlink ref="N114" ns1:id="rIdSource110"/>
    <x:hyperlink ref="N115" ns1:id="rIdSource111"/>
    <x:hyperlink ref="N116" ns1:id="rIdSource112"/>
    <x:hyperlink ref="N117" ns1:id="rIdSource113"/>
    <x:hyperlink ref="N118" ns1:id="rIdSource114"/>
    <x:hyperlink ref="N119" ns1:id="rIdSource115"/>
    <x:hyperlink ref="N120" ns1:id="rIdSource116"/>
    <x:hyperlink ref="N121" ns1:id="rIdSource117"/>
    <x:hyperlink ref="N122" ns1:id="rIdSource118"/>
    <x:hyperlink ref="N123" ns1:id="rIdSource119"/>
    <x:hyperlink ref="N127" ns1:id="rIdSource120"/>
    <x:hyperlink ref="N128" ns1:id="rIdSource121"/>
    <x:hyperlink ref="N129" ns1:id="rIdSource122"/>
    <x:hyperlink ref="N130" ns1:id="rIdSource123"/>
    <x:hyperlink ref="N131" ns1:id="rIdSource124"/>
    <x:hyperlink ref="N132" ns1:id="rIdSource125"/>
    <x:hyperlink ref="N133" ns1:id="rIdSource126"/>
    <x:hyperlink ref="N134" ns1:id="rIdSource127"/>
    <x:hyperlink ref="N135" ns1:id="rIdSource128"/>
    <x:hyperlink ref="N136" ns1:id="rIdSource129"/>
    <x:hyperlink ref="N137" ns1:id="rIdSource130"/>
    <x:hyperlink ref="N138" ns1:id="rIdSource131"/>
    <x:hyperlink ref="N142" ns1:id="rIdSource132"/>
    <x:hyperlink ref="N143" ns1:id="rIdSource133"/>
    <x:hyperlink ref="N144" ns1:id="rIdSource134"/>
    <x:hyperlink ref="N145" ns1:id="rIdSource135"/>
    <x:hyperlink ref="N146" ns1:id="rIdSource136"/>
    <x:hyperlink ref="N147" ns1:id="rIdSource137"/>
    <x:hyperlink ref="N148" ns1:id="rIdSource138"/>
    <x:hyperlink ref="N149" ns1:id="rIdSource139"/>
    <x:hyperlink ref="N150" ns1:id="rIdSource140"/>
    <x:hyperlink ref="N151" ns1:id="rIdSource141"/>
    <x:hyperlink ref="N152" ns1:id="rIdSource142"/>
    <x:hyperlink ref="N153" ns1:id="rIdSource143"/>
    <x:hyperlink ref="N154" ns1:id="rIdSource144"/>
    <x:hyperlink ref="N158" ns1:id="rIdSource145"/>
    <x:hyperlink ref="N159" ns1:id="rIdSource146"/>
    <x:hyperlink ref="N160" ns1:id="rIdSource147"/>
    <x:hyperlink ref="N161" ns1:id="rIdSource148"/>
    <x:hyperlink ref="N162" ns1:id="rIdSource149"/>
  </x:hyperlinks>
  <x:pageMargins left="0.7" right="0.7" top="0.75" bottom="0.75" header="0.3" footer="0.3"/>
</x:worksheet>
</file>

<file path=xl/worksheets/sheet10.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403" t="str">
        <x:v>Topic</x:v>
      </x:c>
      <x:c r="B1" s="404" t="str">
        <x:v>Finding / limitation</x:v>
      </x:c>
      <x:c r="C1" s="404" t="str">
        <x:v>Source</x:v>
      </x:c>
      <x:c r="D1" s="457" t="str">
        <x:v>Location / filing date</x:v>
      </x:c>
    </x:row>
    <x:row r="2" ht="90" customHeight="1">
      <x:c r="A2" s="406" t="str">
        <x:v>Scope</x:v>
      </x:c>
      <x:c r="B2" s="448" t="str">
        <x:v>Liquidity review checked October 15, 2026; interest and funding interpretation checked October 16. Cash and facility balances remain June 30. Not live data or investment advice.</x:v>
      </x:c>
      <x:c r="C2" s="461"/>
      <x:c r="D2" s="462"/>
    </x:row>
    <x:row r="3" ht="90" customHeight="1">
      <x:c r="A3" s="406" t="str">
        <x:v>Workbook</x:v>
      </x:c>
      <x:c r="B3" s="448" t="str">
        <x:v>Cash review shows historical sources and uses. Payment dates separates June amounts from the old annual schedule. Financing capacity distinguishes resources and borrowers. Data retains facts and provenance.</x:v>
      </x:c>
      <x:c r="C3" s="461"/>
      <x:c r="D3" s="462"/>
    </x:row>
    <x:row r="4" ht="90" customHeight="1">
      <x:c r="A4" s="406" t="str">
        <x:v>Format</x:v>
      </x:c>
      <x:c r="B4" s="448" t="str">
        <x:v>Full USD stored, displayed in millions. Arial 10. Blue inputs, green links, black calculations. A dash is numeric zero; a blank available-capacity cell means Unavailable.</x:v>
      </x:c>
      <x:c r="C4" s="461"/>
      <x:c r="D4" s="462"/>
    </x:row>
    <x:row r="5" ht="90" customHeight="1">
      <x:c r="A5" s="406" t="str">
        <x:v>Numeric inputs</x:v>
      </x:c>
      <x:c r="B5" s="448" t="str">
        <x:v>Missing inputs produce a visible #N/A in dependent arithmetic, never zero. Original facts are a frozen evidence record, not forecast assumptions.</x:v>
      </x:c>
      <x:c r="C5" s="461"/>
      <x:c r="D5" s="462"/>
    </x:row>
    <x:row r="6" ht="90" customHeight="1">
      <x:c r="A6" s="406" t="str">
        <x:v>Corporate revolver draw conditions</x:v>
      </x:c>
      <x:c r="B6" s="448"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448" t="str">
        <x:v>https://www.sec.gov/Archives/edgar/data/1692819/000114036126026944/ef20077059_ex10-1.htm</x:v>
      </x:c>
      <x:c r="D6" s="449" t="str">
        <x:v>Ex.10.1, clean agreement Annex B §§7.1–7.2, 9.13, 10.9; Compliance Period definition; event 2026-06-24; filed 2026-06-30; 0001140361-26-026944</x:v>
      </x:c>
    </x:row>
    <x:row r="7" ht="90" customHeight="1">
      <x:c r="A7" s="406" t="str">
        <x:v>Commodity-linked borrowing conditions</x:v>
      </x:c>
      <x:c r="B7" s="448"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448" t="str">
        <x:v>https://www.sec.gov/Archives/edgar/data/1692819/000114036126038468/ef20083016_ex10-1.htm</x:v>
      </x:c>
      <x:c r="D7" s="449" t="str">
        <x:v>Ex.10.1, §1.1 definitions, §§2.1, 5.2, 7.1–7.2, 10.9; amendment commitment schedule; event 2026-09-30; filed 2026-10-05; 0001140361-26-038468</x:v>
      </x:c>
    </x:row>
    <x:row r="8" ht="90" customHeight="1">
      <x:c r="A8" s="406" t="str">
        <x:v>Receivables and repurchase renewals</x:v>
      </x:c>
      <x:c r="B8" s="448"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448" t="str">
        <x:v>https://www.sec.gov/Archives/edgar/data/1692819/000114036126028619/ef20077984_ex4-1.htm</x:v>
      </x:c>
      <x:c r="D8" s="449" t="str">
        <x:v>Ex.4.1 §§2.1–2.5 and Schedule VI; Ex.10.1 §2; 10-Q Note 12 p.27; event 2026-07-10; filed 2026-07-16; 0001140361-26-028619</x:v>
      </x:c>
    </x:row>
    <x:row r="9" ht="90" customHeight="1">
      <x:c r="A9" s="406" t="str">
        <x:v>Project repayment and recourse</x:v>
      </x:c>
      <x:c r="B9" s="448"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448" t="str">
        <x:v>https://www.sec.gov/Archives/edgar/data/1692819/000169281926000019/vistra-20260630.htm</x:v>
      </x:c>
      <x:c r="D9" s="449" t="str">
        <x:v>10-Q Note 12 pp.24–25; event 2026-06-30; filed 2026-08-10; 0001692819-26-000019</x:v>
      </x:c>
    </x:row>
    <x:row r="10" ht="90" customHeight="1">
      <x:c r="A10" s="406" t="str">
        <x:v>Parent distributions</x:v>
      </x:c>
      <x:c r="B10" s="448"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448" t="str">
        <x:v>https://www.sec.gov/Archives/edgar/data/1692819/000169281926000006/vistra-20251231.htm</x:v>
      </x:c>
      <x:c r="D10" s="449" t="str">
        <x:v>10-K Note 13 p.116; Schedule I pp.159–160; 10-Q Note 12 p.23; event 2025-12-31; filed 2026-02-27; 0001692819-26-000006</x:v>
      </x:c>
    </x:row>
    <x:row r="11" ht="90" customHeight="1">
      <x:c r="A11" s="406" t="str">
        <x:v>Facility capacity before balance sheet</x:v>
      </x:c>
      <x:c r="B11" s="448" t="str">
        <x:v>Corporate revolving credit commitments increased from $3.44 billion to $5.50 billion and certain guarantees and covenants changed. The event preceded the June 30 balance sheet; $5.50 billion is facility capacity, not an additional borrowing after that date.</x:v>
      </x:c>
      <x:c r="C11" s="448" t="str">
        <x:v>https://www.sec.gov/Archives/edgar/data/1692819/000114036126026944/ef20077059_8k.htm</x:v>
      </x:c>
      <x:c r="D11" s="449" t="str">
        <x:v>Event 2026-06-24; filed 2026-06-30; 8-K; 0001140361-26-026944</x:v>
      </x:c>
    </x:row>
    <x:row r="12" ht="90" customHeight="1">
      <x:c r="A12" s="406" t="str">
        <x:v>Facility capacity and term</x:v>
      </x:c>
      <x:c r="B12" s="448" t="str">
        <x:v>Receivables purchasers' aggregate commitment rose from $1.1 billion to $1.25 billion, and the agreement was extended to July 9, 2027. The separate repurchase facility was also extended to that date. The $1.25 billion is capacity, not a reported outstanding borrowing.</x:v>
      </x:c>
      <x:c r="C12" s="448" t="str">
        <x:v>https://www.sec.gov/Archives/edgar/data/1692819/000114036126028619/ef20077984_8k.htm</x:v>
      </x:c>
      <x:c r="D12" s="449" t="str">
        <x:v>Event 2026-07-10; filed 2026-07-16; 8-K; 0001140361-26-028619</x:v>
      </x:c>
    </x:row>
    <x:row r="13" ht="90" customHeight="1">
      <x:c r="A13" s="406" t="str">
        <x:v>Not a financing filing</x:v>
      </x:c>
      <x:c r="B13" s="448" t="str">
        <x:v>Reports PJM electricity capacity auction results for planning year 2028/2029; it does not report a new borrowing or financing facility.</x:v>
      </x:c>
      <x:c r="C13" s="448" t="str">
        <x:v>https://www.sec.gov/Archives/edgar/data/1692819/000114036126028454/ef20077988_8k.htm</x:v>
      </x:c>
      <x:c r="D13" s="449" t="str">
        <x:v>Event 2026-07-14; filed 2026-07-14; 8-K; 0001140361-26-028454</x:v>
      </x:c>
    </x:row>
    <x:row r="14" ht="90" customHeight="1">
      <x:c r="A14" s="406" t="str">
        <x:v>Earnings release, not later borrowing</x:v>
      </x:c>
      <x:c r="B14" s="448"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448" t="str">
        <x:v>https://www.sec.gov/Archives/edgar/data/1692819/000169281926000017/vistra-20260807.htm</x:v>
      </x:c>
      <x:c r="D14" s="449" t="str">
        <x:v>Event 2026-08-07; filed 2026-08-07; 8-K; 0001692819-26-000017</x:v>
      </x:c>
    </x:row>
    <x:row r="15" ht="90" customHeight="1">
      <x:c r="A15" s="406" t="str">
        <x:v>Shelf registration, not issuance</x:v>
      </x:c>
      <x:c r="B15" s="448" t="str">
        <x:v>Registers securities for possible offerings. The later pricing sheet, final prospectus and September 24 8-K identify the completed junior-note issuance; this registration is not a separate borrowing.</x:v>
      </x:c>
      <x:c r="C15" s="448" t="str">
        <x:v>https://www.sec.gov/Archives/edgar/data/1692819/000114036126035954/ny20081693x1_s3asr.htm</x:v>
      </x:c>
      <x:c r="D15" s="449" t="str">
        <x:v>Event not stated; filed 2026-09-09; S-3ASR; 0001140361-26-035954</x:v>
      </x:c>
    </x:row>
    <x:row r="16" ht="90" customHeight="1">
      <x:c r="A16" s="406" t="str">
        <x:v>Preliminary offering document, not issuance</x:v>
      </x:c>
      <x:c r="B16" s="448" t="str">
        <x:v>Preliminary prospectus for the two junior-note series due 2057 has blank principal amounts and rates. The later FWP supplies pricing and the September 24 8-K confirms issuance; this document is not another borrowing.</x:v>
      </x:c>
      <x:c r="C16" s="448" t="str">
        <x:v>https://www.sec.gov/Archives/edgar/data/1692819/000114036126036130/ny20081693x2_424b5.htm</x:v>
      </x:c>
      <x:c r="D16" s="449" t="str">
        <x:v>Event not stated; filed 2026-09-10; 424B5; 0001140361-26-036130</x:v>
      </x:c>
    </x:row>
    <x:row r="17" ht="90" customHeight="1">
      <x:c r="A17" s="406" t="str">
        <x:v>Pricing terms; same notes as September 24 issuance</x:v>
      </x:c>
      <x:c r="B17" s="448" t="str">
        <x:v>Pricing sheet for $850 million Series A and $650 million Series B junior subordinated notes due 2057, with initial rates of 7.000% and 7.250%. It projected September 24 settlement; the later 8-K confirms issuance. This is not additional debt beyond that issuance.</x:v>
      </x:c>
      <x:c r="C17" s="448" t="str">
        <x:v>https://www.sec.gov/Archives/edgar/data/1692819/000114036126036245/ef20081902_fwp.htm</x:v>
      </x:c>
      <x:c r="D17" s="449" t="str">
        <x:v>Event 2026-09-10; filed 2026-09-11; FWP; 0001140361-26-036245</x:v>
      </x:c>
    </x:row>
    <x:row r="18" ht="90" customHeight="1">
      <x:c r="A18" s="406" t="str">
        <x:v>Final offering terms; same notes as September 24 issuance</x:v>
      </x:c>
      <x:c r="B18" s="448"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448" t="str">
        <x:v>https://www.sec.gov/Archives/edgar/data/1692819/000114036126036415/ny20081693x3_424b2.htm</x:v>
      </x:c>
      <x:c r="D18" s="449" t="str">
        <x:v>Event not stated; filed 2026-09-14; 424B2; 0001140361-26-036415</x:v>
      </x:c>
    </x:row>
    <x:row r="19" ht="90" customHeight="1">
      <x:c r="A19" s="406" t="str">
        <x:v>New debt issued after balance sheet</x:v>
      </x:c>
      <x:c r="B19" s="448"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448" t="str">
        <x:v>https://www.sec.gov/Archives/edgar/data/1692819/000114036126037577/ef20082680_8k.htm</x:v>
      </x:c>
      <x:c r="D19" s="449" t="str">
        <x:v>Event 2026-09-24; filed 2026-09-24; 8-K; 0001140361-26-037577</x:v>
      </x:c>
    </x:row>
    <x:row r="20" ht="90" customHeight="1">
      <x:c r="A20" s="406" t="str">
        <x:v>Facility maturity change</x:v>
      </x:c>
      <x:c r="B20" s="448" t="str">
        <x:v>Commodity-linked revolving credit facility maturity was extended from September 30, 2026 to September 29, 2027. This filing does not establish an additional amount borrowed.</x:v>
      </x:c>
      <x:c r="C20" s="448" t="str">
        <x:v>https://www.sec.gov/Archives/edgar/data/1692819/000114036126038468/ef20083016_8k.htm</x:v>
      </x:c>
      <x:c r="D20" s="449" t="str">
        <x:v>Event 2026-09-30; filed 2026-10-05; 8-K; 0001140361-26-038468</x:v>
      </x:c>
    </x:row>
    <x:row r="21" ht="90" customHeight="1">
      <x:c r="A21" s="406" t="str">
        <x:v>Limit 1</x:v>
      </x:c>
      <x:c r="B21" s="448" t="str">
        <x:v>June 30 is the cash and availability date. Current cash, drawable capacity, parent-accessible cash and contractual covenant headroom are Unavailable.</x:v>
      </x:c>
      <x:c r="C21" s="461"/>
      <x:c r="D21" s="462"/>
    </x:row>
    <x:row r="22" ht="90" customHeight="1">
      <x:c r="A22" s="406" t="str">
        <x:v>Limit 2</x:v>
      </x:c>
      <x:c r="B22" s="448" t="str">
        <x:v>Operating cash flow is seasonal and weighted toward the second half. The first-half result and TTM figures do not establish future recurring cash generation.</x:v>
      </x:c>
      <x:c r="C22" s="461"/>
      <x:c r="D22" s="462"/>
    </x:row>
    <x:row r="23" ht="90" customHeight="1">
      <x:c r="A23" s="406" t="str">
        <x:v>Limit 3</x:v>
      </x:c>
      <x:c r="B23" s="448" t="str">
        <x:v>Interest cash in operating cash flow is not deducted twice. Nuveen principal paid in financing is separate from interest paid in operating cash flow.</x:v>
      </x:c>
      <x:c r="C23" s="461"/>
      <x:c r="D23" s="462"/>
    </x:row>
    <x:row r="24" ht="90" customHeight="1">
      <x:c r="A24" s="406" t="str">
        <x:v>Limit 4</x:v>
      </x:c>
      <x:c r="B24" s="448"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461"/>
      <x:c r="D24" s="462"/>
    </x:row>
    <x:row r="25" ht="90" customHeight="1">
      <x:c r="A25" s="406" t="str">
        <x:v>Limit 5</x:v>
      </x:c>
      <x:c r="B25" s="448" t="str">
        <x:v>Letters of credit total 3.587B: 1.092B corporate revolver, 1.759B other LOC facilities and 736M alternative facilities. The 1.092B already reduces revolver availability. Other LOC facilities are uncommitted credit support, not extra cash borrowing capacity.</x:v>
      </x:c>
      <x:c r="C25" s="461"/>
      <x:c r="D25" s="462"/>
    </x:row>
    <x:row r="26" ht="90" customHeight="1">
      <x:c r="A26" s="406" t="str">
        <x:v>Limit 6</x:v>
      </x:c>
      <x:c r="B26" s="448" t="str">
        <x:v>Note 12 also states 13M of BCOP debt-service reserve LCs while its credit facilities table displays zero project LCs. Scope/overlap with the 3.587B total is not established; no additional aggregate is inferred.</x:v>
      </x:c>
      <x:c r="C26" s="461"/>
      <x:c r="D26" s="462"/>
    </x:row>
    <x:row r="27" ht="90" customHeight="1">
      <x:c r="A27" s="406" t="str">
        <x:v>Limit 7</x:v>
      </x:c>
      <x:c r="B27" s="448" t="str">
        <x:v>The 2025 annual maturity schedule is historical. First-half refinancing and new debt prevent carrying it forward as remaining June maturities. The selected dated payments are not a full debt-service or obligations schedule.</x:v>
      </x:c>
      <x:c r="C27" s="461"/>
      <x:c r="D27" s="462"/>
    </x:row>
    <x:row r="28" ht="90" customHeight="1">
      <x:c r="A28" s="406" t="str">
        <x:v>Limit 8</x:v>
      </x:c>
      <x:c r="B28" s="448"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461"/>
      <x:c r="D28" s="462"/>
    </x:row>
    <x:row r="29" ht="90" customHeight="1">
      <x:c r="A29" s="406" t="str">
        <x:v>Limit 9</x:v>
      </x:c>
      <x:c r="B29" s="448" t="str">
        <x:v>Helix initial 500M remains callable at June 30. Funded-to-date and call dates are Unavailable. The additional 500M milestones had not occurred; Vistra could elect to invest anyway. Neither amount is scheduled into December.</x:v>
      </x:c>
      <x:c r="C29" s="461"/>
      <x:c r="D29" s="462"/>
    </x:row>
    <x:row r="30" ht="90" customHeight="1">
      <x:c r="A30" s="406" t="str">
        <x:v>Limit 10</x:v>
      </x:c>
      <x:c r="B30" s="448" t="str">
        <x:v>No forecast surplus, cash runway or overall repayment shortfall is calculated. Future collateral calls, capex, acquisitions and transfer restrictions prevent combining dated cash and capacity into a promised funding result.</x:v>
      </x:c>
      <x:c r="C30" s="461"/>
      <x:c r="D30" s="462"/>
    </x:row>
    <x:row r="31" ht="90" customHeight="1">
      <x:c r="A31" s="406" t="str">
        <x:v>Index review</x:v>
      </x:c>
      <x:c r="B31" s="448"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448" t="str">
        <x:v>https://data.sec.gov/submissions/CIK0001692819.json</x:v>
      </x:c>
      <x:c r="D31" s="449" t="str">
        <x:v>Retrieved October 15, 2026</x:v>
      </x:c>
    </x:row>
    <x:row r="32" ht="90" customHeight="1">
      <x:c r="A32" s="406" t="str">
        <x:v>October filing date</x:v>
      </x:c>
      <x:c r="B32" s="448" t="str">
        <x:v>The Sep 30 amendment was accepted Oct 2 at 20:12:47 but its EDGAR filing date is Oct 5. Filing date corrected from the older review.</x:v>
      </x:c>
      <x:c r="C32" s="448" t="str">
        <x:v>https://www.sec.gov/Archives/edgar/data/1692819/000114036126038468/0001140361-26-038468-index.html</x:v>
      </x:c>
      <x:c r="D32" s="449" t="str">
        <x:v>Event Sep 30, filed Oct 5, 2026</x:v>
      </x:c>
    </x:row>
    <x:row r="33" ht="120" customHeight="1">
      <x:c r="A33" s="406" t="str">
        <x:v>Historical interest coverage</x:v>
      </x:c>
      <x:c r="B33" s="448" t="str">
        <x:v>TTM reported operating income / TTM reported interest component before capitalized interest. FY2025 + H1 2026 - H1 2025. Every period reconciles to the mixed total; the original H1 2025 filing independently agrees.</x:v>
      </x:c>
      <x:c r="C33" s="448" t="str">
        <x:v>https://github.com/jackconnolly1000-ux/sec-filing-research-terminal/blob/main/docs/vistra_interest_coverage.md</x:v>
      </x:c>
      <x:c r="D33" s="449" t="str">
        <x:v>Checked October 16, 2026</x:v>
      </x:c>
    </x:row>
    <x:row r="34" ht="120" customHeight="1">
      <x:c r="A34" s="406" t="str">
        <x:v>Capitalized-interest basis</x:v>
      </x:c>
      <x:c r="B34" s="448"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448" t="str">
        <x:v>https://www.sec.gov/Archives/edgar/data/1692819/000169281926000019/vistra-20260630.htm</x:v>
      </x:c>
      <x:c r="D34" s="449" t="str">
        <x:v>10-K p. 121; 10-Q Note 12 p. 28</x:v>
      </x:c>
    </x:row>
    <x:row r="35" ht="120" customHeight="1">
      <x:c r="A35" s="406" t="str">
        <x:v>Interest composition</x:v>
      </x:c>
      <x:c r="B35" s="448"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448" t="str">
        <x:v>https://www.sec.gov/Archives/edgar/data/1692819/000169281926000019/vistra-20260630.htm</x:v>
      </x:c>
      <x:c r="D35" s="449" t="str">
        <x:v>Separate interest component, not the mixed statement total</x:v>
      </x:c>
    </x:row>
    <x:row r="36" ht="120" customHeight="1">
      <x:c r="A36" s="406" t="str">
        <x:v>Signs and definitions</x:v>
      </x:c>
      <x:c r="B36" s="448"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448" t="str">
        <x:v>https://www.sec.gov/Archives/edgar/data/1692819/000169281926000019/vistra-20260630.xsd</x:v>
      </x:c>
      <x:c r="D36" s="449" t="str">
        <x:v>Schema and labels reviewed; raw facts and hashes are retained</x:v>
      </x:c>
    </x:row>
    <x:row r="37" ht="120" customHeight="1">
      <x:c r="A37" s="424" t="str">
        <x:v>Coverage limits</x:v>
      </x:c>
      <x:c r="B37" s="452"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425"/>
      <x:c r="D37" s="453" t="str">
        <x:v>Receivables/Nuveen allocation and Other composition remain Unavailable</x:v>
      </x:c>
    </x:row>
    <x:row r="38" ht="78" customHeight="1">
      <x:c r="A38" s="353" t="str">
        <x:v>Borrowing and leases</x:v>
      </x:c>
      <x:c r="B38" s="356" t="str">
        <x:v>The Borrowing and leases sheet reconciles baseline borrowing and shows lease balances on their own dates. Unavailable means the amount was not established in the checked evidence. Leases never enter baseline debt or its ratios.</x:v>
      </x:c>
      <x:c r="C38" s="480" t="str">
        <x:v>https://github.com/jackconnolly1000-ux/sec-filing-research-terminal/blob/main/docs/borrowing_lease_presentation.md</x:v>
      </x:c>
    </x:row>
    <x:row r="39" ht="86" customHeight="1">
      <x:c r="A39" s="353" t="str">
        <x:v>Ratio reconciliation</x:v>
      </x:c>
      <x:c r="B39" s="356" t="str">
        <x:v>Debt and liquidity shows current ratio, same-filing net debt, TTM OCF/debt and FCF/debt, and historical interest coverage. Denominator definitions and capital-spending bases differ by company. Values are historical, not future funding coverage.</x:v>
      </x:c>
      <x:c r="C39" s="480" t="str">
        <x:v>https://github.com/jackconnolly1000-ux/sec-filing-research-terminal/blob/main/docs/ratio_reconciliation.md</x:v>
      </x:c>
    </x:row>
    <x:row r="40" ht="70" customHeight="1">
      <x:c r="A40" s="481" t="str">
        <x:v>History</x:v>
      </x:c>
      <x:c r="B40" s="482" t="str">
        <x:v>Two dated observations per company. Fiscal-year and TTM flows are overlapping twelve-month windows. Unsupported older Vistra borrowing and dependent ratios remain Unavailable.</x:v>
      </x:c>
      <x:c r="C40" s="483" t="str">
        <x:v>https://github.com/jackconnolly1000-ux/sec-filing-research-terminal/blob/main/docs/company_history.md</x:v>
      </x:c>
    </x:row>
    <x:row r="41" ht="70" customHeight="1">
      <x:c r="A41" s="481" t="str">
        <x:v>Core charts</x:v>
      </x:c>
      <x:c r="B41" s="482" t="str">
        <x:v>Two native charts link to Debt and liquidity and History. Signed capital spending is a use; FCF is the result. Unsupported older Vistra borrowing is omitted, never plotted as zero.</x:v>
      </x:c>
      <x:c r="C41" s="483" t="str">
        <x:v>https://github.com/jackconnolly1000-ux/sec-filing-research-terminal/blob/main/docs/core_charts.md</x:v>
      </x:c>
    </x:row>
    <x:row r="42" ht="76" customHeight="1">
      <x:c r="A42" s="481" t="str">
        <x:v>Workbook guide</x:v>
      </x:c>
      <x:c r="B42" s="482" t="str">
        <x:v>The first sheet lists all workbook tabs and their questions. Core metrics, dated history and common charts agree with the app. Source URLs are full text and open as links when selected.</x:v>
      </x:c>
      <x:c r="C42" s="483" t="str">
        <x:v>https://github.com/jackconnolly1000-ux/sec-filing-research-terminal/blob/main/docs/excel_parity.md</x:v>
      </x:c>
    </x:row>
  </x:sheetData>
  <x:hyperlinks>
    <x:hyperlink ref="C6" ns1:id="rIdSource1"/>
    <x:hyperlink ref="C7" ns1:id="rIdSource2"/>
    <x:hyperlink ref="C8" ns1:id="rIdSource3"/>
    <x:hyperlink ref="C9" ns1:id="rIdSource4"/>
    <x:hyperlink ref="C10" ns1:id="rIdSource5"/>
    <x:hyperlink ref="C11" ns1:id="rIdSource6"/>
    <x:hyperlink ref="C12" ns1:id="rIdSource7"/>
    <x:hyperlink ref="C13" ns1:id="rIdSource8"/>
    <x:hyperlink ref="C14" ns1:id="rIdSource9"/>
    <x:hyperlink ref="C15" ns1:id="rIdSource10"/>
    <x:hyperlink ref="C16" ns1:id="rIdSource11"/>
    <x:hyperlink ref="C17" ns1:id="rIdSource12"/>
    <x:hyperlink ref="C18" ns1:id="rIdSource13"/>
    <x:hyperlink ref="C19" ns1:id="rIdSource14"/>
    <x:hyperlink ref="C20" ns1:id="rIdSource15"/>
    <x:hyperlink ref="C31" ns1:id="rIdSource16"/>
    <x:hyperlink ref="C32" ns1:id="rIdSource17"/>
    <x:hyperlink ref="C33" ns1:id="rIdSource18"/>
    <x:hyperlink ref="C34" ns1:id="rIdSource19"/>
    <x:hyperlink ref="C35" ns1:id="rIdSource20"/>
    <x:hyperlink ref="C36" ns1:id="rIdSource21"/>
    <x:hyperlink ref="C38" ns1:id="rIdSource22"/>
    <x:hyperlink ref="C39" ns1:id="rIdSource23"/>
    <x:hyperlink ref="C40" ns1:id="rIdSource24"/>
    <x:hyperlink ref="C41" ns1:id="rIdSource25"/>
    <x:hyperlink ref="C42" ns1:id="rIdSource26"/>
  </x:hyperlinks>
  <x:pageMargins left="0.7" right="0.7" top="0.75" bottom="0.75" header="0.3" footer="0.3"/>
</x:worksheet>
</file>