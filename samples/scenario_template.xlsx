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320709d3aa4ea6" /></Relationships>
</file>

<file path=xl/workbook.xml><?xml version="1.0" encoding="utf-8"?>
<x:workbook xmlns:x="http://schemas.openxmlformats.org/spreadsheetml/2006/main">
  <x:sheets>
    <x:sheet xmlns:r="http://schemas.openxmlformats.org/officeDocument/2006/relationships" name="Results" sheetId="1" r:id="Rcbdacbb00b654949"/>
    <x:sheet xmlns:r="http://schemas.openxmlformats.org/officeDocument/2006/relationships" name="Monthly path" sheetId="2" r:id="R435306591c374e82"/>
    <x:sheet xmlns:r="http://schemas.openxmlformats.org/officeDocument/2006/relationships" name="Monthly path by month" sheetId="3" r:id="R761f98ac371d46a3"/>
    <x:sheet xmlns:r="http://schemas.openxmlformats.org/officeDocument/2006/relationships" name="Correlation" sheetId="4" r:id="R8a0e59a818764045"/>
    <x:sheet xmlns:r="http://schemas.openxmlformats.org/officeDocument/2006/relationships" name="Outside-use effects" sheetId="5" r:id="R11e2cc77dd4f4d01"/>
    <x:sheet xmlns:r="http://schemas.openxmlformats.org/officeDocument/2006/relationships" name="Scenario" sheetId="6" r:id="R993cd5fa89ee4ae7"/>
    <x:sheet xmlns:r="http://schemas.openxmlformats.org/officeDocument/2006/relationships" name="Uses not modelled" sheetId="7" r:id="R48e180fa99ba4606"/>
    <x:sheet xmlns:r="http://schemas.openxmlformats.org/officeDocument/2006/relationships" name="Data" sheetId="8" r:id="Rb43578d5d19c4835"/>
    <x:sheet xmlns:r="http://schemas.openxmlformats.org/officeDocument/2006/relationships" name="About" sheetId="9" r:id="R551f416980c74cb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quot;-&quot;"/>
    <x:numFmt numFmtId="201" formatCode="0.0%"/>
    <x:numFmt numFmtId="202" formatCode="yyyy-mm-dd"/>
    <x:numFmt numFmtId="203" formatCode="+0.0;-0.0;0.0"/>
    <x:numFmt numFmtId="204" formatCode="+0.00;-0.00;0.00"/>
  </x:numFmts>
  <x:fonts count="8">
    <x:font>
      <x:sz val="11"/>
      <x:name val="Carlito"/>
    </x:font>
    <x:font>
      <x:sz val="11"/>
      <x:name val="Arial"/>
    </x:font>
    <x:font>
      <x:sz val="10"/>
      <x:name val="Arial"/>
    </x:font>
    <x:font>
      <x:sz val="10"/>
      <x:color rgb="FF000000"/>
      <x:name val="Arial"/>
    </x:font>
    <x:font>
      <x:b/>
      <x:sz val="10"/>
      <x:name val="Arial"/>
    </x:font>
    <x:font>
      <x:sz val="10"/>
      <x:color rgb="FF008000"/>
      <x:name val="Arial"/>
    </x:font>
    <x:font>
      <x:sz val="10"/>
      <x:color rgb="FF0000FF"/>
      <x:name val="Arial"/>
    </x:font>
    <x:font>
      <x:sz val="10"/>
      <x:color rgb="FF775B20"/>
      <x:name val="Arial"/>
    </x:font>
  </x:fonts>
  <x:fills count="3">
    <x:fill>
      <x:patternFill patternType="none"/>
    </x:fill>
    <x:fill>
      <x:patternFill patternType="gray125"/>
    </x:fill>
    <x:fill>
      <x:patternFill patternType="solid">
        <x:fgColor rgb="FFF0F2F5"/>
      </x:patternFill>
    </x:fill>
  </x:fills>
  <x:borders count="13">
    <x:border>
      <x:left/>
      <x:right/>
      <x:top/>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BBC3CD"/>
      </x:left>
      <x:right style="thin">
        <x:color rgb="FFDDE2E7"/>
      </x:right>
      <x:top/>
      <x:bottom/>
      <x:diagonal/>
    </x:border>
    <x:border>
      <x:left style="thin">
        <x:color rgb="FFDDE2E7"/>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0" fontId="2" fillId="0" borderId="5"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3" fillId="0" borderId="8" xfId="0" applyNumberFormat="1" applyFont="1" applyFill="1" applyBorder="1" applyAlignment="1">
      <x:alignment vertical="top" wrapText="1"/>
    </x:xf>
    <x:xf numFmtId="0" fontId="2" fillId="0" borderId="8" xfId="0" applyNumberFormat="1" applyFont="1" applyFill="1" applyBorder="1" applyAlignment="1">
      <x:alignment vertical="top" wrapText="1"/>
    </x:xf>
    <x:xf numFmtId="201" fontId="3" fillId="0" borderId="8" xfId="0" applyNumberFormat="1" applyFont="1" applyFill="1" applyBorder="1" applyAlignment="1">
      <x:alignment vertical="top" wrapText="1"/>
    </x:xf>
    <x:xf numFmtId="200" fontId="3"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0" xfId="0" applyNumberFormat="1" applyFont="1" applyFill="1" applyBorder="1" applyAlignment="1">
      <x:alignment horizontal="center" vertical="top" wrapText="1"/>
    </x:xf>
    <x:xf numFmtId="0" fontId="4" fillId="2" borderId="11" xfId="0" applyNumberFormat="1" applyFont="1" applyFill="1" applyBorder="1" applyAlignment="1">
      <x:alignment horizontal="center" vertical="top" wrapText="1"/>
    </x:xf>
    <x:xf numFmtId="0" fontId="4" fillId="2" borderId="12" xfId="0" applyNumberFormat="1" applyFont="1" applyFill="1" applyBorder="1" applyAlignment="1">
      <x:alignment horizontal="center" vertical="top" wrapText="1"/>
    </x:xf>
    <x:xf numFmtId="201" fontId="3" fillId="0" borderId="6" xfId="0" applyNumberFormat="1" applyFont="1" applyFill="1" applyBorder="1" applyAlignment="1">
      <x:alignment vertical="top" wrapText="1"/>
    </x:xf>
    <x:xf numFmtId="201" fontId="3" fillId="0" borderId="9"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2" fontId="2" fillId="0" borderId="5" xfId="0" applyNumberFormat="1" applyFont="1" applyFill="1" applyBorder="1" applyAlignment="1">
      <x:alignment vertical="top" wrapText="1"/>
    </x:xf>
    <x:xf numFmtId="202" fontId="2" fillId="0" borderId="8" xfId="0" applyNumberFormat="1" applyFont="1" applyFill="1" applyBorder="1" applyAlignment="1">
      <x:alignment vertical="top" wrapText="1"/>
    </x:xf>
    <x:xf numFmtId="203" fontId="2" fillId="0" borderId="0" xfId="0" applyNumberFormat="1" applyFont="1" applyFill="1" applyBorder="1" applyAlignment="1">
      <x:alignment vertical="top" wrapText="1"/>
    </x:xf>
    <x:xf numFmtId="203" fontId="3" fillId="0" borderId="0" xfId="0" applyNumberFormat="1" applyFont="1" applyFill="1" applyBorder="1" applyAlignment="1">
      <x:alignment vertical="top" wrapText="1"/>
    </x:xf>
    <x:xf numFmtId="204" fontId="2" fillId="0" borderId="0" xfId="0" applyNumberFormat="1" applyFont="1" applyFill="1" applyBorder="1" applyAlignment="1">
      <x:alignment vertical="top" wrapText="1"/>
    </x:xf>
    <x:xf numFmtId="204" fontId="3" fillId="0" borderId="0"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204" fontId="3" fillId="0" borderId="5" xfId="0" applyNumberFormat="1" applyFont="1" applyFill="1" applyBorder="1" applyAlignment="1">
      <x:alignment vertical="top" wrapText="1"/>
    </x:xf>
    <x:xf numFmtId="203" fontId="3" fillId="0" borderId="8" xfId="0" applyNumberFormat="1" applyFont="1" applyFill="1" applyBorder="1" applyAlignment="1">
      <x:alignment vertical="top" wrapText="1"/>
    </x:xf>
    <x:xf numFmtId="204" fontId="3" fillId="0" borderId="8"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203" fontId="6"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7" fillId="0" borderId="0" xfId="0" applyNumberFormat="1" applyFont="1" applyFill="1" applyBorder="1" applyAlignment="1">
      <x:alignment vertical="top" wrapText="0"/>
    </x:xf>
    <x:xf numFmtId="200" fontId="6" fillId="0"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7ea281b52d4133" /><Relationship Type="http://schemas.openxmlformats.org/officeDocument/2006/relationships/theme" Target="/xl/theme/theme1.xml" Id="R67f52117feb4410c" /><Relationship Type="http://schemas.openxmlformats.org/officeDocument/2006/relationships/sharedStrings" Target="/xl/sharedStrings.xml" Id="Rc7f38f9a8c4b4745" /><Relationship Type="http://schemas.openxmlformats.org/officeDocument/2006/relationships/worksheet" Target="/xl/worksheets/sheet1.xml" Id="Rcbdacbb00b654949" /><Relationship Type="http://schemas.openxmlformats.org/officeDocument/2006/relationships/worksheet" Target="/xl/worksheets/sheet2.xml" Id="R435306591c374e82" /><Relationship Type="http://schemas.openxmlformats.org/officeDocument/2006/relationships/worksheet" Target="/xl/worksheets/sheet3.xml" Id="R761f98ac371d46a3" /><Relationship Type="http://schemas.openxmlformats.org/officeDocument/2006/relationships/worksheet" Target="/xl/worksheets/sheet4.xml" Id="R8a0e59a818764045" /><Relationship Type="http://schemas.openxmlformats.org/officeDocument/2006/relationships/worksheet" Target="/xl/worksheets/sheet5.xml" Id="R11e2cc77dd4f4d01" /><Relationship Type="http://schemas.openxmlformats.org/officeDocument/2006/relationships/worksheet" Target="/xl/worksheets/sheet6.xml" Id="R993cd5fa89ee4ae7" /><Relationship Type="http://schemas.openxmlformats.org/officeDocument/2006/relationships/worksheet" Target="/xl/worksheets/sheet7.xml" Id="R48e180fa99ba4606" /><Relationship Type="http://schemas.openxmlformats.org/officeDocument/2006/relationships/worksheet" Target="/xl/worksheets/sheet8.xml" Id="Rb43578d5d19c4835" /><Relationship Type="http://schemas.openxmlformats.org/officeDocument/2006/relationships/worksheet" Target="/xl/worksheets/sheet9.xml" Id="R551f416980c74cb9" /></Relationships>
</file>

<file path=xl/drawings/_rels/drawing1.xml.rels>&#65279;<?xml version="1.0" encoding="utf-8"?><Relationships xmlns="http://schemas.openxmlformats.org/package/2006/relationships"><Relationship Type="http://schemas.openxmlformats.org/officeDocument/2006/relationships/chart" Target="/xl/drawings/charts/chart1.xml" Id="R5cb5e369f06045f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Simulated month-end cash: p10, median, p90 and zero</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10th percentile month-end cash (USD, displayed in millions)</c:v>
          </c:tx>
          <c:spPr>
            <a:ln xmlns:a="http://schemas.openxmlformats.org/drawingml/2006/main" w="9525">
              <a:solidFill>
                <a:srgbClr val="A4B7D3"/>
              </a:solidFill>
              <a:prstDash val="solid"/>
            </a:ln>
          </c:spPr>
          <c:marker>
            <c:symbol val="none"/>
          </c:marker>
          <c:cat>
            <c:strRef>
              <c:f>'Monthly path by month'!$B$2:$B$13</c:f>
              <c:strCache>
                <c:ptCount val="0"/>
              </c:strCache>
            </c:strRef>
          </c:cat>
          <c:val>
            <c:numRef>
              <c:f>'Monthly path by month'!$F$2:$F$13</c:f>
              <c:numCache>
                <c:formatCode>#,##0,,;(#,##0,,);"-"</c:formatCode>
                <c:ptCount val="0"/>
              </c:numCache>
            </c:numRef>
          </c:val>
          <c:smooth val="0"/>
        </c:ser>
        <c:ser>
          <c:idx val="1"/>
          <c:order val="1"/>
          <c:tx>
            <c:v>Median month-end cash (USD, displayed in millions)</c:v>
          </c:tx>
          <c:spPr>
            <a:ln xmlns:a="http://schemas.openxmlformats.org/drawingml/2006/main" w="19050">
              <a:solidFill>
                <a:srgbClr val="3987E5"/>
              </a:solidFill>
              <a:prstDash val="solid"/>
            </a:ln>
          </c:spPr>
          <c:marker>
            <c:symbol val="none"/>
          </c:marker>
          <c:cat>
            <c:strRef>
              <c:f>'Monthly path by month'!$B$2:$B$13</c:f>
              <c:strCache>
                <c:ptCount val="0"/>
              </c:strCache>
            </c:strRef>
          </c:cat>
          <c:val>
            <c:numRef>
              <c:f>'Monthly path by month'!$H$2:$H$13</c:f>
              <c:numCache>
                <c:formatCode>#,##0,,;(#,##0,,);"-"</c:formatCode>
                <c:ptCount val="0"/>
              </c:numCache>
            </c:numRef>
          </c:val>
          <c:smooth val="0"/>
        </c:ser>
        <c:ser>
          <c:idx val="2"/>
          <c:order val="2"/>
          <c:tx>
            <c:v>90th percentile month-end cash (USD, displayed in millions)</c:v>
          </c:tx>
          <c:spPr>
            <a:ln xmlns:a="http://schemas.openxmlformats.org/drawingml/2006/main" w="9525">
              <a:solidFill>
                <a:srgbClr val="A4B7D3"/>
              </a:solidFill>
              <a:prstDash val="solid"/>
            </a:ln>
          </c:spPr>
          <c:marker>
            <c:symbol val="none"/>
          </c:marker>
          <c:cat>
            <c:strRef>
              <c:f>'Monthly path by month'!$B$2:$B$13</c:f>
              <c:strCache>
                <c:ptCount val="0"/>
              </c:strCache>
            </c:strRef>
          </c:cat>
          <c:val>
            <c:numRef>
              <c:f>'Monthly path by month'!$I$2:$I$13</c:f>
              <c:numCache>
                <c:formatCode>#,##0,,;(#,##0,,);"-"</c:formatCode>
                <c:ptCount val="0"/>
              </c:numCache>
            </c:numRef>
          </c:val>
          <c:smooth val="0"/>
        </c:ser>
        <c:ser>
          <c:idx val="3"/>
          <c:order val="3"/>
          <c:tx>
            <c:v>Zero reference (USD, displayed in millions)</c:v>
          </c:tx>
          <c:spPr>
            <a:ln xmlns:a="http://schemas.openxmlformats.org/drawingml/2006/main" w="9525">
              <a:solidFill>
                <a:srgbClr val="777777"/>
              </a:solidFill>
              <a:prstDash val="dash"/>
            </a:ln>
          </c:spPr>
          <c:marker>
            <c:symbol val="none"/>
          </c:marker>
          <c:cat>
            <c:strRef>
              <c:f>'Monthly path by month'!$B$2:$B$13</c:f>
              <c:strCache>
                <c:ptCount val="0"/>
              </c:strCache>
            </c:strRef>
          </c:cat>
          <c:val>
            <c:numRef>
              <c:f>'Monthly path by month'!$J$2:$J$13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b5e369f06045f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d670b316b6b48a8"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8" hidden="0" customWidth="1"/>
    <x:col min="2" max="2" width="24" hidden="0" customWidth="1"/>
    <x:col min="3" max="3" width="24" hidden="0" customWidth="1"/>
    <x:col min="4" max="4" width="27" hidden="0" customWidth="1"/>
    <x:col min="5" max="5" width="26" hidden="0" customWidth="1"/>
    <x:col min="6" max="6" width="26" hidden="0" customWidth="1"/>
    <x:col min="7" max="7" width="28" hidden="0" customWidth="1"/>
    <x:col min="8" max="8" width="24" hidden="0" customWidth="1"/>
    <x:col min="9" max="9" width="27" hidden="0" customWidth="1"/>
    <x:col min="10" max="10" width="30" hidden="0" customWidth="1"/>
    <x:col min="11" max="11" width="38" hidden="0" customWidth="1"/>
  </x:cols>
  <x:sheetData>
    <x:row r="1" ht="22" customHeight="1">
      <x:c r="A1" s="56"/>
    </x:row>
    <x:row r="2" ht="22" customHeight="1">
      <x:c r="A2" s="55"/>
    </x:row>
    <x:row r="3" ht="40" customHeight="1">
      <x:c r="A3" s="31" t="str">
        <x:v>Decision</x:v>
      </x:c>
      <x:c r="B3" s="32" t="str">
        <x:v>Capex (USD, displayed in millions)</x:v>
      </x:c>
      <x:c r="C3" s="32" t="str">
        <x:v>Dividends (USD, displayed in millions)</x:v>
      </x:c>
      <x:c r="D3" s="32" t="str">
        <x:v>Revolver assumed usable</x:v>
      </x:c>
      <x:c r="E3" s="32" t="str">
        <x:v>Mean ending cash (USD, displayed in millions)</x:v>
      </x:c>
      <x:c r="F3" s="32" t="str">
        <x:v>Std dev (USD, displayed in millions)</x:v>
      </x:c>
      <x:c r="G3" s="32" t="str">
        <x:v>10th percentile (USD, displayed in millions)</x:v>
      </x:c>
      <x:c r="H3" s="32" t="str">
        <x:v>Median (USD, displayed in millions)</x:v>
      </x:c>
      <x:c r="I3" s="32" t="str">
        <x:v>90th percentile (USD, displayed in millions)</x:v>
      </x:c>
      <x:c r="J3" s="32" t="str">
        <x:v>Share of trials below zero</x:v>
      </x:c>
      <x:c r="K3" s="33" t="str">
        <x:v>Average shortfall in trials below zero (USD, displayed in millions)</x:v>
      </x:c>
    </x:row>
    <x:row r="4" ht="32" customHeight="1">
      <x:c r="A4" s="12" t="str">
        <x:v>Capex at the TTM rate</x:v>
      </x:c>
      <x:c r="B4" s="13" t="n">
        <x:v>75660000000</x:v>
      </x:c>
      <x:c r="C4" s="13" t="n">
        <x:v>6260000000</x:v>
      </x:c>
      <x:c r="D4" s="14" t="str">
        <x:v>No</x:v>
      </x:c>
      <x:c r="E4" s="13" t="n">
        <x:v>-11232769857.50195</x:v>
      </x:c>
      <x:c r="F4" s="13" t="n">
        <x:v>4172297711.8683176</x:v>
      </x:c>
      <x:c r="G4" s="13" t="n">
        <x:v>-16628558782.73629</x:v>
      </x:c>
      <x:c r="H4" s="13" t="n">
        <x:v>-11474076193.260605</x:v>
      </x:c>
      <x:c r="I4" s="13" t="n">
        <x:v>-5579835245.119098</x:v>
      </x:c>
      <x:c r="J4" s="15" t="n">
        <x:v>0.9948</x:v>
      </x:c>
      <x:c r="K4" s="16" t="n">
        <x:v>11297149882.895933</x:v>
      </x:c>
    </x:row>
    <x:row r="5" ht="40" customHeight="1">
      <x:c r="A5" s="12" t="str">
        <x:v>Capex at the TTM rate, revolver assumed usable</x:v>
      </x:c>
      <x:c r="B5" s="13" t="n">
        <x:v>75660000000</x:v>
      </x:c>
      <x:c r="C5" s="13" t="n">
        <x:v>6260000000</x:v>
      </x:c>
      <x:c r="D5" s="14" t="str">
        <x:v>Yes</x:v>
      </x:c>
      <x:c r="E5" s="13" t="n">
        <x:v>-2401146269.8532047</x:v>
      </x:c>
      <x:c r="F5" s="13" t="n">
        <x:v>2686931022.721906</x:v>
      </x:c>
      <x:c r="G5" s="13" t="n">
        <x:v>-6628558782.73629</x:v>
      </x:c>
      <x:c r="H5" s="13" t="n">
        <x:v>-1474076193.260604</x:v>
      </x:c>
      <x:c r="I5" s="13" t="n">
        <x:v>0</x:v>
      </x:c>
      <x:c r="J5" s="15" t="n">
        <x:v>0.6261</x:v>
      </x:c>
      <x:c r="K5" s="16" t="n">
        <x:v>3844084197.182765</x:v>
      </x:c>
    </x:row>
    <x:row r="6" ht="32" customHeight="1">
      <x:c r="A6" s="12" t="str">
        <x:v>Capex at the fiscal 2026 level</x:v>
      </x:c>
      <x:c r="B6" s="13" t="n">
        <x:v>55663000000</x:v>
      </x:c>
      <x:c r="C6" s="13" t="n">
        <x:v>6260000000</x:v>
      </x:c>
      <x:c r="D6" s="14" t="str">
        <x:v>No</x:v>
      </x:c>
      <x:c r="E6" s="13" t="n">
        <x:v>8764230142.49805</x:v>
      </x:c>
      <x:c r="F6" s="13" t="n">
        <x:v>4172297711.8683176</x:v>
      </x:c>
      <x:c r="G6" s="13" t="n">
        <x:v>3368441217.2637105</x:v>
      </x:c>
      <x:c r="H6" s="13" t="n">
        <x:v>8522923806.739397</x:v>
      </x:c>
      <x:c r="I6" s="13" t="n">
        <x:v>14417164754.880903</x:v>
      </x:c>
      <x:c r="J6" s="15" t="n">
        <x:v>0.0023</x:v>
      </x:c>
      <x:c r="K6" s="16" t="n">
        <x:v>300620628.9294267</x:v>
      </x:c>
    </x:row>
    <x:row r="7" ht="40" customHeight="1">
      <x:c r="A7" s="17" t="str">
        <x:v>Capex at the fiscal 2026 level, revolver assumed usable</x:v>
      </x:c>
      <x:c r="B7" s="18" t="n">
        <x:v>55663000000</x:v>
      </x:c>
      <x:c r="C7" s="18" t="n">
        <x:v>6260000000</x:v>
      </x:c>
      <x:c r="D7" s="19" t="str">
        <x:v>Yes</x:v>
      </x:c>
      <x:c r="E7" s="18" t="n">
        <x:v>8764921569.944588</x:v>
      </x:c>
      <x:c r="F7" s="18" t="n">
        <x:v>4170807288.6858044</x:v>
      </x:c>
      <x:c r="G7" s="18" t="n">
        <x:v>3368441217.2637105</x:v>
      </x:c>
      <x:c r="H7" s="18" t="n">
        <x:v>8522923806.739397</x:v>
      </x:c>
      <x:c r="I7" s="18" t="n">
        <x:v>14417164754.880903</x:v>
      </x:c>
      <x:c r="J7" s="20" t="n">
        <x:v>0</x:v>
      </x:c>
      <x:c r="K7" s="21" t="n">
        <x:v>0</x:v>
      </x:c>
    </x:row>
  </x:sheetData>
  <x:hyperlinks>
    <x:hyperlink ref="A2" location="'About'!A1" display="About"/>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7" hidden="0" customWidth="1"/>
    <x:col min="3" max="3" width="30" hidden="0" customWidth="1"/>
    <x:col min="4" max="4" width="32" hidden="0" customWidth="1"/>
    <x:col min="5" max="5" width="28" hidden="0" customWidth="1"/>
    <x:col min="6" max="6" width="29" hidden="0" customWidth="1"/>
    <x:col min="7" max="7" width="32" hidden="0" customWidth="1"/>
    <x:col min="8" max="8" width="40" hidden="0" customWidth="1"/>
    <x:col min="9" max="9" width="30" hidden="0" customWidth="1"/>
    <x:col min="10" max="10" width="30" hidden="0" customWidth="1"/>
  </x:cols>
  <x:sheetData>
    <x:row r="1" ht="54" customHeight="1">
      <x:c r="A1" s="31" t="str">
        <x:v>Decision</x:v>
      </x:c>
      <x:c r="B1" s="32" t="str">
        <x:v>Revolver assumed usable</x:v>
      </x:c>
      <x:c r="C1" s="32" t="str">
        <x:v>Share of trials below zero at Aug 31, 2027</x:v>
      </x:c>
      <x:c r="D1" s="32" t="str">
        <x:v>Share of trials below zero at any month end</x:v>
      </x:c>
      <x:c r="E1" s="32" t="str">
        <x:v>Mean ending cash (USD, displayed in millions)</x:v>
      </x:c>
      <x:c r="F1" s="32" t="str">
        <x:v>Mean lowest month-end cash (USD, displayed in millions)</x:v>
      </x:c>
      <x:c r="G1" s="32" t="str">
        <x:v>10th percentile of lowest month-end cash (USD, displayed in millions)</x:v>
      </x:c>
      <x:c r="H1" s="32" t="str">
        <x:v>Month most often lowest (before any revolver draw)</x:v>
      </x:c>
      <x:c r="I1" s="32" t="str">
        <x:v>Share of trials lowest in that month</x:v>
      </x:c>
      <x:c r="J1" s="33" t="str">
        <x:v>Share of trials with a net outflow over the year</x:v>
      </x:c>
    </x:row>
    <x:row r="2" ht="32" customHeight="1">
      <x:c r="A2" s="12" t="str">
        <x:v>Capex at the TTM rate</x:v>
      </x:c>
      <x:c r="B2" s="14" t="str">
        <x:v>No</x:v>
      </x:c>
      <x:c r="C2" s="15" t="n">
        <x:v>0.9948</x:v>
      </x:c>
      <x:c r="D2" s="15" t="n">
        <x:v>0.9948</x:v>
      </x:c>
      <x:c r="E2" s="13" t="n">
        <x:v>-11232769857.50195</x:v>
      </x:c>
      <x:c r="F2" s="13" t="n">
        <x:v>-11232769857.50195</x:v>
      </x:c>
      <x:c r="G2" s="13" t="n">
        <x:v>-16628558782.736282</x:v>
      </x:c>
      <x:c r="H2" s="14" t="str">
        <x:v>Aug 2027</x:v>
      </x:c>
      <x:c r="I2" s="15" t="n">
        <x:v>1</x:v>
      </x:c>
      <x:c r="J2" s="34" t="n">
        <x:v>1</x:v>
      </x:c>
    </x:row>
    <x:row r="3" ht="40" customHeight="1">
      <x:c r="A3" s="12" t="str">
        <x:v>Capex at the TTM rate, revolver assumed usable</x:v>
      </x:c>
      <x:c r="B3" s="14" t="str">
        <x:v>Yes</x:v>
      </x:c>
      <x:c r="C3" s="15" t="n">
        <x:v>0.6261</x:v>
      </x:c>
      <x:c r="D3" s="15" t="n">
        <x:v>0.6261</x:v>
      </x:c>
      <x:c r="E3" s="13" t="n">
        <x:v>-2401146269.8532047</x:v>
      </x:c>
      <x:c r="F3" s="13" t="n">
        <x:v>-2401146269.8532047</x:v>
      </x:c>
      <x:c r="G3" s="13" t="n">
        <x:v>-6628558782.736282</x:v>
      </x:c>
      <x:c r="H3" s="14" t="str">
        <x:v>Aug 2027</x:v>
      </x:c>
      <x:c r="I3" s="15" t="n">
        <x:v>1</x:v>
      </x:c>
      <x:c r="J3" s="34" t="n">
        <x:v>1</x:v>
      </x:c>
    </x:row>
    <x:row r="4" ht="32" customHeight="1">
      <x:c r="A4" s="12" t="str">
        <x:v>Capex at the fiscal 2026 level</x:v>
      </x:c>
      <x:c r="B4" s="14" t="str">
        <x:v>No</x:v>
      </x:c>
      <x:c r="C4" s="15" t="n">
        <x:v>0.0023</x:v>
      </x:c>
      <x:c r="D4" s="15" t="n">
        <x:v>0.0023</x:v>
      </x:c>
      <x:c r="E4" s="13" t="n">
        <x:v>8764230142.49805</x:v>
      </x:c>
      <x:c r="F4" s="13" t="n">
        <x:v>8764230142.49805</x:v>
      </x:c>
      <x:c r="G4" s="13" t="n">
        <x:v>3368441217.263717</x:v>
      </x:c>
      <x:c r="H4" s="14" t="str">
        <x:v>Aug 2027</x:v>
      </x:c>
      <x:c r="I4" s="15" t="n">
        <x:v>1</x:v>
      </x:c>
      <x:c r="J4" s="34" t="n">
        <x:v>1</x:v>
      </x:c>
    </x:row>
    <x:row r="5" ht="40" customHeight="1">
      <x:c r="A5" s="17" t="str">
        <x:v>Capex at the fiscal 2026 level, revolver assumed usable</x:v>
      </x:c>
      <x:c r="B5" s="19" t="str">
        <x:v>Yes</x:v>
      </x:c>
      <x:c r="C5" s="20" t="n">
        <x:v>0</x:v>
      </x:c>
      <x:c r="D5" s="20" t="n">
        <x:v>0</x:v>
      </x:c>
      <x:c r="E5" s="18" t="n">
        <x:v>8764921569.944588</x:v>
      </x:c>
      <x:c r="F5" s="18" t="n">
        <x:v>8764921569.944588</x:v>
      </x:c>
      <x:c r="G5" s="18" t="n">
        <x:v>3368441217.263717</x:v>
      </x:c>
      <x:c r="H5" s="19" t="str">
        <x:v>Aug 2027</x:v>
      </x:c>
      <x:c r="I5" s="20" t="n">
        <x:v>1</x:v>
      </x:c>
      <x:c r="J5" s="35" t="n">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19" hidden="0" customWidth="1"/>
    <x:col min="3" max="3" width="20" hidden="0" customWidth="1"/>
    <x:col min="4" max="4" width="28" hidden="0" customWidth="1"/>
    <x:col min="5" max="5" width="28" hidden="0" customWidth="1"/>
    <x:col min="6" max="6" width="30" hidden="0" customWidth="1"/>
    <x:col min="7" max="7" width="30" hidden="0" customWidth="1"/>
    <x:col min="8" max="8" width="28" hidden="0" customWidth="1"/>
    <x:col min="9" max="9" width="28" hidden="0" customWidth="1"/>
    <x:col min="10" max="10" width="26" hidden="0" customWidth="1"/>
  </x:cols>
  <x:sheetData>
    <x:row r="1" ht="54" customHeight="1">
      <x:c r="A1" s="31" t="str">
        <x:v>Decision</x:v>
      </x:c>
      <x:c r="B1" s="32" t="str">
        <x:v>Month</x:v>
      </x:c>
      <x:c r="C1" s="32" t="str">
        <x:v>Month end</x:v>
      </x:c>
      <x:c r="D1" s="32" t="str">
        <x:v>Dated note and term-loan principal (USD, displayed in millions)</x:v>
      </x:c>
      <x:c r="E1" s="32" t="str">
        <x:v>Mean month-end cash (USD, displayed in millions)</x:v>
      </x:c>
      <x:c r="F1" s="32" t="str">
        <x:v>10th percentile month-end cash (USD, displayed in millions)</x:v>
      </x:c>
      <x:c r="G1" s="32" t="str">
        <x:v>Share of trials below zero at this month end</x:v>
      </x:c>
      <x:c r="H1" s="32" t="str">
        <x:v>Median month-end cash (USD, displayed in millions)</x:v>
      </x:c>
      <x:c r="I1" s="32" t="str">
        <x:v>90th percentile month-end cash (USD, displayed in millions)</x:v>
      </x:c>
      <x:c r="J1" s="33" t="str">
        <x:v>Zero reference (USD, displayed in millions)</x:v>
      </x:c>
    </x:row>
    <x:row r="2" ht="32" customHeight="1">
      <x:c r="A2" s="12" t="str">
        <x:v>Capex at the TTM rate</x:v>
      </x:c>
      <x:c r="B2" s="14" t="str">
        <x:v>Sep 2026</x:v>
      </x:c>
      <x:c r="C2" s="37" t="d">
        <x:v>2026-09-30T00:00:00.000Z</x:v>
      </x:c>
      <x:c r="D2" s="13" t="n">
        <x:v>140750000</x:v>
      </x:c>
      <x:c r="E2" s="13" t="n">
        <x:v>32562598551.87601</x:v>
      </x:c>
      <x:c r="F2" s="13" t="n">
        <x:v>32111700903.862396</x:v>
      </x:c>
      <x:c r="G2" s="15" t="n">
        <x:v>0</x:v>
      </x:c>
      <x:c r="H2" s="13" t="n">
        <x:v>32543640934.422478</x:v>
      </x:c>
      <x:c r="I2" s="13" t="n">
        <x:v>33032113944.756496</x:v>
      </x:c>
      <x:c r="J2" s="16" t="n">
        <x:v>0</x:v>
      </x:c>
    </x:row>
    <x:row r="3" ht="32" customHeight="1">
      <x:c r="A3" s="12" t="str">
        <x:v>Capex at the TTM rate</x:v>
      </x:c>
      <x:c r="B3" s="14" t="str">
        <x:v>Oct 2026</x:v>
      </x:c>
      <x:c r="C3" s="37" t="d">
        <x:v>2026-10-31T00:00:00.000Z</x:v>
      </x:c>
      <x:c r="D3" s="13" t="n">
        <x:v>0</x:v>
      </x:c>
      <x:c r="E3" s="13" t="n">
        <x:v>29233587787.38704</x:v>
      </x:c>
      <x:c r="F3" s="13" t="n">
        <x:v>28335275264.34795</x:v>
      </x:c>
      <x:c r="G3" s="15" t="n">
        <x:v>0</x:v>
      </x:c>
      <x:c r="H3" s="13" t="n">
        <x:v>29194281396.461823</x:v>
      </x:c>
      <x:c r="I3" s="13" t="n">
        <x:v>30176725709.829395</x:v>
      </x:c>
      <x:c r="J3" s="16" t="n">
        <x:v>0</x:v>
      </x:c>
    </x:row>
    <x:row r="4" ht="32" customHeight="1">
      <x:c r="A4" s="12" t="str">
        <x:v>Capex at the TTM rate</x:v>
      </x:c>
      <x:c r="B4" s="14" t="str">
        <x:v>Nov 2026</x:v>
      </x:c>
      <x:c r="C4" s="37" t="d">
        <x:v>2026-11-30T00:00:00.000Z</x:v>
      </x:c>
      <x:c r="D4" s="13" t="n">
        <x:v>0</x:v>
      </x:c>
      <x:c r="E4" s="13" t="n">
        <x:v>25904577022.898117</x:v>
      </x:c>
      <x:c r="F4" s="13" t="n">
        <x:v>24557411043.891598</x:v>
      </x:c>
      <x:c r="G4" s="15" t="n">
        <x:v>0</x:v>
      </x:c>
      <x:c r="H4" s="13" t="n">
        <x:v>25843599256.2782</x:v>
      </x:c>
      <x:c r="I4" s="13" t="n">
        <x:v>27321651450.597527</x:v>
      </x:c>
      <x:c r="J4" s="16" t="n">
        <x:v>0</x:v>
      </x:c>
    </x:row>
    <x:row r="5" ht="32" customHeight="1">
      <x:c r="A5" s="12" t="str">
        <x:v>Capex at the TTM rate</x:v>
      </x:c>
      <x:c r="B5" s="14" t="str">
        <x:v>Dec 2026</x:v>
      </x:c>
      <x:c r="C5" s="37" t="d">
        <x:v>2026-12-31T00:00:00.000Z</x:v>
      </x:c>
      <x:c r="D5" s="13" t="n">
        <x:v>140750000</x:v>
      </x:c>
      <x:c r="E5" s="13" t="n">
        <x:v>22434816258.4093</x:v>
      </x:c>
      <x:c r="F5" s="13" t="n">
        <x:v>20638339615.53734</x:v>
      </x:c>
      <x:c r="G5" s="15" t="n">
        <x:v>0</x:v>
      </x:c>
      <x:c r="H5" s="13" t="n">
        <x:v>22353902413.675194</x:v>
      </x:c>
      <x:c r="I5" s="13" t="n">
        <x:v>24321111825.127766</x:v>
      </x:c>
      <x:c r="J5" s="16" t="n">
        <x:v>0</x:v>
      </x:c>
    </x:row>
    <x:row r="6" ht="32" customHeight="1">
      <x:c r="A6" s="12" t="str">
        <x:v>Capex at the TTM rate</x:v>
      </x:c>
      <x:c r="B6" s="14" t="str">
        <x:v>Jan 2027</x:v>
      </x:c>
      <x:c r="C6" s="37" t="d">
        <x:v>2027-01-31T00:00:00.000Z</x:v>
      </x:c>
      <x:c r="D6" s="13" t="n">
        <x:v>0</x:v>
      </x:c>
      <x:c r="E6" s="13" t="n">
        <x:v>19105805493.920483</x:v>
      </x:c>
      <x:c r="F6" s="13" t="n">
        <x:v>16857685631.685734</x:v>
      </x:c>
      <x:c r="G6" s="15" t="n">
        <x:v>0</x:v>
      </x:c>
      <x:c r="H6" s="13" t="n">
        <x:v>19004611346.822044</x:v>
      </x:c>
      <x:c r="I6" s="13" t="n">
        <x:v>21462810064.017548</x:v>
      </x:c>
      <x:c r="J6" s="16" t="n">
        <x:v>0</x:v>
      </x:c>
    </x:row>
    <x:row r="7" ht="32" customHeight="1">
      <x:c r="A7" s="12" t="str">
        <x:v>Capex at the TTM rate</x:v>
      </x:c>
      <x:c r="B7" s="14" t="str">
        <x:v>Feb 2027</x:v>
      </x:c>
      <x:c r="C7" s="37" t="d">
        <x:v>2027-02-28T00:00:00.000Z</x:v>
      </x:c>
      <x:c r="D7" s="13" t="n">
        <x:v>0</x:v>
      </x:c>
      <x:c r="E7" s="13" t="n">
        <x:v>15776794729.431541</x:v>
      </x:c>
      <x:c r="F7" s="13" t="n">
        <x:v>13080761856.38868</x:v>
      </x:c>
      <x:c r="G7" s="15" t="n">
        <x:v>0</x:v>
      </x:c>
      <x:c r="H7" s="13" t="n">
        <x:v>15656523133.862455</x:v>
      </x:c>
      <x:c r="I7" s="13" t="n">
        <x:v>18605572385.110096</x:v>
      </x:c>
      <x:c r="J7" s="16" t="n">
        <x:v>0</x:v>
      </x:c>
    </x:row>
    <x:row r="8" ht="32" customHeight="1">
      <x:c r="A8" s="12" t="str">
        <x:v>Capex at the TTM rate</x:v>
      </x:c>
      <x:c r="B8" s="14" t="str">
        <x:v>Mar 2027</x:v>
      </x:c>
      <x:c r="C8" s="37" t="d">
        <x:v>2027-03-31T00:00:00.000Z</x:v>
      </x:c>
      <x:c r="D8" s="13" t="n">
        <x:v>140750000</x:v>
      </x:c>
      <x:c r="E8" s="13" t="n">
        <x:v>12307033964.942581</x:v>
      </x:c>
      <x:c r="F8" s="13" t="n">
        <x:v>9159300914.392431</x:v>
      </x:c>
      <x:c r="G8" s="15" t="n">
        <x:v>0</x:v>
      </x:c>
      <x:c r="H8" s="13" t="n">
        <x:v>12167852104.10709</x:v>
      </x:c>
      <x:c r="I8" s="13" t="n">
        <x:v>15607989848.146132</x:v>
      </x:c>
      <x:c r="J8" s="16" t="n">
        <x:v>0</x:v>
      </x:c>
    </x:row>
    <x:row r="9" ht="32" customHeight="1">
      <x:c r="A9" s="12" t="str">
        <x:v>Capex at the TTM rate</x:v>
      </x:c>
      <x:c r="B9" s="14" t="str">
        <x:v>Apr 2027</x:v>
      </x:c>
      <x:c r="C9" s="37" t="d">
        <x:v>2027-04-30T00:00:00.000Z</x:v>
      </x:c>
      <x:c r="D9" s="13" t="n">
        <x:v>2250000000</x:v>
      </x:c>
      <x:c r="E9" s="13" t="n">
        <x:v>6728023200.453663</x:v>
      </x:c>
      <x:c r="F9" s="13" t="n">
        <x:v>3130748521.031528</x:v>
      </x:c>
      <x:c r="G9" s="15" t="n">
        <x:v>0</x:v>
      </x:c>
      <x:c r="H9" s="13" t="n">
        <x:v>6566680026.082891</x:v>
      </x:c>
      <x:c r="I9" s="13" t="n">
        <x:v>10500840470.741013</x:v>
      </x:c>
      <x:c r="J9" s="16" t="n">
        <x:v>0</x:v>
      </x:c>
    </x:row>
    <x:row r="10" ht="32" customHeight="1">
      <x:c r="A10" s="12" t="str">
        <x:v>Capex at the TTM rate</x:v>
      </x:c>
      <x:c r="B10" s="14" t="str">
        <x:v>May 2027</x:v>
      </x:c>
      <x:c r="C10" s="37" t="d">
        <x:v>2027-05-31T00:00:00.000Z</x:v>
      </x:c>
      <x:c r="D10" s="13" t="n">
        <x:v>0</x:v>
      </x:c>
      <x:c r="E10" s="13" t="n">
        <x:v>3399012435.964784</x:v>
      </x:c>
      <x:c r="F10" s="13" t="n">
        <x:v>-648782871.5330231</x:v>
      </x:c>
      <x:c r="G10" s="15" t="n">
        <x:v>0.1482</x:v>
      </x:c>
      <x:c r="H10" s="13" t="n">
        <x:v>3218317866.4553847</x:v>
      </x:c>
      <x:c r="I10" s="13" t="n">
        <x:v>7641252295.103267</x:v>
      </x:c>
      <x:c r="J10" s="16" t="n">
        <x:v>0</x:v>
      </x:c>
    </x:row>
    <x:row r="11" ht="32" customHeight="1">
      <x:c r="A11" s="12" t="str">
        <x:v>Capex at the TTM rate</x:v>
      </x:c>
      <x:c r="B11" s="14" t="str">
        <x:v>Jun 2027</x:v>
      </x:c>
      <x:c r="C11" s="37" t="d">
        <x:v>2027-06-30T00:00:00.000Z</x:v>
      </x:c>
      <x:c r="D11" s="13" t="n">
        <x:v>140750000</x:v>
      </x:c>
      <x:c r="E11" s="13" t="n">
        <x:v>-70748328.52413067</x:v>
      </x:c>
      <x:c r="F11" s="13" t="n">
        <x:v>-4567786615.909948</x:v>
      </x:c>
      <x:c r="G11" s="15" t="n">
        <x:v>0.528</x:v>
      </x:c>
      <x:c r="H11" s="13" t="n">
        <x:v>-270777201.481009</x:v>
      </x:c>
      <x:c r="I11" s="13" t="n">
        <x:v>4642180016.194417</x:v>
      </x:c>
      <x:c r="J11" s="16" t="n">
        <x:v>0</x:v>
      </x:c>
    </x:row>
    <x:row r="12" ht="32" customHeight="1">
      <x:c r="A12" s="12" t="str">
        <x:v>Capex at the TTM rate</x:v>
      </x:c>
      <x:c r="B12" s="14" t="str">
        <x:v>Jul 2027</x:v>
      </x:c>
      <x:c r="C12" s="37" t="d">
        <x:v>2027-07-31T00:00:00.000Z</x:v>
      </x:c>
      <x:c r="D12" s="13" t="n">
        <x:v>0</x:v>
      </x:c>
      <x:c r="E12" s="13" t="n">
        <x:v>-3399759093.0130367</x:v>
      </x:c>
      <x:c r="F12" s="13" t="n">
        <x:v>-8346310568.804653</x:v>
      </x:c>
      <x:c r="G12" s="15" t="n">
        <x:v>0.8086</x:v>
      </x:c>
      <x:c r="H12" s="13" t="n">
        <x:v>-3621015061.931224</x:v>
      </x:c>
      <x:c r="I12" s="13" t="n">
        <x:v>1783172385.53767</x:v>
      </x:c>
      <x:c r="J12" s="16" t="n">
        <x:v>0</x:v>
      </x:c>
    </x:row>
    <x:row r="13" ht="32" customHeight="1">
      <x:c r="A13" s="12" t="str">
        <x:v>Capex at the TTM rate</x:v>
      </x:c>
      <x:c r="B13" s="14" t="str">
        <x:v>Aug 2027</x:v>
      </x:c>
      <x:c r="C13" s="37" t="d">
        <x:v>2027-08-31T00:00:00.000Z</x:v>
      </x:c>
      <x:c r="D13" s="13" t="n">
        <x:v>4504000000</x:v>
      </x:c>
      <x:c r="E13" s="13" t="n">
        <x:v>-11232769857.501991</x:v>
      </x:c>
      <x:c r="F13" s="13" t="n">
        <x:v>-16628558782.736282</x:v>
      </x:c>
      <x:c r="G13" s="15" t="n">
        <x:v>0.9948</x:v>
      </x:c>
      <x:c r="H13" s="13" t="n">
        <x:v>-11474076193.260612</x:v>
      </x:c>
      <x:c r="I13" s="13" t="n">
        <x:v>-5579835245.119084</x:v>
      </x:c>
      <x:c r="J13" s="16" t="n">
        <x:v>0</x:v>
      </x:c>
    </x:row>
    <x:row r="14" ht="40" customHeight="1">
      <x:c r="A14" s="12" t="str">
        <x:v>Capex at the TTM rate, revolver assumed usable</x:v>
      </x:c>
      <x:c r="B14" s="14" t="str">
        <x:v>Sep 2026</x:v>
      </x:c>
      <x:c r="C14" s="37" t="d">
        <x:v>2026-09-30T00:00:00.000Z</x:v>
      </x:c>
      <x:c r="D14" s="13" t="n">
        <x:v>140750000</x:v>
      </x:c>
      <x:c r="E14" s="13" t="n">
        <x:v>32562598551.87601</x:v>
      </x:c>
      <x:c r="F14" s="13" t="n">
        <x:v>32111700903.862396</x:v>
      </x:c>
      <x:c r="G14" s="15" t="n">
        <x:v>0</x:v>
      </x:c>
      <x:c r="H14" s="13" t="n">
        <x:v>32543640934.422478</x:v>
      </x:c>
      <x:c r="I14" s="13" t="n">
        <x:v>33032113944.756496</x:v>
      </x:c>
      <x:c r="J14" s="16" t="n">
        <x:v>0</x:v>
      </x:c>
    </x:row>
    <x:row r="15" ht="40" customHeight="1">
      <x:c r="A15" s="12" t="str">
        <x:v>Capex at the TTM rate, revolver assumed usable</x:v>
      </x:c>
      <x:c r="B15" s="14" t="str">
        <x:v>Oct 2026</x:v>
      </x:c>
      <x:c r="C15" s="37" t="d">
        <x:v>2026-10-31T00:00:00.000Z</x:v>
      </x:c>
      <x:c r="D15" s="13" t="n">
        <x:v>0</x:v>
      </x:c>
      <x:c r="E15" s="13" t="n">
        <x:v>29233587787.38704</x:v>
      </x:c>
      <x:c r="F15" s="13" t="n">
        <x:v>28335275264.34795</x:v>
      </x:c>
      <x:c r="G15" s="15" t="n">
        <x:v>0</x:v>
      </x:c>
      <x:c r="H15" s="13" t="n">
        <x:v>29194281396.461823</x:v>
      </x:c>
      <x:c r="I15" s="13" t="n">
        <x:v>30176725709.829395</x:v>
      </x:c>
      <x:c r="J15" s="16" t="n">
        <x:v>0</x:v>
      </x:c>
    </x:row>
    <x:row r="16" ht="40" customHeight="1">
      <x:c r="A16" s="12" t="str">
        <x:v>Capex at the TTM rate, revolver assumed usable</x:v>
      </x:c>
      <x:c r="B16" s="14" t="str">
        <x:v>Nov 2026</x:v>
      </x:c>
      <x:c r="C16" s="37" t="d">
        <x:v>2026-11-30T00:00:00.000Z</x:v>
      </x:c>
      <x:c r="D16" s="13" t="n">
        <x:v>0</x:v>
      </x:c>
      <x:c r="E16" s="13" t="n">
        <x:v>25904577022.898117</x:v>
      </x:c>
      <x:c r="F16" s="13" t="n">
        <x:v>24557411043.891598</x:v>
      </x:c>
      <x:c r="G16" s="15" t="n">
        <x:v>0</x:v>
      </x:c>
      <x:c r="H16" s="13" t="n">
        <x:v>25843599256.2782</x:v>
      </x:c>
      <x:c r="I16" s="13" t="n">
        <x:v>27321651450.597527</x:v>
      </x:c>
      <x:c r="J16" s="16" t="n">
        <x:v>0</x:v>
      </x:c>
    </x:row>
    <x:row r="17" ht="40" customHeight="1">
      <x:c r="A17" s="12" t="str">
        <x:v>Capex at the TTM rate, revolver assumed usable</x:v>
      </x:c>
      <x:c r="B17" s="14" t="str">
        <x:v>Dec 2026</x:v>
      </x:c>
      <x:c r="C17" s="37" t="d">
        <x:v>2026-12-31T00:00:00.000Z</x:v>
      </x:c>
      <x:c r="D17" s="13" t="n">
        <x:v>140750000</x:v>
      </x:c>
      <x:c r="E17" s="13" t="n">
        <x:v>22434816258.4093</x:v>
      </x:c>
      <x:c r="F17" s="13" t="n">
        <x:v>20638339615.53734</x:v>
      </x:c>
      <x:c r="G17" s="15" t="n">
        <x:v>0</x:v>
      </x:c>
      <x:c r="H17" s="13" t="n">
        <x:v>22353902413.675194</x:v>
      </x:c>
      <x:c r="I17" s="13" t="n">
        <x:v>24321111825.127766</x:v>
      </x:c>
      <x:c r="J17" s="16" t="n">
        <x:v>0</x:v>
      </x:c>
    </x:row>
    <x:row r="18" ht="40" customHeight="1">
      <x:c r="A18" s="12" t="str">
        <x:v>Capex at the TTM rate, revolver assumed usable</x:v>
      </x:c>
      <x:c r="B18" s="14" t="str">
        <x:v>Jan 2027</x:v>
      </x:c>
      <x:c r="C18" s="37" t="d">
        <x:v>2027-01-31T00:00:00.000Z</x:v>
      </x:c>
      <x:c r="D18" s="13" t="n">
        <x:v>0</x:v>
      </x:c>
      <x:c r="E18" s="13" t="n">
        <x:v>19105805493.920483</x:v>
      </x:c>
      <x:c r="F18" s="13" t="n">
        <x:v>16857685631.685734</x:v>
      </x:c>
      <x:c r="G18" s="15" t="n">
        <x:v>0</x:v>
      </x:c>
      <x:c r="H18" s="13" t="n">
        <x:v>19004611346.822044</x:v>
      </x:c>
      <x:c r="I18" s="13" t="n">
        <x:v>21462810064.017548</x:v>
      </x:c>
      <x:c r="J18" s="16" t="n">
        <x:v>0</x:v>
      </x:c>
    </x:row>
    <x:row r="19" ht="40" customHeight="1">
      <x:c r="A19" s="12" t="str">
        <x:v>Capex at the TTM rate, revolver assumed usable</x:v>
      </x:c>
      <x:c r="B19" s="14" t="str">
        <x:v>Feb 2027</x:v>
      </x:c>
      <x:c r="C19" s="37" t="d">
        <x:v>2027-02-28T00:00:00.000Z</x:v>
      </x:c>
      <x:c r="D19" s="13" t="n">
        <x:v>0</x:v>
      </x:c>
      <x:c r="E19" s="13" t="n">
        <x:v>15776794729.431541</x:v>
      </x:c>
      <x:c r="F19" s="13" t="n">
        <x:v>13080761856.38868</x:v>
      </x:c>
      <x:c r="G19" s="15" t="n">
        <x:v>0</x:v>
      </x:c>
      <x:c r="H19" s="13" t="n">
        <x:v>15656523133.862455</x:v>
      </x:c>
      <x:c r="I19" s="13" t="n">
        <x:v>18605572385.110096</x:v>
      </x:c>
      <x:c r="J19" s="16" t="n">
        <x:v>0</x:v>
      </x:c>
    </x:row>
    <x:row r="20" ht="40" customHeight="1">
      <x:c r="A20" s="12" t="str">
        <x:v>Capex at the TTM rate, revolver assumed usable</x:v>
      </x:c>
      <x:c r="B20" s="14" t="str">
        <x:v>Mar 2027</x:v>
      </x:c>
      <x:c r="C20" s="37" t="d">
        <x:v>2027-03-31T00:00:00.000Z</x:v>
      </x:c>
      <x:c r="D20" s="13" t="n">
        <x:v>140750000</x:v>
      </x:c>
      <x:c r="E20" s="13" t="n">
        <x:v>12307033964.942581</x:v>
      </x:c>
      <x:c r="F20" s="13" t="n">
        <x:v>9159300914.392431</x:v>
      </x:c>
      <x:c r="G20" s="15" t="n">
        <x:v>0</x:v>
      </x:c>
      <x:c r="H20" s="13" t="n">
        <x:v>12167852104.10709</x:v>
      </x:c>
      <x:c r="I20" s="13" t="n">
        <x:v>15607989848.146132</x:v>
      </x:c>
      <x:c r="J20" s="16" t="n">
        <x:v>0</x:v>
      </x:c>
    </x:row>
    <x:row r="21" ht="40" customHeight="1">
      <x:c r="A21" s="12" t="str">
        <x:v>Capex at the TTM rate, revolver assumed usable</x:v>
      </x:c>
      <x:c r="B21" s="14" t="str">
        <x:v>Apr 2027</x:v>
      </x:c>
      <x:c r="C21" s="37" t="d">
        <x:v>2027-04-30T00:00:00.000Z</x:v>
      </x:c>
      <x:c r="D21" s="13" t="n">
        <x:v>2250000000</x:v>
      </x:c>
      <x:c r="E21" s="13" t="n">
        <x:v>6728023200.453663</x:v>
      </x:c>
      <x:c r="F21" s="13" t="n">
        <x:v>3130748521.031528</x:v>
      </x:c>
      <x:c r="G21" s="15" t="n">
        <x:v>0</x:v>
      </x:c>
      <x:c r="H21" s="13" t="n">
        <x:v>6566680026.082891</x:v>
      </x:c>
      <x:c r="I21" s="13" t="n">
        <x:v>10500840470.741013</x:v>
      </x:c>
      <x:c r="J21" s="16" t="n">
        <x:v>0</x:v>
      </x:c>
    </x:row>
    <x:row r="22" ht="40" customHeight="1">
      <x:c r="A22" s="12" t="str">
        <x:v>Capex at the TTM rate, revolver assumed usable</x:v>
      </x:c>
      <x:c r="B22" s="14" t="str">
        <x:v>May 2027</x:v>
      </x:c>
      <x:c r="C22" s="37" t="d">
        <x:v>2027-05-31T00:00:00.000Z</x:v>
      </x:c>
      <x:c r="D22" s="13" t="n">
        <x:v>0</x:v>
      </x:c>
      <x:c r="E22" s="13" t="n">
        <x:v>3568279161.2004123</x:v>
      </x:c>
      <x:c r="F22" s="13" t="n">
        <x:v>0</x:v>
      </x:c>
      <x:c r="G22" s="15" t="n">
        <x:v>0</x:v>
      </x:c>
      <x:c r="H22" s="13" t="n">
        <x:v>3218317866.4553847</x:v>
      </x:c>
      <x:c r="I22" s="13" t="n">
        <x:v>7641252295.103267</x:v>
      </x:c>
      <x:c r="J22" s="16" t="n">
        <x:v>0</x:v>
      </x:c>
    </x:row>
    <x:row r="23" ht="40" customHeight="1">
      <x:c r="A23" s="12" t="str">
        <x:v>Capex at the TTM rate, revolver assumed usable</x:v>
      </x:c>
      <x:c r="B23" s="14" t="str">
        <x:v>Jun 2027</x:v>
      </x:c>
      <x:c r="C23" s="37" t="d">
        <x:v>2027-06-30T00:00:00.000Z</x:v>
      </x:c>
      <x:c r="D23" s="13" t="n">
        <x:v>140750000</x:v>
      </x:c>
      <x:c r="E23" s="13" t="n">
        <x:v>1382800581.3788772</x:v>
      </x:c>
      <x:c r="F23" s="13" t="n">
        <x:v>0</x:v>
      </x:c>
      <x:c r="G23" s="15" t="n">
        <x:v>0</x:v>
      </x:c>
      <x:c r="H23" s="13" t="n">
        <x:v>0</x:v>
      </x:c>
      <x:c r="I23" s="13" t="n">
        <x:v>4642180016.194417</x:v>
      </x:c>
      <x:c r="J23" s="16" t="n">
        <x:v>0</x:v>
      </x:c>
    </x:row>
    <x:row r="24" ht="40" customHeight="1">
      <x:c r="A24" s="12" t="str">
        <x:v>Capex at the TTM rate, revolver assumed usable</x:v>
      </x:c>
      <x:c r="B24" s="14" t="str">
        <x:v>Jul 2027</x:v>
      </x:c>
      <x:c r="C24" s="37" t="d">
        <x:v>2027-07-31T00:00:00.000Z</x:v>
      </x:c>
      <x:c r="D24" s="13" t="n">
        <x:v>0</x:v>
      </x:c>
      <x:c r="E24" s="13" t="n">
        <x:v>428917542.87158513</x:v>
      </x:c>
      <x:c r="F24" s="13" t="n">
        <x:v>0</x:v>
      </x:c>
      <x:c r="G24" s="15" t="n">
        <x:v>0.0238</x:v>
      </x:c>
      <x:c r="H24" s="13" t="n">
        <x:v>0</x:v>
      </x:c>
      <x:c r="I24" s="13" t="n">
        <x:v>1783172385.53767</x:v>
      </x:c>
      <x:c r="J24" s="16" t="n">
        <x:v>0</x:v>
      </x:c>
    </x:row>
    <x:row r="25" ht="40" customHeight="1">
      <x:c r="A25" s="12" t="str">
        <x:v>Capex at the TTM rate, revolver assumed usable</x:v>
      </x:c>
      <x:c r="B25" s="14" t="str">
        <x:v>Aug 2027</x:v>
      </x:c>
      <x:c r="C25" s="37" t="d">
        <x:v>2027-08-31T00:00:00.000Z</x:v>
      </x:c>
      <x:c r="D25" s="13" t="n">
        <x:v>4504000000</x:v>
      </x:c>
      <x:c r="E25" s="13" t="n">
        <x:v>-2401146269.8532057</x:v>
      </x:c>
      <x:c r="F25" s="13" t="n">
        <x:v>-6628558782.736282</x:v>
      </x:c>
      <x:c r="G25" s="15" t="n">
        <x:v>0.6261</x:v>
      </x:c>
      <x:c r="H25" s="13" t="n">
        <x:v>-1474076193.2606115</x:v>
      </x:c>
      <x:c r="I25" s="13" t="n">
        <x:v>0</x:v>
      </x:c>
      <x:c r="J25" s="16" t="n">
        <x:v>0</x:v>
      </x:c>
    </x:row>
    <x:row r="26" ht="32" customHeight="1">
      <x:c r="A26" s="12" t="str">
        <x:v>Capex at the fiscal 2026 level</x:v>
      </x:c>
      <x:c r="B26" s="14" t="str">
        <x:v>Sep 2026</x:v>
      </x:c>
      <x:c r="C26" s="37" t="d">
        <x:v>2026-09-30T00:00:00.000Z</x:v>
      </x:c>
      <x:c r="D26" s="13" t="n">
        <x:v>140750000</x:v>
      </x:c>
      <x:c r="E26" s="13" t="n">
        <x:v>34229015218.542805</x:v>
      </x:c>
      <x:c r="F26" s="13" t="n">
        <x:v>33778117570.529064</x:v>
      </x:c>
      <x:c r="G26" s="15" t="n">
        <x:v>0</x:v>
      </x:c>
      <x:c r="H26" s="13" t="n">
        <x:v>34210057601.08914</x:v>
      </x:c>
      <x:c r="I26" s="13" t="n">
        <x:v>34698530611.423164</x:v>
      </x:c>
      <x:c r="J26" s="16" t="n">
        <x:v>0</x:v>
      </x:c>
    </x:row>
    <x:row r="27" ht="32" customHeight="1">
      <x:c r="A27" s="12" t="str">
        <x:v>Capex at the fiscal 2026 level</x:v>
      </x:c>
      <x:c r="B27" s="14" t="str">
        <x:v>Oct 2026</x:v>
      </x:c>
      <x:c r="C27" s="37" t="d">
        <x:v>2026-10-31T00:00:00.000Z</x:v>
      </x:c>
      <x:c r="D27" s="13" t="n">
        <x:v>0</x:v>
      </x:c>
      <x:c r="E27" s="13" t="n">
        <x:v>32566421120.7204</x:v>
      </x:c>
      <x:c r="F27" s="13" t="n">
        <x:v>31668108597.681282</x:v>
      </x:c>
      <x:c r="G27" s="15" t="n">
        <x:v>0</x:v>
      </x:c>
      <x:c r="H27" s="13" t="n">
        <x:v>32527114729.79516</x:v>
      </x:c>
      <x:c r="I27" s="13" t="n">
        <x:v>33509559043.162727</x:v>
      </x:c>
      <x:c r="J27" s="16" t="n">
        <x:v>0</x:v>
      </x:c>
    </x:row>
    <x:row r="28" ht="32" customHeight="1">
      <x:c r="A28" s="12" t="str">
        <x:v>Capex at the fiscal 2026 level</x:v>
      </x:c>
      <x:c r="B28" s="14" t="str">
        <x:v>Nov 2026</x:v>
      </x:c>
      <x:c r="C28" s="37" t="d">
        <x:v>2026-11-30T00:00:00.000Z</x:v>
      </x:c>
      <x:c r="D28" s="13" t="n">
        <x:v>0</x:v>
      </x:c>
      <x:c r="E28" s="13" t="n">
        <x:v>30903827022.898182</x:v>
      </x:c>
      <x:c r="F28" s="13" t="n">
        <x:v>29556661043.891598</x:v>
      </x:c>
      <x:c r="G28" s="15" t="n">
        <x:v>0</x:v>
      </x:c>
      <x:c r="H28" s="13" t="n">
        <x:v>30842849256.2782</x:v>
      </x:c>
      <x:c r="I28" s="13" t="n">
        <x:v>32320901450.597527</x:v>
      </x:c>
      <x:c r="J28" s="16" t="n">
        <x:v>0</x:v>
      </x:c>
    </x:row>
    <x:row r="29" ht="32" customHeight="1">
      <x:c r="A29" s="12" t="str">
        <x:v>Capex at the fiscal 2026 level</x:v>
      </x:c>
      <x:c r="B29" s="14" t="str">
        <x:v>Dec 2026</x:v>
      </x:c>
      <x:c r="C29" s="37" t="d">
        <x:v>2026-12-31T00:00:00.000Z</x:v>
      </x:c>
      <x:c r="D29" s="13" t="n">
        <x:v>140750000</x:v>
      </x:c>
      <x:c r="E29" s="13" t="n">
        <x:v>29100482925.076088</x:v>
      </x:c>
      <x:c r="F29" s="13" t="n">
        <x:v>27304006282.204006</x:v>
      </x:c>
      <x:c r="G29" s="15" t="n">
        <x:v>0</x:v>
      </x:c>
      <x:c r="H29" s="13" t="n">
        <x:v>29019569080.341858</x:v>
      </x:c>
      <x:c r="I29" s="13" t="n">
        <x:v>30986778491.79443</x:v>
      </x:c>
      <x:c r="J29" s="16" t="n">
        <x:v>0</x:v>
      </x:c>
    </x:row>
    <x:row r="30" ht="32" customHeight="1">
      <x:c r="A30" s="12" t="str">
        <x:v>Capex at the fiscal 2026 level</x:v>
      </x:c>
      <x:c r="B30" s="14" t="str">
        <x:v>Jan 2027</x:v>
      </x:c>
      <x:c r="C30" s="37" t="d">
        <x:v>2027-01-31T00:00:00.000Z</x:v>
      </x:c>
      <x:c r="D30" s="13" t="n">
        <x:v>0</x:v>
      </x:c>
      <x:c r="E30" s="13" t="n">
        <x:v>27437888827.25369</x:v>
      </x:c>
      <x:c r="F30" s="13" t="n">
        <x:v>25189768965.019062</x:v>
      </x:c>
      <x:c r="G30" s="15" t="n">
        <x:v>0</x:v>
      </x:c>
      <x:c r="H30" s="13" t="n">
        <x:v>27336694680.15538</x:v>
      </x:c>
      <x:c r="I30" s="13" t="n">
        <x:v>29794893397.35088</x:v>
      </x:c>
      <x:c r="J30" s="16" t="n">
        <x:v>0</x:v>
      </x:c>
    </x:row>
    <x:row r="31" ht="32" customHeight="1">
      <x:c r="A31" s="12" t="str">
        <x:v>Capex at the fiscal 2026 level</x:v>
      </x:c>
      <x:c r="B31" s="14" t="str">
        <x:v>Feb 2027</x:v>
      </x:c>
      <x:c r="C31" s="37" t="d">
        <x:v>2027-02-28T00:00:00.000Z</x:v>
      </x:c>
      <x:c r="D31" s="13" t="n">
        <x:v>0</x:v>
      </x:c>
      <x:c r="E31" s="13" t="n">
        <x:v>25775294729.43148</x:v>
      </x:c>
      <x:c r="F31" s="13" t="n">
        <x:v>23079261856.38868</x:v>
      </x:c>
      <x:c r="G31" s="15" t="n">
        <x:v>0</x:v>
      </x:c>
      <x:c r="H31" s="13" t="n">
        <x:v>25655023133.862457</x:v>
      </x:c>
      <x:c r="I31" s="13" t="n">
        <x:v>28604072385.110096</x:v>
      </x:c>
      <x:c r="J31" s="16" t="n">
        <x:v>0</x:v>
      </x:c>
    </x:row>
    <x:row r="32" ht="32" customHeight="1">
      <x:c r="A32" s="12" t="str">
        <x:v>Capex at the fiscal 2026 level</x:v>
      </x:c>
      <x:c r="B32" s="14" t="str">
        <x:v>Mar 2027</x:v>
      </x:c>
      <x:c r="C32" s="37" t="d">
        <x:v>2027-03-31T00:00:00.000Z</x:v>
      </x:c>
      <x:c r="D32" s="13" t="n">
        <x:v>140750000</x:v>
      </x:c>
      <x:c r="E32" s="13" t="n">
        <x:v>23971950631.609257</x:v>
      </x:c>
      <x:c r="F32" s="13" t="n">
        <x:v>20824217581.0591</x:v>
      </x:c>
      <x:c r="G32" s="15" t="n">
        <x:v>0</x:v>
      </x:c>
      <x:c r="H32" s="13" t="n">
        <x:v>23832768770.773758</x:v>
      </x:c>
      <x:c r="I32" s="13" t="n">
        <x:v>27272906514.812794</x:v>
      </x:c>
      <x:c r="J32" s="16" t="n">
        <x:v>0</x:v>
      </x:c>
    </x:row>
    <x:row r="33" ht="32" customHeight="1">
      <x:c r="A33" s="12" t="str">
        <x:v>Capex at the fiscal 2026 level</x:v>
      </x:c>
      <x:c r="B33" s="14" t="str">
        <x:v>Apr 2027</x:v>
      </x:c>
      <x:c r="C33" s="37" t="d">
        <x:v>2027-04-30T00:00:00.000Z</x:v>
      </x:c>
      <x:c r="D33" s="13" t="n">
        <x:v>2250000000</x:v>
      </x:c>
      <x:c r="E33" s="13" t="n">
        <x:v>20059356533.78705</x:v>
      </x:c>
      <x:c r="F33" s="13" t="n">
        <x:v>16462081854.36486</x:v>
      </x:c>
      <x:c r="G33" s="15" t="n">
        <x:v>0</x:v>
      </x:c>
      <x:c r="H33" s="13" t="n">
        <x:v>19898013359.416225</x:v>
      </x:c>
      <x:c r="I33" s="13" t="n">
        <x:v>23832173804.07434</x:v>
      </x:c>
      <x:c r="J33" s="16" t="n">
        <x:v>0</x:v>
      </x:c>
    </x:row>
    <x:row r="34" ht="32" customHeight="1">
      <x:c r="A34" s="12" t="str">
        <x:v>Capex at the fiscal 2026 level</x:v>
      </x:c>
      <x:c r="B34" s="14" t="str">
        <x:v>May 2027</x:v>
      </x:c>
      <x:c r="C34" s="37" t="d">
        <x:v>2027-05-31T00:00:00.000Z</x:v>
      </x:c>
      <x:c r="D34" s="13" t="n">
        <x:v>0</x:v>
      </x:c>
      <x:c r="E34" s="13" t="n">
        <x:v>18396762435.964787</x:v>
      </x:c>
      <x:c r="F34" s="13" t="n">
        <x:v>14348967128.466978</x:v>
      </x:c>
      <x:c r="G34" s="15" t="n">
        <x:v>0</x:v>
      </x:c>
      <x:c r="H34" s="13" t="n">
        <x:v>18216067866.455383</x:v>
      </x:c>
      <x:c r="I34" s="13" t="n">
        <x:v>22639002295.103268</x:v>
      </x:c>
      <x:c r="J34" s="16" t="n">
        <x:v>0</x:v>
      </x:c>
    </x:row>
    <x:row r="35" ht="32" customHeight="1">
      <x:c r="A35" s="12" t="str">
        <x:v>Capex at the fiscal 2026 level</x:v>
      </x:c>
      <x:c r="B35" s="14" t="str">
        <x:v>Jun 2027</x:v>
      </x:c>
      <x:c r="C35" s="37" t="d">
        <x:v>2027-06-30T00:00:00.000Z</x:v>
      </x:c>
      <x:c r="D35" s="13" t="n">
        <x:v>140750000</x:v>
      </x:c>
      <x:c r="E35" s="13" t="n">
        <x:v>16593418338.142479</x:v>
      </x:c>
      <x:c r="F35" s="13" t="n">
        <x:v>12096380050.75672</x:v>
      </x:c>
      <x:c r="G35" s="15" t="n">
        <x:v>0</x:v>
      </x:c>
      <x:c r="H35" s="13" t="n">
        <x:v>16393389465.185658</x:v>
      </x:c>
      <x:c r="I35" s="13" t="n">
        <x:v>21306346682.861084</x:v>
      </x:c>
      <x:c r="J35" s="16" t="n">
        <x:v>0</x:v>
      </x:c>
    </x:row>
    <x:row r="36" ht="32" customHeight="1">
      <x:c r="A36" s="12" t="str">
        <x:v>Capex at the fiscal 2026 level</x:v>
      </x:c>
      <x:c r="B36" s="14" t="str">
        <x:v>Jul 2027</x:v>
      </x:c>
      <x:c r="C36" s="37" t="d">
        <x:v>2027-07-31T00:00:00.000Z</x:v>
      </x:c>
      <x:c r="D36" s="13" t="n">
        <x:v>0</x:v>
      </x:c>
      <x:c r="E36" s="13" t="n">
        <x:v>14930824240.320353</x:v>
      </x:c>
      <x:c r="F36" s="13" t="n">
        <x:v>9984272764.528683</x:v>
      </x:c>
      <x:c r="G36" s="15" t="n">
        <x:v>0</x:v>
      </x:c>
      <x:c r="H36" s="13" t="n">
        <x:v>14709568271.402107</x:v>
      </x:c>
      <x:c r="I36" s="13" t="n">
        <x:v>20113755718.871002</x:v>
      </x:c>
      <x:c r="J36" s="16" t="n">
        <x:v>0</x:v>
      </x:c>
    </x:row>
    <x:row r="37" ht="32" customHeight="1">
      <x:c r="A37" s="12" t="str">
        <x:v>Capex at the fiscal 2026 level</x:v>
      </x:c>
      <x:c r="B37" s="14" t="str">
        <x:v>Aug 2027</x:v>
      </x:c>
      <x:c r="C37" s="37" t="d">
        <x:v>2027-08-31T00:00:00.000Z</x:v>
      </x:c>
      <x:c r="D37" s="13" t="n">
        <x:v>4504000000</x:v>
      </x:c>
      <x:c r="E37" s="13" t="n">
        <x:v>8764230142.498016</x:v>
      </x:c>
      <x:c r="F37" s="13" t="n">
        <x:v>3368441217.263717</x:v>
      </x:c>
      <x:c r="G37" s="15" t="n">
        <x:v>0.0023</x:v>
      </x:c>
      <x:c r="H37" s="13" t="n">
        <x:v>8522923806.739389</x:v>
      </x:c>
      <x:c r="I37" s="13" t="n">
        <x:v>14417164754.880917</x:v>
      </x:c>
      <x:c r="J37" s="16" t="n">
        <x:v>0</x:v>
      </x:c>
    </x:row>
    <x:row r="38" ht="40" customHeight="1">
      <x:c r="A38" s="12" t="str">
        <x:v>Capex at the fiscal 2026 level, revolver assumed usable</x:v>
      </x:c>
      <x:c r="B38" s="14" t="str">
        <x:v>Sep 2026</x:v>
      </x:c>
      <x:c r="C38" s="37" t="d">
        <x:v>2026-09-30T00:00:00.000Z</x:v>
      </x:c>
      <x:c r="D38" s="13" t="n">
        <x:v>140750000</x:v>
      </x:c>
      <x:c r="E38" s="13" t="n">
        <x:v>34229015218.542805</x:v>
      </x:c>
      <x:c r="F38" s="13" t="n">
        <x:v>33778117570.529064</x:v>
      </x:c>
      <x:c r="G38" s="15" t="n">
        <x:v>0</x:v>
      </x:c>
      <x:c r="H38" s="13" t="n">
        <x:v>34210057601.08914</x:v>
      </x:c>
      <x:c r="I38" s="13" t="n">
        <x:v>34698530611.423164</x:v>
      </x:c>
      <x:c r="J38" s="16" t="n">
        <x:v>0</x:v>
      </x:c>
    </x:row>
    <x:row r="39" ht="40" customHeight="1">
      <x:c r="A39" s="12" t="str">
        <x:v>Capex at the fiscal 2026 level, revolver assumed usable</x:v>
      </x:c>
      <x:c r="B39" s="14" t="str">
        <x:v>Oct 2026</x:v>
      </x:c>
      <x:c r="C39" s="37" t="d">
        <x:v>2026-10-31T00:00:00.000Z</x:v>
      </x:c>
      <x:c r="D39" s="13" t="n">
        <x:v>0</x:v>
      </x:c>
      <x:c r="E39" s="13" t="n">
        <x:v>32566421120.7204</x:v>
      </x:c>
      <x:c r="F39" s="13" t="n">
        <x:v>31668108597.681282</x:v>
      </x:c>
      <x:c r="G39" s="15" t="n">
        <x:v>0</x:v>
      </x:c>
      <x:c r="H39" s="13" t="n">
        <x:v>32527114729.79516</x:v>
      </x:c>
      <x:c r="I39" s="13" t="n">
        <x:v>33509559043.162727</x:v>
      </x:c>
      <x:c r="J39" s="16" t="n">
        <x:v>0</x:v>
      </x:c>
    </x:row>
    <x:row r="40" ht="40" customHeight="1">
      <x:c r="A40" s="12" t="str">
        <x:v>Capex at the fiscal 2026 level, revolver assumed usable</x:v>
      </x:c>
      <x:c r="B40" s="14" t="str">
        <x:v>Nov 2026</x:v>
      </x:c>
      <x:c r="C40" s="37" t="d">
        <x:v>2026-11-30T00:00:00.000Z</x:v>
      </x:c>
      <x:c r="D40" s="13" t="n">
        <x:v>0</x:v>
      </x:c>
      <x:c r="E40" s="13" t="n">
        <x:v>30903827022.898182</x:v>
      </x:c>
      <x:c r="F40" s="13" t="n">
        <x:v>29556661043.891598</x:v>
      </x:c>
      <x:c r="G40" s="15" t="n">
        <x:v>0</x:v>
      </x:c>
      <x:c r="H40" s="13" t="n">
        <x:v>30842849256.2782</x:v>
      </x:c>
      <x:c r="I40" s="13" t="n">
        <x:v>32320901450.597527</x:v>
      </x:c>
      <x:c r="J40" s="16" t="n">
        <x:v>0</x:v>
      </x:c>
    </x:row>
    <x:row r="41" ht="40" customHeight="1">
      <x:c r="A41" s="12" t="str">
        <x:v>Capex at the fiscal 2026 level, revolver assumed usable</x:v>
      </x:c>
      <x:c r="B41" s="14" t="str">
        <x:v>Dec 2026</x:v>
      </x:c>
      <x:c r="C41" s="37" t="d">
        <x:v>2026-12-31T00:00:00.000Z</x:v>
      </x:c>
      <x:c r="D41" s="13" t="n">
        <x:v>140750000</x:v>
      </x:c>
      <x:c r="E41" s="13" t="n">
        <x:v>29100482925.076088</x:v>
      </x:c>
      <x:c r="F41" s="13" t="n">
        <x:v>27304006282.204006</x:v>
      </x:c>
      <x:c r="G41" s="15" t="n">
        <x:v>0</x:v>
      </x:c>
      <x:c r="H41" s="13" t="n">
        <x:v>29019569080.341858</x:v>
      </x:c>
      <x:c r="I41" s="13" t="n">
        <x:v>30986778491.79443</x:v>
      </x:c>
      <x:c r="J41" s="16" t="n">
        <x:v>0</x:v>
      </x:c>
    </x:row>
    <x:row r="42" ht="40" customHeight="1">
      <x:c r="A42" s="12" t="str">
        <x:v>Capex at the fiscal 2026 level, revolver assumed usable</x:v>
      </x:c>
      <x:c r="B42" s="14" t="str">
        <x:v>Jan 2027</x:v>
      </x:c>
      <x:c r="C42" s="37" t="d">
        <x:v>2027-01-31T00:00:00.000Z</x:v>
      </x:c>
      <x:c r="D42" s="13" t="n">
        <x:v>0</x:v>
      </x:c>
      <x:c r="E42" s="13" t="n">
        <x:v>27437888827.25369</x:v>
      </x:c>
      <x:c r="F42" s="13" t="n">
        <x:v>25189768965.019062</x:v>
      </x:c>
      <x:c r="G42" s="15" t="n">
        <x:v>0</x:v>
      </x:c>
      <x:c r="H42" s="13" t="n">
        <x:v>27336694680.15538</x:v>
      </x:c>
      <x:c r="I42" s="13" t="n">
        <x:v>29794893397.35088</x:v>
      </x:c>
      <x:c r="J42" s="16" t="n">
        <x:v>0</x:v>
      </x:c>
    </x:row>
    <x:row r="43" ht="40" customHeight="1">
      <x:c r="A43" s="12" t="str">
        <x:v>Capex at the fiscal 2026 level, revolver assumed usable</x:v>
      </x:c>
      <x:c r="B43" s="14" t="str">
        <x:v>Feb 2027</x:v>
      </x:c>
      <x:c r="C43" s="37" t="d">
        <x:v>2027-02-28T00:00:00.000Z</x:v>
      </x:c>
      <x:c r="D43" s="13" t="n">
        <x:v>0</x:v>
      </x:c>
      <x:c r="E43" s="13" t="n">
        <x:v>25775294729.43148</x:v>
      </x:c>
      <x:c r="F43" s="13" t="n">
        <x:v>23079261856.38868</x:v>
      </x:c>
      <x:c r="G43" s="15" t="n">
        <x:v>0</x:v>
      </x:c>
      <x:c r="H43" s="13" t="n">
        <x:v>25655023133.862457</x:v>
      </x:c>
      <x:c r="I43" s="13" t="n">
        <x:v>28604072385.110096</x:v>
      </x:c>
      <x:c r="J43" s="16" t="n">
        <x:v>0</x:v>
      </x:c>
    </x:row>
    <x:row r="44" ht="40" customHeight="1">
      <x:c r="A44" s="12" t="str">
        <x:v>Capex at the fiscal 2026 level, revolver assumed usable</x:v>
      </x:c>
      <x:c r="B44" s="14" t="str">
        <x:v>Mar 2027</x:v>
      </x:c>
      <x:c r="C44" s="37" t="d">
        <x:v>2027-03-31T00:00:00.000Z</x:v>
      </x:c>
      <x:c r="D44" s="13" t="n">
        <x:v>140750000</x:v>
      </x:c>
      <x:c r="E44" s="13" t="n">
        <x:v>23971950631.609257</x:v>
      </x:c>
      <x:c r="F44" s="13" t="n">
        <x:v>20824217581.0591</x:v>
      </x:c>
      <x:c r="G44" s="15" t="n">
        <x:v>0</x:v>
      </x:c>
      <x:c r="H44" s="13" t="n">
        <x:v>23832768770.773758</x:v>
      </x:c>
      <x:c r="I44" s="13" t="n">
        <x:v>27272906514.812794</x:v>
      </x:c>
      <x:c r="J44" s="16" t="n">
        <x:v>0</x:v>
      </x:c>
    </x:row>
    <x:row r="45" ht="40" customHeight="1">
      <x:c r="A45" s="12" t="str">
        <x:v>Capex at the fiscal 2026 level, revolver assumed usable</x:v>
      </x:c>
      <x:c r="B45" s="14" t="str">
        <x:v>Apr 2027</x:v>
      </x:c>
      <x:c r="C45" s="37" t="d">
        <x:v>2027-04-30T00:00:00.000Z</x:v>
      </x:c>
      <x:c r="D45" s="13" t="n">
        <x:v>2250000000</x:v>
      </x:c>
      <x:c r="E45" s="13" t="n">
        <x:v>20059356533.78705</x:v>
      </x:c>
      <x:c r="F45" s="13" t="n">
        <x:v>16462081854.36486</x:v>
      </x:c>
      <x:c r="G45" s="15" t="n">
        <x:v>0</x:v>
      </x:c>
      <x:c r="H45" s="13" t="n">
        <x:v>19898013359.416225</x:v>
      </x:c>
      <x:c r="I45" s="13" t="n">
        <x:v>23832173804.07434</x:v>
      </x:c>
      <x:c r="J45" s="16" t="n">
        <x:v>0</x:v>
      </x:c>
    </x:row>
    <x:row r="46" ht="40" customHeight="1">
      <x:c r="A46" s="12" t="str">
        <x:v>Capex at the fiscal 2026 level, revolver assumed usable</x:v>
      </x:c>
      <x:c r="B46" s="14" t="str">
        <x:v>May 2027</x:v>
      </x:c>
      <x:c r="C46" s="37" t="d">
        <x:v>2027-05-31T00:00:00.000Z</x:v>
      </x:c>
      <x:c r="D46" s="13" t="n">
        <x:v>0</x:v>
      </x:c>
      <x:c r="E46" s="13" t="n">
        <x:v>18396762435.964787</x:v>
      </x:c>
      <x:c r="F46" s="13" t="n">
        <x:v>14348967128.466978</x:v>
      </x:c>
      <x:c r="G46" s="15" t="n">
        <x:v>0</x:v>
      </x:c>
      <x:c r="H46" s="13" t="n">
        <x:v>18216067866.455383</x:v>
      </x:c>
      <x:c r="I46" s="13" t="n">
        <x:v>22639002295.103268</x:v>
      </x:c>
      <x:c r="J46" s="16" t="n">
        <x:v>0</x:v>
      </x:c>
    </x:row>
    <x:row r="47" ht="40" customHeight="1">
      <x:c r="A47" s="12" t="str">
        <x:v>Capex at the fiscal 2026 level, revolver assumed usable</x:v>
      </x:c>
      <x:c r="B47" s="14" t="str">
        <x:v>Jun 2027</x:v>
      </x:c>
      <x:c r="C47" s="37" t="d">
        <x:v>2027-06-30T00:00:00.000Z</x:v>
      </x:c>
      <x:c r="D47" s="13" t="n">
        <x:v>140750000</x:v>
      </x:c>
      <x:c r="E47" s="13" t="n">
        <x:v>16593418338.142479</x:v>
      </x:c>
      <x:c r="F47" s="13" t="n">
        <x:v>12096380050.75672</x:v>
      </x:c>
      <x:c r="G47" s="15" t="n">
        <x:v>0</x:v>
      </x:c>
      <x:c r="H47" s="13" t="n">
        <x:v>16393389465.185658</x:v>
      </x:c>
      <x:c r="I47" s="13" t="n">
        <x:v>21306346682.861084</x:v>
      </x:c>
      <x:c r="J47" s="16" t="n">
        <x:v>0</x:v>
      </x:c>
    </x:row>
    <x:row r="48" ht="40" customHeight="1">
      <x:c r="A48" s="12" t="str">
        <x:v>Capex at the fiscal 2026 level, revolver assumed usable</x:v>
      </x:c>
      <x:c r="B48" s="14" t="str">
        <x:v>Jul 2027</x:v>
      </x:c>
      <x:c r="C48" s="37" t="d">
        <x:v>2027-07-31T00:00:00.000Z</x:v>
      </x:c>
      <x:c r="D48" s="13" t="n">
        <x:v>0</x:v>
      </x:c>
      <x:c r="E48" s="13" t="n">
        <x:v>14930824240.320353</x:v>
      </x:c>
      <x:c r="F48" s="13" t="n">
        <x:v>9984272764.528683</x:v>
      </x:c>
      <x:c r="G48" s="15" t="n">
        <x:v>0</x:v>
      </x:c>
      <x:c r="H48" s="13" t="n">
        <x:v>14709568271.402107</x:v>
      </x:c>
      <x:c r="I48" s="13" t="n">
        <x:v>20113755718.871002</x:v>
      </x:c>
      <x:c r="J48" s="16" t="n">
        <x:v>0</x:v>
      </x:c>
    </x:row>
    <x:row r="49" ht="40" customHeight="1">
      <x:c r="A49" s="17" t="str">
        <x:v>Capex at the fiscal 2026 level, revolver assumed usable</x:v>
      </x:c>
      <x:c r="B49" s="19" t="str">
        <x:v>Aug 2027</x:v>
      </x:c>
      <x:c r="C49" s="38" t="d">
        <x:v>2027-08-31T00:00:00.000Z</x:v>
      </x:c>
      <x:c r="D49" s="18" t="n">
        <x:v>4504000000</x:v>
      </x:c>
      <x:c r="E49" s="18" t="n">
        <x:v>8764921569.944555</x:v>
      </x:c>
      <x:c r="F49" s="18" t="n">
        <x:v>3368441217.263717</x:v>
      </x:c>
      <x:c r="G49" s="20" t="n">
        <x:v>0</x:v>
      </x:c>
      <x:c r="H49" s="18" t="n">
        <x:v>8522923806.739389</x:v>
      </x:c>
      <x:c r="I49" s="18" t="n">
        <x:v>14417164754.880917</x:v>
      </x:c>
      <x:c r="J49" s="21" t="n">
        <x:v>0</x:v>
      </x:c>
    </x:row>
  </x:sheetData>
  <x:pageMargins left="0.7" right="0.7" top="0.75" bottom="0.75" header="0.3" footer="0.3"/>
  <x:drawing xmlns:r="http://schemas.openxmlformats.org/officeDocument/2006/relationships" r:id="R6d670b316b6b48a8"/>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6" hidden="0" customWidth="1"/>
    <x:col min="3" max="3" width="26" hidden="0" customWidth="1"/>
    <x:col min="4" max="4" width="28" hidden="0" customWidth="1"/>
    <x:col min="5" max="5" width="28" hidden="0" customWidth="1"/>
    <x:col min="6" max="6" width="28" hidden="0" customWidth="1"/>
    <x:col min="7" max="7" width="30" hidden="0" customWidth="1"/>
  </x:cols>
  <x:sheetData>
    <x:row r="1" ht="40" customHeight="1">
      <x:c r="A1" s="31" t="str">
        <x:v>Decision</x:v>
      </x:c>
      <x:c r="B1" s="32" t="str">
        <x:v>Correlation setting</x:v>
      </x:c>
      <x:c r="C1" s="32" t="str">
        <x:v>Realized correlation</x:v>
      </x:c>
      <x:c r="D1" s="32" t="str">
        <x:v>Mean ending cash (USD, displayed in millions)</x:v>
      </x:c>
      <x:c r="E1" s="32" t="str">
        <x:v>Std dev (USD, displayed in millions)</x:v>
      </x:c>
      <x:c r="F1" s="32" t="str">
        <x:v>10th percentile (USD, displayed in millions)</x:v>
      </x:c>
      <x:c r="G1" s="33" t="str">
        <x:v>Share of trials below zero</x:v>
      </x:c>
    </x:row>
    <x:row r="2" ht="32" customHeight="1">
      <x:c r="A2" s="12" t="str">
        <x:v>Capex at the TTM rate</x:v>
      </x:c>
      <x:c r="B2" s="43" t="n">
        <x:v>-0.5</x:v>
      </x:c>
      <x:c r="C2" s="44" t="n">
        <x:v>-0.48030021700830977</x:v>
      </x:c>
      <x:c r="D2" s="13" t="n">
        <x:v>-11230946127.97904</x:v>
      </x:c>
      <x:c r="E2" s="13" t="n">
        <x:v>3045694968.1910486</x:v>
      </x:c>
      <x:c r="F2" s="13" t="n">
        <x:v>-15214417055.044647</x:v>
      </x:c>
      <x:c r="G2" s="34" t="n">
        <x:v>0.9996</x:v>
      </x:c>
    </x:row>
    <x:row r="3" ht="32" customHeight="1">
      <x:c r="A3" s="12" t="str">
        <x:v>Capex at the TTM rate</x:v>
      </x:c>
      <x:c r="B3" s="43" t="n">
        <x:v>0</x:v>
      </x:c>
      <x:c r="C3" s="44" t="n">
        <x:v>-0.007375880129609728</x:v>
      </x:c>
      <x:c r="D3" s="13" t="n">
        <x:v>-11232769857.50195</x:v>
      </x:c>
      <x:c r="E3" s="13" t="n">
        <x:v>4172297711.8683176</x:v>
      </x:c>
      <x:c r="F3" s="13" t="n">
        <x:v>-16628558782.73629</x:v>
      </x:c>
      <x:c r="G3" s="34" t="n">
        <x:v>0.9948</x:v>
      </x:c>
    </x:row>
    <x:row r="4" ht="32" customHeight="1">
      <x:c r="A4" s="17" t="str">
        <x:v>Capex at the TTM rate</x:v>
      </x:c>
      <x:c r="B4" s="45" t="n">
        <x:v>0.5</x:v>
      </x:c>
      <x:c r="C4" s="46" t="n">
        <x:v>0.4822359911026247</x:v>
      </x:c>
      <x:c r="D4" s="18" t="n">
        <x:v>-11232038761.020119</x:v>
      </x:c>
      <x:c r="E4" s="18" t="n">
        <x:v>5075461308.558839</x:v>
      </x:c>
      <x:c r="F4" s="18" t="n">
        <x:v>-17565248119.465816</x:v>
      </x:c>
      <x:c r="G4" s="35" t="n">
        <x:v>0.9811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56" hidden="0" customWidth="1"/>
    <x:col min="3" max="3" width="28" hidden="0" customWidth="1"/>
    <x:col min="4" max="4" width="30" hidden="0" customWidth="1"/>
    <x:col min="5" max="5" width="29" hidden="0" customWidth="1"/>
    <x:col min="6" max="6" width="30" hidden="0" customWidth="1"/>
    <x:col min="7" max="7" width="35" hidden="0" customWidth="1"/>
  </x:cols>
  <x:sheetData>
    <x:row r="1" ht="54" customHeight="1">
      <x:c r="A1" s="31" t="str">
        <x:v>Decision</x:v>
      </x:c>
      <x:c r="B1" s="32" t="str">
        <x:v>Scenario</x:v>
      </x:c>
      <x:c r="C1" s="32" t="str">
        <x:v>Sensitivity amount (USD, displayed in millions)</x:v>
      </x:c>
      <x:c r="D1" s="32" t="str">
        <x:v>Mean ending cash (USD, displayed in millions)</x:v>
      </x:c>
      <x:c r="E1" s="32" t="str">
        <x:v>10th percentile (USD, displayed in millions)</x:v>
      </x:c>
      <x:c r="F1" s="32" t="str">
        <x:v>Share of trials below zero</x:v>
      </x:c>
      <x:c r="G1" s="33" t="str">
        <x:v>Average shortfall in trials below zero (USD, displayed in millions)</x:v>
      </x:c>
    </x:row>
    <x:row r="2" ht="32" customHeight="1">
      <x:c r="A2" s="12" t="str">
        <x:v>Capex at the TTM rate</x:v>
      </x:c>
      <x:c r="B2" s="14" t="str">
        <x:v>Base model</x:v>
      </x:c>
      <x:c r="C2" s="13" t="n">
        <x:v>0</x:v>
      </x:c>
      <x:c r="D2" s="13" t="n">
        <x:v>-11232769857.50195</x:v>
      </x:c>
      <x:c r="E2" s="13" t="n">
        <x:v>-16628558782.73629</x:v>
      </x:c>
      <x:c r="F2" s="15" t="n">
        <x:v>0.9948</x:v>
      </x:c>
      <x:c r="G2" s="16" t="n">
        <x:v>11297149882.895933</x:v>
      </x:c>
    </x:row>
    <x:row r="3" ht="32" customHeight="1">
      <x:c r="A3" s="12" t="str">
        <x:v>Capex at the TTM rate</x:v>
      </x:c>
      <x:c r="B3" s="14" t="str">
        <x:v>Finance-lease payments (principal proxy)</x:v>
      </x:c>
      <x:c r="C3" s="13" t="n">
        <x:v>620000000</x:v>
      </x:c>
      <x:c r="D3" s="13" t="n">
        <x:v>-11852769857.50195</x:v>
      </x:c>
      <x:c r="E3" s="13" t="n">
        <x:v>-17248558782.736286</x:v>
      </x:c>
      <x:c r="F3" s="15" t="n">
        <x:v>0.9969</x:v>
      </x:c>
      <x:c r="G3" s="16" t="n">
        <x:v>11892786553.131617</x:v>
      </x:c>
    </x:row>
    <x:row r="4" ht="40" customHeight="1">
      <x:c r="A4" s="12" t="str">
        <x:v>Capex at the TTM rate</x:v>
      </x:c>
      <x:c r="B4" s="14" t="str">
        <x:v>Short-term capex financing (cumulative proceeds proxy)</x:v>
      </x:c>
      <x:c r="C4" s="13" t="n">
        <x:v>3937000000</x:v>
      </x:c>
      <x:c r="D4" s="13" t="n">
        <x:v>-15169769857.50195</x:v>
      </x:c>
      <x:c r="E4" s="13" t="n">
        <x:v>-20565558782.736286</x:v>
      </x:c>
      <x:c r="F4" s="15" t="n">
        <x:v>1</x:v>
      </x:c>
      <x:c r="G4" s="16" t="n">
        <x:v>15169769857.50195</x:v>
      </x:c>
    </x:row>
    <x:row r="5" ht="32" customHeight="1">
      <x:c r="A5" s="12" t="str">
        <x:v>Capex at the TTM rate</x:v>
      </x:c>
      <x:c r="B5" s="14" t="str">
        <x:v>Purchase and other obligations</x:v>
      </x:c>
      <x:c r="C5" s="13" t="n">
        <x:v>5449000000</x:v>
      </x:c>
      <x:c r="D5" s="13" t="n">
        <x:v>-16681769857.50195</x:v>
      </x:c>
      <x:c r="E5" s="13" t="n">
        <x:v>-22077558782.736286</x:v>
      </x:c>
      <x:c r="F5" s="15" t="n">
        <x:v>1</x:v>
      </x:c>
      <x:c r="G5" s="16" t="n">
        <x:v>16681769857.50195</x:v>
      </x:c>
    </x:row>
    <x:row r="6" ht="32" customHeight="1">
      <x:c r="A6" s="12" t="str">
        <x:v>Capex at the TTM rate</x:v>
      </x:c>
      <x:c r="B6" s="14" t="str">
        <x:v>All three together (may overlap)</x:v>
      </x:c>
      <x:c r="C6" s="13" t="n">
        <x:v>10006000000</x:v>
      </x:c>
      <x:c r="D6" s="13" t="n">
        <x:v>-21238769857.50195</x:v>
      </x:c>
      <x:c r="E6" s="13" t="n">
        <x:v>-26634558782.736286</x:v>
      </x:c>
      <x:c r="F6" s="15" t="n">
        <x:v>1</x:v>
      </x:c>
      <x:c r="G6" s="16" t="n">
        <x:v>21238769857.50195</x:v>
      </x:c>
    </x:row>
    <x:row r="7" ht="40" customHeight="1">
      <x:c r="A7" s="12" t="str">
        <x:v>Capex at the TTM rate, revolver assumed usable</x:v>
      </x:c>
      <x:c r="B7" s="14" t="str">
        <x:v>Base model</x:v>
      </x:c>
      <x:c r="C7" s="13" t="n">
        <x:v>0</x:v>
      </x:c>
      <x:c r="D7" s="13" t="n">
        <x:v>-2401146269.8532047</x:v>
      </x:c>
      <x:c r="E7" s="13" t="n">
        <x:v>-6628558782.73629</x:v>
      </x:c>
      <x:c r="F7" s="15" t="n">
        <x:v>0.6261</x:v>
      </x:c>
      <x:c r="G7" s="16" t="n">
        <x:v>3844084197.182765</x:v>
      </x:c>
    </x:row>
    <x:row r="8" ht="40" customHeight="1">
      <x:c r="A8" s="12" t="str">
        <x:v>Capex at the TTM rate, revolver assumed usable</x:v>
      </x:c>
      <x:c r="B8" s="14" t="str">
        <x:v>Finance-lease payments (principal proxy)</x:v>
      </x:c>
      <x:c r="C8" s="13" t="n">
        <x:v>620000000</x:v>
      </x:c>
      <x:c r="D8" s="13" t="n">
        <x:v>-2807269289.0938063</x:v>
      </x:c>
      <x:c r="E8" s="13" t="n">
        <x:v>-7248558782.736288</x:v>
      </x:c>
      <x:c r="F8" s="15" t="n">
        <x:v>0.6765</x:v>
      </x:c>
      <x:c r="G8" s="16" t="n">
        <x:v>4154350844.654491</x:v>
      </x:c>
    </x:row>
    <x:row r="9" ht="40" customHeight="1">
      <x:c r="A9" s="12" t="str">
        <x:v>Capex at the TTM rate, revolver assumed usable</x:v>
      </x:c>
      <x:c r="B9" s="14" t="str">
        <x:v>Short-term capex financing (cumulative proceeds proxy)</x:v>
      </x:c>
      <x:c r="C9" s="13" t="n">
        <x:v>3937000000</x:v>
      </x:c>
      <x:c r="D9" s="13" t="n">
        <x:v>-5430911849.173549</x:v>
      </x:c>
      <x:c r="E9" s="13" t="n">
        <x:v>-10565558782.736288</x:v>
      </x:c>
      <x:c r="F9" s="15" t="n">
        <x:v>0.8814</x:v>
      </x:c>
      <x:c r="G9" s="16" t="n">
        <x:v>6161688052.159687</x:v>
      </x:c>
    </x:row>
    <x:row r="10" ht="40" customHeight="1">
      <x:c r="A10" s="12" t="str">
        <x:v>Capex at the TTM rate, revolver assumed usable</x:v>
      </x:c>
      <x:c r="B10" s="14" t="str">
        <x:v>Purchase and other obligations</x:v>
      </x:c>
      <x:c r="C10" s="13" t="n">
        <x:v>5449000000</x:v>
      </x:c>
      <x:c r="D10" s="13" t="n">
        <x:v>-6806973017.63435</x:v>
      </x:c>
      <x:c r="E10" s="13" t="n">
        <x:v>-12077558782.736288</x:v>
      </x:c>
      <x:c r="F10" s="15" t="n">
        <x:v>0.9358</x:v>
      </x:c>
      <x:c r="G10" s="16" t="n">
        <x:v>7273961335.364768</x:v>
      </x:c>
    </x:row>
    <x:row r="11" ht="40" customHeight="1">
      <x:c r="A11" s="12" t="str">
        <x:v>Capex at the TTM rate, revolver assumed usable</x:v>
      </x:c>
      <x:c r="B11" s="14" t="str">
        <x:v>All three together (may overlap)</x:v>
      </x:c>
      <x:c r="C11" s="13" t="n">
        <x:v>10006000000</x:v>
      </x:c>
      <x:c r="D11" s="13" t="n">
        <x:v>-11244373503.504875</x:v>
      </x:c>
      <x:c r="E11" s="13" t="n">
        <x:v>-16634558782.736288</x:v>
      </x:c>
      <x:c r="F11" s="15" t="n">
        <x:v>0.9948</x:v>
      </x:c>
      <x:c r="G11" s="16" t="n">
        <x:v>11303149882.895933</x:v>
      </x:c>
    </x:row>
    <x:row r="12" ht="32" customHeight="1">
      <x:c r="A12" s="12" t="str">
        <x:v>Capex at the fiscal 2026 level</x:v>
      </x:c>
      <x:c r="B12" s="14" t="str">
        <x:v>Base model</x:v>
      </x:c>
      <x:c r="C12" s="13" t="n">
        <x:v>0</x:v>
      </x:c>
      <x:c r="D12" s="13" t="n">
        <x:v>8764230142.49805</x:v>
      </x:c>
      <x:c r="E12" s="13" t="n">
        <x:v>3368441217.2637105</x:v>
      </x:c>
      <x:c r="F12" s="15" t="n">
        <x:v>0.0023</x:v>
      </x:c>
      <x:c r="G12" s="16" t="n">
        <x:v>300620628.9294267</x:v>
      </x:c>
    </x:row>
    <x:row r="13" ht="32" customHeight="1">
      <x:c r="A13" s="12" t="str">
        <x:v>Capex at the fiscal 2026 level</x:v>
      </x:c>
      <x:c r="B13" s="14" t="str">
        <x:v>Finance-lease payments (principal proxy)</x:v>
      </x:c>
      <x:c r="C13" s="13" t="n">
        <x:v>620000000</x:v>
      </x:c>
      <x:c r="D13" s="13" t="n">
        <x:v>8144230142.49805</x:v>
      </x:c>
      <x:c r="E13" s="13" t="n">
        <x:v>2748441217.2637105</x:v>
      </x:c>
      <x:c r="F13" s="15" t="n">
        <x:v>0.0069</x:v>
      </x:c>
      <x:c r="G13" s="16" t="n">
        <x:v>466411820.5992042</x:v>
      </x:c>
    </x:row>
    <x:row r="14" ht="40" customHeight="1">
      <x:c r="A14" s="12" t="str">
        <x:v>Capex at the fiscal 2026 level</x:v>
      </x:c>
      <x:c r="B14" s="14" t="str">
        <x:v>Short-term capex financing (cumulative proceeds proxy)</x:v>
      </x:c>
      <x:c r="C14" s="13" t="n">
        <x:v>3937000000</x:v>
      </x:c>
      <x:c r="D14" s="13" t="n">
        <x:v>4827230142.49805</x:v>
      </x:c>
      <x:c r="E14" s="13" t="n">
        <x:v>-568558782.7362896</x:v>
      </x:c>
      <x:c r="F14" s="15" t="n">
        <x:v>0.1301</x:v>
      </x:c>
      <x:c r="G14" s="16" t="n">
        <x:v>1418935070.8839114</x:v>
      </x:c>
    </x:row>
    <x:row r="15" ht="32" customHeight="1">
      <x:c r="A15" s="12" t="str">
        <x:v>Capex at the fiscal 2026 level</x:v>
      </x:c>
      <x:c r="B15" s="14" t="str">
        <x:v>Purchase and other obligations</x:v>
      </x:c>
      <x:c r="C15" s="13" t="n">
        <x:v>5449000000</x:v>
      </x:c>
      <x:c r="D15" s="13" t="n">
        <x:v>3315230142.4980497</x:v>
      </x:c>
      <x:c r="E15" s="13" t="n">
        <x:v>-2080558782.7362897</x:v>
      </x:c>
      <x:c r="F15" s="15" t="n">
        <x:v>0.2338</x:v>
      </x:c>
      <x:c r="G15" s="16" t="n">
        <x:v>1950416663.868332</x:v>
      </x:c>
    </x:row>
    <x:row r="16" ht="32" customHeight="1">
      <x:c r="A16" s="12" t="str">
        <x:v>Capex at the fiscal 2026 level</x:v>
      </x:c>
      <x:c r="B16" s="14" t="str">
        <x:v>All three together (may overlap)</x:v>
      </x:c>
      <x:c r="C16" s="13" t="n">
        <x:v>10006000000</x:v>
      </x:c>
      <x:c r="D16" s="13" t="n">
        <x:v>-1241769857.5019505</x:v>
      </x:c>
      <x:c r="E16" s="13" t="n">
        <x:v>-6637558782.73629</x:v>
      </x:c>
      <x:c r="F16" s="15" t="n">
        <x:v>0.6265</x:v>
      </x:c>
      <x:c r="G16" s="16" t="n">
        <x:v>3850626559.5544767</x:v>
      </x:c>
    </x:row>
    <x:row r="17" ht="40" customHeight="1">
      <x:c r="A17" s="12" t="str">
        <x:v>Capex at the fiscal 2026 level, revolver assumed usable</x:v>
      </x:c>
      <x:c r="B17" s="14" t="str">
        <x:v>Base model</x:v>
      </x:c>
      <x:c r="C17" s="13" t="n">
        <x:v>0</x:v>
      </x:c>
      <x:c r="D17" s="13" t="n">
        <x:v>8764921569.944588</x:v>
      </x:c>
      <x:c r="E17" s="13" t="n">
        <x:v>3368441217.2637105</x:v>
      </x:c>
      <x:c r="F17" s="15" t="n">
        <x:v>0</x:v>
      </x:c>
      <x:c r="G17" s="16" t="n">
        <x:v>0</x:v>
      </x:c>
    </x:row>
    <x:row r="18" ht="40" customHeight="1">
      <x:c r="A18" s="12" t="str">
        <x:v>Capex at the fiscal 2026 level, revolver assumed usable</x:v>
      </x:c>
      <x:c r="B18" s="14" t="str">
        <x:v>Finance-lease payments (principal proxy)</x:v>
      </x:c>
      <x:c r="C18" s="13" t="n">
        <x:v>620000000</x:v>
      </x:c>
      <x:c r="D18" s="13" t="n">
        <x:v>8147448384.0601845</x:v>
      </x:c>
      <x:c r="E18" s="13" t="n">
        <x:v>2748441217.2637105</x:v>
      </x:c>
      <x:c r="F18" s="15" t="n">
        <x:v>0</x:v>
      </x:c>
      <x:c r="G18" s="16" t="n">
        <x:v>0</x:v>
      </x:c>
    </x:row>
    <x:row r="19" ht="40" customHeight="1">
      <x:c r="A19" s="12" t="str">
        <x:v>Capex at the fiscal 2026 level, revolver assumed usable</x:v>
      </x:c>
      <x:c r="B19" s="14" t="str">
        <x:v>Short-term capex financing (cumulative proceeds proxy)</x:v>
      </x:c>
      <x:c r="C19" s="13" t="n">
        <x:v>3937000000</x:v>
      </x:c>
      <x:c r="D19" s="13" t="n">
        <x:v>5011833595.220047</x:v>
      </x:c>
      <x:c r="E19" s="13" t="n">
        <x:v>0</x:v>
      </x:c>
      <x:c r="F19" s="15" t="n">
        <x:v>0</x:v>
      </x:c>
      <x:c r="G19" s="16" t="n">
        <x:v>0</x:v>
      </x:c>
    </x:row>
    <x:row r="20" ht="40" customHeight="1">
      <x:c r="A20" s="12" t="str">
        <x:v>Capex at the fiscal 2026 level, revolver assumed usable</x:v>
      </x:c>
      <x:c r="B20" s="14" t="str">
        <x:v>Purchase and other obligations</x:v>
      </x:c>
      <x:c r="C20" s="13" t="n">
        <x:v>5449000000</x:v>
      </x:c>
      <x:c r="D20" s="13" t="n">
        <x:v>3771237558.5104656</x:v>
      </x:c>
      <x:c r="E20" s="13" t="n">
        <x:v>0</x:v>
      </x:c>
      <x:c r="F20" s="15" t="n">
        <x:v>0</x:v>
      </x:c>
      <x:c r="G20" s="16" t="n">
        <x:v>0</x:v>
      </x:c>
    </x:row>
    <x:row r="21" ht="40" customHeight="1">
      <x:c r="A21" s="17" t="str">
        <x:v>Capex at the fiscal 2026 level, revolver assumed usable</x:v>
      </x:c>
      <x:c r="B21" s="19" t="str">
        <x:v>All three together (may overlap)</x:v>
      </x:c>
      <x:c r="C21" s="18" t="n">
        <x:v>10006000000</x:v>
      </x:c>
      <x:c r="D21" s="18" t="n">
        <x:v>1169942454.6123917</x:v>
      </x:c>
      <x:c r="E21" s="18" t="n">
        <x:v>0</x:v>
      </x:c>
      <x:c r="F21" s="20" t="n">
        <x:v>0.0023</x:v>
      </x:c>
      <x:c r="G21" s="21" t="n">
        <x:v>306620628.9294266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40" hidden="0" customWidth="1"/>
    <x:col min="3" max="3" width="24" hidden="0" customWidth="1"/>
    <x:col min="4" max="4" width="24" hidden="0" customWidth="1"/>
    <x:col min="5" max="5" width="24" hidden="0" customWidth="1"/>
    <x:col min="6" max="6" width="105" hidden="0" customWidth="1"/>
  </x:cols>
  <x:sheetData>
    <x:row r="1" ht="25" customHeight="1">
      <x:c r="A1" s="56" t="str">
        <x:v>Oracle liquidity stress scenario</x:v>
      </x:c>
      <x:c r="B1" s="55"/>
      <x:c r="C1" s="55"/>
      <x:c r="D1" s="55"/>
      <x:c r="E1" s="55"/>
      <x:c r="F1" s="55"/>
    </x:row>
    <x:row r="2" ht="25" customHeight="1">
      <x:c r="A2" s="57" t="str">
        <x:v>Illustrative scenario from stated assumptions, not a forecast or funding conclusion.</x:v>
      </x:c>
      <x:c r="B2" s="55"/>
      <x:c r="C2" s="55"/>
      <x:c r="D2" s="55"/>
      <x:c r="E2" s="55"/>
      <x:c r="F2" s="55"/>
    </x:row>
    <x:row r="3" ht="25" customHeight="1">
      <x:c r="A3" s="55" t="str">
        <x:v>Horizon 2026-09-01 to 2027-08-31. Created 2026-10-17 13:07 ET. Seed 2026, 10,000 trials; rerunning with the same inputs and seed reproduces these results.</x:v>
      </x:c>
      <x:c r="B3" s="55"/>
      <x:c r="C3" s="55"/>
      <x:c r="D3" s="55"/>
      <x:c r="E3" s="55"/>
      <x:c r="F3" s="55"/>
    </x:row>
    <x:row r="4" ht="32" customHeight="1">
      <x:c r="A4" s="4"/>
      <x:c r="B4" s="4"/>
      <x:c r="C4" s="4"/>
      <x:c r="D4" s="4"/>
      <x:c r="E4" s="4"/>
      <x:c r="F4" s="4"/>
    </x:row>
    <x:row r="5" ht="40" customHeight="1">
      <x:c r="A5" s="31" t="str">
        <x:v>Input</x:v>
      </x:c>
      <x:c r="B5" s="32" t="str">
        <x:v>Kind</x:v>
      </x:c>
      <x:c r="C5" s="32" t="str">
        <x:v>Low (USD, displayed in millions)</x:v>
      </x:c>
      <x:c r="D5" s="32" t="str">
        <x:v>Most likely (USD, displayed in millions)</x:v>
      </x:c>
      <x:c r="E5" s="32" t="str">
        <x:v>High (USD, displayed in millions)</x:v>
      </x:c>
      <x:c r="F5" s="33" t="str">
        <x:v>Basis / source</x:v>
      </x:c>
    </x:row>
    <x:row r="6" ht="32" customHeight="1">
      <x:c r="A6" s="12" t="str">
        <x:v>Starting cash</x:v>
      </x:c>
      <x:c r="B6" s="14" t="str">
        <x:v>Filing fact</x:v>
      </x:c>
      <x:c r="C6" s="50" t="n">
        <x:f>'Data'!C2</x:f>
        <x:v>36369000000</x:v>
      </x:c>
      <x:c r="D6" s="50" t="n">
        <x:f>'Data'!C2</x:f>
        <x:v>36369000000</x:v>
      </x:c>
      <x:c r="E6" s="50" t="n">
        <x:f>'Data'!C2</x:f>
        <x:v>36369000000</x:v>
      </x:c>
      <x:c r="F6" s="51" t="str">
        <x:v>10-Q balance sheet, Aug 31, 2026 (cash and equivalents, excludes restricted cash)</x:v>
      </x:c>
    </x:row>
    <x:row r="7" ht="40" customHeight="1">
      <x:c r="A7" s="12" t="str">
        <x:v>Dated note and term-loan principal due</x:v>
      </x:c>
      <x:c r="B7" s="14" t="str">
        <x:v>Derived checked calendar</x:v>
      </x:c>
      <x:c r="C7" s="50" t="n">
        <x:f>SUM('Data'!C16:C21)</x:f>
        <x:v>7317000000</x:v>
      </x:c>
      <x:c r="D7" s="50" t="n">
        <x:f>SUM('Data'!C16:C21)</x:f>
        <x:v>7317000000</x:v>
      </x:c>
      <x:c r="E7" s="50" t="n">
        <x:f>SUM('Data'!C16:C21)</x:f>
        <x:v>7317000000</x:v>
      </x:c>
      <x:c r="F7" s="51" t="str">
        <x:v>Oracle principal calendar: notes and term loan due Sep 2026–Aug 2027 (oracle_principal.json)</x:v>
      </x:c>
    </x:row>
    <x:row r="8" ht="54" customHeight="1">
      <x:c r="A8" s="12" t="str">
        <x:v>OCF excluding prepayments</x:v>
      </x:c>
      <x:c r="B8" s="14" t="str">
        <x:v>Assumption</x:v>
      </x:c>
      <x:c r="C8" s="52" t="n">
        <x:v>31977000000</x:v>
      </x:c>
      <x:c r="D8" s="52" t="n">
        <x:v>35577000000</x:v>
      </x:c>
      <x:c r="E8" s="52" t="n">
        <x:v>46960000000</x:v>
      </x:c>
      <x:c r="F8" s="51" t="str">
        <x:v>Assumed. Low set at fiscal 2026 OCF; most likely set at TTM OCF less the specified prepayments; high set at Jun–Aug 2026 OCF excluding prepayments times four (one quarter annualized). These are checked historical figures; they do not establish future bounds or that the TTM figure is most likely.</x:v>
      </x:c>
    </x:row>
    <x:row r="9" ht="40" customHeight="1">
      <x:c r="A9" s="12" t="str">
        <x:v>Specified customer prepayments</x:v>
      </x:c>
      <x:c r="B9" s="14" t="str">
        <x:v>Assumption</x:v>
      </x:c>
      <x:c r="C9" s="52" t="n">
        <x:v>0</x:v>
      </x:c>
      <x:c r="D9" s="52" t="n">
        <x:v>0</x:v>
      </x:c>
      <x:c r="E9" s="52" t="n">
        <x:v>11363000000</x:v>
      </x:c>
      <x:c r="F9" s="51" t="str">
        <x:v>Assumed. From none (Q1 FY2026 had none) to one more quarter like Jun–Aug 2026, most likely none. Recurrence isn't established.</x:v>
      </x:c>
    </x:row>
    <x:row r="10" ht="40" customHeight="1">
      <x:c r="A10" s="12" t="str">
        <x:v>Commercial paper due</x:v>
      </x:c>
      <x:c r="B10" s="14" t="str">
        <x:v>Derived range; assumed shape</x:v>
      </x:c>
      <x:c r="C10" s="52" t="n">
        <x:v>287000000</x:v>
      </x:c>
      <x:c r="D10" s="52" t="n">
        <x:v>337000000</x:v>
      </x:c>
      <x:c r="E10" s="52" t="n">
        <x:v>387000000</x:v>
      </x:c>
      <x:c r="F10" s="51" t="str">
        <x:v>The August 31 balance is Unavailable; the low and high are the range implied by rounded 10-Q figures (derived). The midpoint as most likely, and repayment within the year, are assumptions.</x:v>
      </x:c>
    </x:row>
    <x:row r="11" ht="40" customHeight="1">
      <x:c r="A11" s="12" t="str">
        <x:v>Revolver commitment</x:v>
      </x:c>
      <x:c r="B11" s="14" t="str">
        <x:v>Filing fact; usable amount hypothetical</x:v>
      </x:c>
      <x:c r="C11" s="50" t="n">
        <x:f>'Data'!C22</x:f>
        <x:v>10000000000</x:v>
      </x:c>
      <x:c r="D11" s="50" t="n">
        <x:f>'Data'!C22</x:f>
        <x:v>10000000000</x:v>
      </x:c>
      <x:c r="E11" s="50" t="n">
        <x:f>'Data'!C22</x:f>
        <x:v>10000000000</x:v>
      </x:c>
      <x:c r="F11" s="51" t="str">
        <x:v>Revolving credit agreement, $10B commitment; drawable amount Unavailable (hypothetical only)</x:v>
      </x:c>
    </x:row>
    <x:row r="12" ht="68" customHeight="1">
      <x:c r="A12" s="17" t="str">
        <x:v>OCF–prepayment correlation (ratio, not USD)</x:v>
      </x:c>
      <x:c r="B12" s="19" t="str">
        <x:v>Assumption</x:v>
      </x:c>
      <x:c r="C12" s="53" t="n">
        <x:v>0</x:v>
      </x:c>
      <x:c r="D12" s="53" t="n">
        <x:v>0</x:v>
      </x:c>
      <x:c r="E12" s="53" t="n">
        <x:v>0</x:v>
      </x:c>
      <x:c r="F12" s="54" t="str">
        <x:v>No filing establishes how OCF excluding prepayments and customer prepayments move together, so the default is 0 (independent). Positive: strong cloud demand could raise both. Negative: prepaid cash is not collected again later. The setting is the correlation of the normal scores behind each draw; the realized correlation of the dollar draws is reported beside it.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9" hidden="0" customWidth="1"/>
    <x:col min="2" max="2" width="38" hidden="0" customWidth="1"/>
    <x:col min="3" max="3" width="25" hidden="0" customWidth="1"/>
    <x:col min="4" max="4" width="105" hidden="0" customWidth="1"/>
    <x:col min="5" max="5" width="100" hidden="0" customWidth="1"/>
    <x:col min="6" max="6" width="58" hidden="0" customWidth="1"/>
  </x:cols>
  <x:sheetData>
    <x:row r="1" ht="54" customHeight="1">
      <x:c r="A1" s="31" t="str">
        <x:v>Cash use</x:v>
      </x:c>
      <x:c r="B1" s="32" t="str">
        <x:v>Treatment</x:v>
      </x:c>
      <x:c r="C1" s="32" t="str">
        <x:v>Sensitivity amount used (USD, displayed in millions)</x:v>
      </x:c>
      <x:c r="D1" s="32" t="str">
        <x:v>Amount basis</x:v>
      </x:c>
      <x:c r="E1" s="32" t="str">
        <x:v>Reason</x:v>
      </x:c>
      <x:c r="F1" s="33" t="str">
        <x:v>Source</x:v>
      </x:c>
    </x:row>
    <x:row r="2" ht="68" customHeight="1">
      <x:c r="A2" s="12" t="str">
        <x:v>Finance-lease payments (principal proxy)</x:v>
      </x:c>
      <x:c r="B2" s="14" t="str">
        <x:v>Outside the base model; sensitivity measured</x:v>
      </x:c>
      <x:c r="C2" s="50" t="n">
        <x:f>'Data'!C8</x:f>
        <x:v>620000000</x:v>
      </x:c>
      <x:c r="D2" s="14" t="str">
        <x:v>Sensitivity amount, not established principal: $0.620B is the undiscounted finance-lease payments due Sep 2026–May 2027. Those payments include interest, which is already inside OCF, so subtracting them overstates principal and counts that interest twice. Jun–Aug 2027 payments are Unavailable and not included.</x:v>
      </x:c>
      <x:c r="E2" s="14" t="str">
        <x:v>Oracle classifies the principal component as a financing cash flow, so it is not inside OCF or capex. The principal amount for the window is not disclosed.</x:v>
      </x:c>
      <x:c r="F2" s="51" t="str">
        <x:v>10-Q Q1 fiscal 2027, accession 0001193125-26-389274, Note 6 p. 12; 10-K fiscal 2026, accession 0001193125-26-277521, Note 1</x:v>
      </x:c>
    </x:row>
    <x:row r="3" ht="68" customHeight="1">
      <x:c r="A3" s="12" t="str">
        <x:v>Short-term capex financing (cumulative proceeds proxy)</x:v>
      </x:c>
      <x:c r="B3" s="14" t="str">
        <x:v>Outside the base model; sensitivity measured</x:v>
      </x:c>
      <x:c r="C3" s="50" t="n">
        <x:f>'Data'!C23+'Data'!C24+'Data'!C7</x:f>
        <x:v>3937000000</x:v>
      </x:c>
      <x:c r="D3" s="14" t="str">
        <x:v>Sensitivity amount, not an outstanding balance or a payment due: cumulative net proceeds of $1.422B (fiscal 2025) + $3.345B (fiscal 2026) − $0.830B (Jun–Aug 2026) = $3.937B. The balance, terms and due dates are not disclosed, so the amount actually due in the window could be lower, higher or nil if it is rolled.</x:v>
      </x:c>
      <x:c r="E3" s="14" t="str">
        <x:v>A separate financing line, so its repayment is not in cash capex or OCF. Whether it would be repaid or rolled within the window is not stated.</x:v>
      </x:c>
      <x:c r="F3" s="51" t="str">
        <x:v>10-K fiscal 2026, accession 0001193125-26-277521 p. 68; 10-Q Q1 fiscal 2027, accession 0001193125-26-389274 p. 5</x:v>
      </x:c>
    </x:row>
    <x:row r="4" ht="54" customHeight="1">
      <x:c r="A4" s="12" t="str">
        <x:v>Purchase and other obligations</x:v>
      </x:c>
      <x:c r="B4" s="14" t="str">
        <x:v>Outside the base model; sensitivity measured</x:v>
      </x:c>
      <x:c r="C4" s="50" t="n">
        <x:f>'Data'!C9</x:f>
        <x:v>5449000000</x:v>
      </x:c>
      <x:c r="D4" s="14" t="str">
        <x:v>Sensitivity amount: $5.449B disclosed as due Sep 2026–May 2027. Jun–Aug 2027 falls inside fiscal 2028's $6.176B and is Unavailable, so the window is missing up to a quarter. Infrastructure purchases may already be in the capex decision, so subtracting them may count them twice.</x:v>
      </x:c>
      <x:c r="E4" s="14" t="str">
        <x:v>Primarily cloud-infrastructure components (likely capex when paid) and data-center power (likely inside OCF). The filing does not split them, so overlap with the capex decision and OCF is possible but not established.</x:v>
      </x:c>
      <x:c r="F4" s="51" t="str">
        <x:v>10-Q Q1 fiscal 2027, accession 0001193125-26-389274, Note 6 p. 13</x:v>
      </x:c>
    </x:row>
    <x:row r="5" ht="40" customHeight="1">
      <x:c r="A5" s="12" t="str">
        <x:v>Operating lease payments</x:v>
      </x:c>
      <x:c r="B5" s="14" t="str">
        <x:v>Excluded: inside OCF</x:v>
      </x:c>
      <x:c r="C5" s="14"/>
      <x:c r="D5" s="14" t="str"/>
      <x:c r="E5" s="14" t="str">
        <x:v>Oracle's policy: operating lease cash flows are operating cash flows (10-K fiscal 2026, accession 0001193125-26-277521, Note 1).</x:v>
      </x:c>
      <x:c r="F5" s="51" t="str"/>
    </x:row>
    <x:row r="6" ht="40" customHeight="1">
      <x:c r="A6" s="12" t="str">
        <x:v>Finance-lease interest</x:v>
      </x:c>
      <x:c r="B6" s="14" t="str">
        <x:v>Excluded: inside OCF</x:v>
      </x:c>
      <x:c r="C6" s="14"/>
      <x:c r="D6" s="14" t="str"/>
      <x:c r="E6" s="14" t="str">
        <x:v>Oracle's policy: the interest component of finance-lease payments is an operating cash flow (10-K fiscal 2026, accession 0001193125-26-277521, Note 1).</x:v>
      </x:c>
      <x:c r="F6" s="51" t="str"/>
    </x:row>
    <x:row r="7" ht="40" customHeight="1">
      <x:c r="A7" s="12" t="str">
        <x:v>Interest on borrowing and income taxes</x:v>
      </x:c>
      <x:c r="B7" s="14" t="str">
        <x:v>Excluded: inside OCF</x:v>
      </x:c>
      <x:c r="C7" s="14"/>
      <x:c r="D7" s="14" t="str"/>
      <x:c r="E7" s="14" t="str">
        <x:v>US GAAP classifies cash interest and income taxes as operating cash flows (ASC 230). Historical OCF reflects historical interest, not interest on debt raised since.</x:v>
      </x:c>
      <x:c r="F7" s="51" t="str"/>
    </x:row>
    <x:row r="8" ht="40" customHeight="1">
      <x:c r="A8" s="12" t="str">
        <x:v>Restricted cash ($2.565B at Aug 31, 2026)</x:v>
      </x:c>
      <x:c r="B8" s="14" t="str">
        <x:v>Excluded: not in starting cash</x:v>
      </x:c>
      <x:c r="C8" s="14"/>
      <x:c r="D8" s="14" t="str"/>
      <x:c r="E8" s="14" t="str">
        <x:v>Starting cash excludes it (10-Q Q1 fiscal 2027, accession 0001193125-26-389274, balance sheet and cash reconciliation). Excluding it is a balance choice, not a cash use.</x:v>
      </x:c>
      <x:c r="F8" s="51" t="str"/>
    </x:row>
    <x:row r="9" ht="40" customHeight="1">
      <x:c r="A9" s="12" t="str">
        <x:v>Leases not yet commenced ($288B)</x:v>
      </x:c>
      <x:c r="B9" s="14" t="str">
        <x:v>Not modelled; no measurable amount</x:v>
      </x:c>
      <x:c r="C9" s="14"/>
      <x:c r="D9" s="14" t="str"/>
      <x:c r="E9" s="14" t="str">
        <x:v>Payments would enter OCF after commencement (fiscal 2027–2029) and are not in the historical OCF the triangle is anchored to. Annual amounts are Unavailable. Direction: lowers cash.</x:v>
      </x:c>
      <x:c r="F9" s="51" t="str"/>
    </x:row>
    <x:row r="10" ht="40" customHeight="1">
      <x:c r="A10" s="12" t="str">
        <x:v>Lessor-borrowing guarantee (up to $3.3B)</x:v>
      </x:c>
      <x:c r="B10" s="14" t="str">
        <x:v>Not modelled; no measurable amount</x:v>
      </x:c>
      <x:c r="C10" s="14"/>
      <x:c r="D10" s="14" t="str"/>
      <x:c r="E10" s="14" t="str">
        <x:v>Disclosed at May 31, 2026 for a borrowing maturing September 2026; its status at August 31 is not stated. Contingent, not modelled.</x:v>
      </x:c>
      <x:c r="F10" s="51" t="str"/>
    </x:row>
    <x:row r="11" ht="40" customHeight="1">
      <x:c r="A11" s="12" t="str">
        <x:v>Other financing activities, net</x:v>
      </x:c>
      <x:c r="B11" s="14" t="str">
        <x:v>Not modelled; no measurable amount</x:v>
      </x:c>
      <x:c r="C11" s="14"/>
      <x:c r="D11" s="14" t="str"/>
      <x:c r="E11" s="14" t="str">
        <x:v>$0.242B outflow in Jun–Aug 2026 with no stated composition; it may include finance-lease principal. Not modelled.</x:v>
      </x:c>
      <x:c r="F11" s="51" t="str"/>
    </x:row>
    <x:row r="12" ht="32" customHeight="1">
      <x:c r="A12" s="12" t="str">
        <x:v>June–August 2027 lease and purchase payments</x:v>
      </x:c>
      <x:c r="B12" s="14" t="str">
        <x:v>Not modelled; no measurable amount</x:v>
      </x:c>
      <x:c r="C12" s="14"/>
      <x:c r="D12" s="14" t="str"/>
      <x:c r="E12" s="14" t="str">
        <x:v>Fall in fiscal 2028 buckets that are not split by month. Unavailable.</x:v>
      </x:c>
      <x:c r="F12" s="51" t="str"/>
    </x:row>
    <x:row r="13" ht="32" customHeight="1">
      <x:c r="A13" s="17" t="str">
        <x:v>Share repurchases and acquisitions</x:v>
      </x:c>
      <x:c r="B13" s="19" t="str">
        <x:v>Not modelled; no measurable amount</x:v>
      </x:c>
      <x:c r="C13" s="19"/>
      <x:c r="D13" s="19" t="str"/>
      <x:c r="E13" s="19" t="str">
        <x:v>None in Jun–Aug 2026; not modelled. They would be decisions.</x:v>
      </x:c>
      <x:c r="F13" s="54"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30" hidden="0" customWidth="1"/>
    <x:col min="3" max="3" width="26" hidden="0" customWidth="1"/>
    <x:col min="4" max="4" width="19" hidden="0" customWidth="1"/>
    <x:col min="5" max="5" width="19" hidden="0" customWidth="1"/>
    <x:col min="6" max="6" width="16" hidden="0" customWidth="1"/>
    <x:col min="7" max="7" width="19" hidden="0" customWidth="1"/>
    <x:col min="8" max="8" width="32" hidden="0" customWidth="1"/>
    <x:col min="9" max="9" width="105" hidden="0" customWidth="1"/>
    <x:col min="10" max="10" width="75" hidden="0" customWidth="1"/>
    <x:col min="11" max="11" width="40" hidden="0" customWidth="1"/>
    <x:col min="12" max="12" width="100" hidden="0" customWidth="1"/>
  </x:cols>
  <x:sheetData>
    <x:row r="1" ht="40" customHeight="1">
      <x:c r="A1" s="31" t="str">
        <x:v>Input</x:v>
      </x:c>
      <x:c r="B1" s="32" t="str">
        <x:v>Kind</x:v>
      </x:c>
      <x:c r="C1" s="32" t="str">
        <x:v>Value (USD, displayed in millions)</x:v>
      </x:c>
      <x:c r="D1" s="32" t="str">
        <x:v>Period start</x:v>
      </x:c>
      <x:c r="E1" s="32" t="str">
        <x:v>Period end</x:v>
      </x:c>
      <x:c r="F1" s="32" t="str">
        <x:v>Form</x:v>
      </x:c>
      <x:c r="G1" s="32" t="str">
        <x:v>Filed</x:v>
      </x:c>
      <x:c r="H1" s="32" t="str">
        <x:v>Accession</x:v>
      </x:c>
      <x:c r="I1" s="32" t="str">
        <x:v>Source URL</x:v>
      </x:c>
      <x:c r="J1" s="32" t="str">
        <x:v>Tag / calculation</x:v>
      </x:c>
      <x:c r="K1" s="32" t="str">
        <x:v>Context</x:v>
      </x:c>
      <x:c r="L1" s="33" t="str">
        <x:v>Location / limit</x:v>
      </x:c>
    </x:row>
    <x:row r="2" ht="40" customHeight="1">
      <x:c r="A2" s="12" t="str">
        <x:v>Cash and equivalents excluding restricted cash</x:v>
      </x:c>
      <x:c r="B2" s="14" t="str">
        <x:v>Reported fact</x:v>
      </x:c>
      <x:c r="C2" s="52" t="n">
        <x:v>36369000000</x:v>
      </x:c>
      <x:c r="D2" s="14"/>
      <x:c r="E2" s="37" t="d">
        <x:v>2026-08-31T00:00:00.000Z</x:v>
      </x:c>
      <x:c r="F2" s="14" t="str">
        <x:v>10-Q</x:v>
      </x:c>
      <x:c r="G2" s="37" t="d">
        <x:v>2026-09-11T00:00:00.000Z</x:v>
      </x:c>
      <x:c r="H2" s="14" t="str">
        <x:v>0001193125-26-389274</x:v>
      </x:c>
      <x:c r="I2" s="14" t="str">
        <x:v>https://www.sec.gov/Archives/edgar/data/1341439/000119312526389274/orcl-20260831.htm</x:v>
      </x:c>
      <x:c r="J2" s="14" t="str">
        <x:v>us-gaap:CashAndCashEquivalentsAtCarryingValue</x:v>
      </x:c>
      <x:c r="K2" s="14" t="str">
        <x:v>C_6aa4717d-0551-43f7-9cf4-c8a0049a656e</x:v>
      </x:c>
      <x:c r="L2" s="51" t="str">
        <x:v>10-Q balance sheet p. 1; cash reconciliation pp. 5–6</x:v>
      </x:c>
    </x:row>
    <x:row r="3" ht="32" customHeight="1">
      <x:c r="A3" s="12" t="str">
        <x:v>Reported operating cash flow</x:v>
      </x:c>
      <x:c r="B3" s="14" t="str">
        <x:v>Reported fact</x:v>
      </x:c>
      <x:c r="C3" s="52" t="n">
        <x:v>23103000000</x:v>
      </x:c>
      <x:c r="D3" s="37" t="d">
        <x:v>2026-06-01T00:00:00.000Z</x:v>
      </x:c>
      <x:c r="E3" s="37" t="d">
        <x:v>2026-08-31T00:00:00.000Z</x:v>
      </x:c>
      <x:c r="F3" s="14" t="str">
        <x:v>10-Q</x:v>
      </x:c>
      <x:c r="G3" s="37" t="d">
        <x:v>2026-09-11T00:00:00.000Z</x:v>
      </x:c>
      <x:c r="H3" s="14" t="str">
        <x:v>0001193125-26-389274</x:v>
      </x:c>
      <x:c r="I3" s="14" t="str">
        <x:v>https://www.sec.gov/Archives/edgar/data/1341439/000119312526389274/orcl-20260831.htm</x:v>
      </x:c>
      <x:c r="J3" s="14" t="str">
        <x:v>us-gaap:NetCashProvidedByUsedInOperatingActivities</x:v>
      </x:c>
      <x:c r="K3" s="14" t="str">
        <x:v>C_f2f9ad85-08df-4e59-8948-bfd9405570de</x:v>
      </x:c>
      <x:c r="L3" s="51" t="str">
        <x:v>10-Q cash flows, p. 5</x:v>
      </x:c>
    </x:row>
    <x:row r="4" ht="40" customHeight="1">
      <x:c r="A4" s="12" t="str">
        <x:v>Customer prepayments with a significant financing component</x:v>
      </x:c>
      <x:c r="B4" s="14" t="str">
        <x:v>Reported fact</x:v>
      </x:c>
      <x:c r="C4" s="52" t="n">
        <x:v>11363000000</x:v>
      </x:c>
      <x:c r="D4" s="37" t="d">
        <x:v>2026-06-01T00:00:00.000Z</x:v>
      </x:c>
      <x:c r="E4" s="37" t="d">
        <x:v>2026-08-31T00:00:00.000Z</x:v>
      </x:c>
      <x:c r="F4" s="14" t="str">
        <x:v>10-Q</x:v>
      </x:c>
      <x:c r="G4" s="37" t="d">
        <x:v>2026-09-11T00:00:00.000Z</x:v>
      </x:c>
      <x:c r="H4" s="14" t="str">
        <x:v>0001193125-26-389274</x:v>
      </x:c>
      <x:c r="I4" s="14" t="str">
        <x:v>https://www.sec.gov/Archives/edgar/data/1341439/000119312526389274/orcl-20260831.htm</x:v>
      </x:c>
      <x:c r="J4" s="14" t="str">
        <x:v>orcl:IncreaseDecreaseInDeferredRevenuesFromCustomerPrepaymentsWithSignificantFinancingComponent</x:v>
      </x:c>
      <x:c r="K4" s="14" t="str">
        <x:v>C_f2f9ad85-08df-4e59-8948-bfd9405570de</x:v>
      </x:c>
      <x:c r="L4" s="51" t="str">
        <x:v>10-Q cash flows, p. 5</x:v>
      </x:c>
    </x:row>
    <x:row r="5" ht="32" customHeight="1">
      <x:c r="A5" s="12" t="str">
        <x:v>Cash capital expenditures</x:v>
      </x:c>
      <x:c r="B5" s="14" t="str">
        <x:v>Reported fact</x:v>
      </x:c>
      <x:c r="C5" s="52" t="n">
        <x:v>28499000000</x:v>
      </x:c>
      <x:c r="D5" s="37" t="d">
        <x:v>2026-06-01T00:00:00.000Z</x:v>
      </x:c>
      <x:c r="E5" s="37" t="d">
        <x:v>2026-08-31T00:00:00.000Z</x:v>
      </x:c>
      <x:c r="F5" s="14" t="str">
        <x:v>10-Q</x:v>
      </x:c>
      <x:c r="G5" s="37" t="d">
        <x:v>2026-09-11T00:00:00.000Z</x:v>
      </x:c>
      <x:c r="H5" s="14" t="str">
        <x:v>0001193125-26-389274</x:v>
      </x:c>
      <x:c r="I5" s="14" t="str">
        <x:v>https://www.sec.gov/Archives/edgar/data/1341439/000119312526389274/orcl-20260831.htm</x:v>
      </x:c>
      <x:c r="J5" s="14" t="str">
        <x:v>us-gaap:PaymentsToAcquirePropertyPlantAndEquipment</x:v>
      </x:c>
      <x:c r="K5" s="14" t="str">
        <x:v>C_f2f9ad85-08df-4e59-8948-bfd9405570de</x:v>
      </x:c>
      <x:c r="L5" s="51" t="str">
        <x:v>10-Q cash flows, p. 5</x:v>
      </x:c>
    </x:row>
    <x:row r="6" ht="32" customHeight="1">
      <x:c r="A6" s="12" t="str">
        <x:v>Cash dividends to stockholders</x:v>
      </x:c>
      <x:c r="B6" s="14" t="str">
        <x:v>Reported fact</x:v>
      </x:c>
      <x:c r="C6" s="52" t="n">
        <x:v>1565000000</x:v>
      </x:c>
      <x:c r="D6" s="37" t="d">
        <x:v>2026-06-01T00:00:00.000Z</x:v>
      </x:c>
      <x:c r="E6" s="37" t="d">
        <x:v>2026-08-31T00:00:00.000Z</x:v>
      </x:c>
      <x:c r="F6" s="14" t="str">
        <x:v>10-Q</x:v>
      </x:c>
      <x:c r="G6" s="37" t="d">
        <x:v>2026-09-11T00:00:00.000Z</x:v>
      </x:c>
      <x:c r="H6" s="14" t="str">
        <x:v>0001193125-26-389274</x:v>
      </x:c>
      <x:c r="I6" s="14" t="str">
        <x:v>https://www.sec.gov/Archives/edgar/data/1341439/000119312526389274/orcl-20260831.htm</x:v>
      </x:c>
      <x:c r="J6" s="14" t="str">
        <x:v>us-gaap:PaymentsOfDividendsCommonStock</x:v>
      </x:c>
      <x:c r="K6" s="14" t="str">
        <x:v>C_f2f9ad85-08df-4e59-8948-bfd9405570de</x:v>
      </x:c>
      <x:c r="L6" s="51" t="str">
        <x:v>10-Q cash flows, p. 5</x:v>
      </x:c>
    </x:row>
    <x:row r="7" ht="40" customHeight="1">
      <x:c r="A7" s="12" t="str">
        <x:v>Net capex-financing cash flow</x:v>
      </x:c>
      <x:c r="B7" s="14" t="str">
        <x:v>Reported fact</x:v>
      </x:c>
      <x:c r="C7" s="52" t="n">
        <x:v>-830000000</x:v>
      </x:c>
      <x:c r="D7" s="37" t="d">
        <x:v>2026-06-01T00:00:00.000Z</x:v>
      </x:c>
      <x:c r="E7" s="37" t="d">
        <x:v>2026-08-31T00:00:00.000Z</x:v>
      </x:c>
      <x:c r="F7" s="14" t="str">
        <x:v>10-Q</x:v>
      </x:c>
      <x:c r="G7" s="37" t="d">
        <x:v>2026-09-11T00:00:00.000Z</x:v>
      </x:c>
      <x:c r="H7" s="14" t="str">
        <x:v>0001193125-26-389274</x:v>
      </x:c>
      <x:c r="I7" s="14" t="str">
        <x:v>https://www.sec.gov/Archives/edgar/data/1341439/000119312526389274/orcl-20260831.htm</x:v>
      </x:c>
      <x:c r="J7" s="14" t="str">
        <x:v>orcl:ProceedsFromRepaymentsOfShort-TermFinancingRelatedToCapitalExpendituresNet</x:v>
      </x:c>
      <x:c r="K7" s="14" t="str">
        <x:v>C_f2f9ad85-08df-4e59-8948-bfd9405570de</x:v>
      </x:c>
      <x:c r="L7" s="51" t="str">
        <x:v>10-Q cash flows, p. 5</x:v>
      </x:c>
    </x:row>
    <x:row r="8" ht="32" customHeight="1">
      <x:c r="A8" s="12" t="str">
        <x:v>Finance payments: Remainder FY2027</x:v>
      </x:c>
      <x:c r="B8" s="14" t="str">
        <x:v>Reported fact</x:v>
      </x:c>
      <x:c r="C8" s="52" t="n">
        <x:v>620000000</x:v>
      </x:c>
      <x:c r="D8" s="14"/>
      <x:c r="E8" s="37" t="d">
        <x:v>2026-08-31T00:00:00.000Z</x:v>
      </x:c>
      <x:c r="F8" s="14" t="str">
        <x:v>10-Q</x:v>
      </x:c>
      <x:c r="G8" s="37" t="d">
        <x:v>2026-09-11T00:00:00.000Z</x:v>
      </x:c>
      <x:c r="H8" s="14" t="str">
        <x:v>0001193125-26-389274</x:v>
      </x:c>
      <x:c r="I8" s="14" t="str">
        <x:v>https://www.sec.gov/Archives/edgar/data/1341439/000119312526389274/orcl-20260831.htm</x:v>
      </x:c>
      <x:c r="J8" s="14" t="str">
        <x:v>us-gaap:FinanceLeaseLiabilityPaymentsRemainderOfFiscalYear</x:v>
      </x:c>
      <x:c r="K8" s="14" t="str">
        <x:v>C_6aa4717d-0551-43f7-9cf4-c8a0049a656e</x:v>
      </x:c>
      <x:c r="L8" s="51" t="str">
        <x:v>10-Q Note 6, pp. 12–13</x:v>
      </x:c>
    </x:row>
    <x:row r="9" ht="40" customHeight="1">
      <x:c r="A9" s="12" t="str">
        <x:v>Purchase payments: Remainder FY2027</x:v>
      </x:c>
      <x:c r="B9" s="14" t="str">
        <x:v>Reported fact</x:v>
      </x:c>
      <x:c r="C9" s="52" t="n">
        <x:v>5449000000</x:v>
      </x:c>
      <x:c r="D9" s="14"/>
      <x:c r="E9" s="37" t="d">
        <x:v>2026-08-31T00:00:00.000Z</x:v>
      </x:c>
      <x:c r="F9" s="14" t="str">
        <x:v>10-Q</x:v>
      </x:c>
      <x:c r="G9" s="37" t="d">
        <x:v>2026-09-11T00:00:00.000Z</x:v>
      </x:c>
      <x:c r="H9" s="14" t="str">
        <x:v>0001193125-26-389274</x:v>
      </x:c>
      <x:c r="I9" s="14" t="str">
        <x:v>https://www.sec.gov/Archives/edgar/data/1341439/000119312526389274/orcl-20260831.htm</x:v>
      </x:c>
      <x:c r="J9" s="14" t="str">
        <x:v>us-gaap:UnrecordedUnconditionalPurchaseObligationDueInRemainderOfFiscalYear</x:v>
      </x:c>
      <x:c r="K9" s="14" t="str">
        <x:v>C_6aa4717d-0551-43f7-9cf4-c8a0049a656e</x:v>
      </x:c>
      <x:c r="L9" s="51" t="str">
        <x:v>10-Q Note 6, pp. 12–13</x:v>
      </x:c>
    </x:row>
    <x:row r="10" ht="32" customHeight="1">
      <x:c r="A10" s="12" t="str">
        <x:v>operating_cash_flow: Fiscal year</x:v>
      </x:c>
      <x:c r="B10" s="14" t="str">
        <x:v>Reported fact</x:v>
      </x:c>
      <x:c r="C10" s="52" t="n">
        <x:v>31977000000</x:v>
      </x:c>
      <x:c r="D10" s="37" t="d">
        <x:v>2025-06-01T00:00:00.000Z</x:v>
      </x:c>
      <x:c r="E10" s="37" t="d">
        <x:v>2026-05-31T00:00:00.000Z</x:v>
      </x:c>
      <x:c r="F10" s="14" t="str">
        <x:v>10-K</x:v>
      </x:c>
      <x:c r="G10" s="37" t="d">
        <x:v>2026-06-22T00:00:00.000Z</x:v>
      </x:c>
      <x:c r="H10" s="14" t="str">
        <x:v>0001193125-26-277521</x:v>
      </x:c>
      <x:c r="I10" s="14" t="str">
        <x:v>https://www.sec.gov/Archives/edgar/data/1341439/000119312526277521/orcl-20260531.htm</x:v>
      </x:c>
      <x:c r="J10" s="14" t="str">
        <x:v>us-gaap:NetCashProvidedByUsedInOperatingActivities</x:v>
      </x:c>
      <x:c r="K10" s="14" t="str">
        <x:v>C_24317829-d237-4c29-bae3-2e46dd1ae625</x:v>
      </x:c>
      <x:c r="L10" s="51" t="str">
        <x:v>Exact tag, USD duration, exact start and end dates, no dimensions</x:v>
      </x:c>
    </x:row>
    <x:row r="11" ht="32" customHeight="1">
      <x:c r="A11" s="12" t="str">
        <x:v>operating_cash_flow: Current year to date</x:v>
      </x:c>
      <x:c r="B11" s="14" t="str">
        <x:v>Reported fact</x:v>
      </x:c>
      <x:c r="C11" s="52" t="n">
        <x:v>23103000000</x:v>
      </x:c>
      <x:c r="D11" s="37" t="d">
        <x:v>2026-06-01T00:00:00.000Z</x:v>
      </x:c>
      <x:c r="E11" s="37" t="d">
        <x:v>2026-08-31T00:00:00.000Z</x:v>
      </x:c>
      <x:c r="F11" s="14" t="str">
        <x:v>10-Q</x:v>
      </x:c>
      <x:c r="G11" s="37" t="d">
        <x:v>2026-09-11T00:00:00.000Z</x:v>
      </x:c>
      <x:c r="H11" s="14" t="str">
        <x:v>0001193125-26-389274</x:v>
      </x:c>
      <x:c r="I11" s="14" t="str">
        <x:v>https://www.sec.gov/Archives/edgar/data/1341439/000119312526389274/orcl-20260831.htm</x:v>
      </x:c>
      <x:c r="J11" s="14" t="str">
        <x:v>us-gaap:NetCashProvidedByUsedInOperatingActivities</x:v>
      </x:c>
      <x:c r="K11" s="14" t="str">
        <x:v>C_f2f9ad85-08df-4e59-8948-bfd9405570de</x:v>
      </x:c>
      <x:c r="L11" s="51" t="str">
        <x:v>Exact tag, USD duration, exact start and end dates, no dimensions</x:v>
      </x:c>
    </x:row>
    <x:row r="12" ht="32" customHeight="1">
      <x:c r="A12" s="12" t="str">
        <x:v>operating_cash_flow: Prior year to date</x:v>
      </x:c>
      <x:c r="B12" s="14" t="str">
        <x:v>Reported fact</x:v>
      </x:c>
      <x:c r="C12" s="52" t="n">
        <x:v>8140000000</x:v>
      </x:c>
      <x:c r="D12" s="37" t="d">
        <x:v>2025-06-01T00:00:00.000Z</x:v>
      </x:c>
      <x:c r="E12" s="37" t="d">
        <x:v>2025-08-31T00:00:00.000Z</x:v>
      </x:c>
      <x:c r="F12" s="14" t="str">
        <x:v>10-Q</x:v>
      </x:c>
      <x:c r="G12" s="37" t="d">
        <x:v>2026-09-11T00:00:00.000Z</x:v>
      </x:c>
      <x:c r="H12" s="14" t="str">
        <x:v>0001193125-26-389274</x:v>
      </x:c>
      <x:c r="I12" s="14" t="str">
        <x:v>https://www.sec.gov/Archives/edgar/data/1341439/000119312526389274/orcl-20260831.htm</x:v>
      </x:c>
      <x:c r="J12" s="14" t="str">
        <x:v>us-gaap:NetCashProvidedByUsedInOperatingActivities</x:v>
      </x:c>
      <x:c r="K12" s="14" t="str">
        <x:v>C_a0bdcecc-b2bf-40f4-8106-f50197737571</x:v>
      </x:c>
      <x:c r="L12" s="51" t="str">
        <x:v>Exact tag, USD duration, exact start and end dates, no dimensions</x:v>
      </x:c>
    </x:row>
    <x:row r="13" ht="32" customHeight="1">
      <x:c r="A13" s="12" t="str">
        <x:v>capital_spending: Fiscal year</x:v>
      </x:c>
      <x:c r="B13" s="14" t="str">
        <x:v>Reported fact</x:v>
      </x:c>
      <x:c r="C13" s="52" t="n">
        <x:v>55663000000</x:v>
      </x:c>
      <x:c r="D13" s="37" t="d">
        <x:v>2025-06-01T00:00:00.000Z</x:v>
      </x:c>
      <x:c r="E13" s="37" t="d">
        <x:v>2026-05-31T00:00:00.000Z</x:v>
      </x:c>
      <x:c r="F13" s="14" t="str">
        <x:v>10-K</x:v>
      </x:c>
      <x:c r="G13" s="37" t="d">
        <x:v>2026-06-22T00:00:00.000Z</x:v>
      </x:c>
      <x:c r="H13" s="14" t="str">
        <x:v>0001193125-26-277521</x:v>
      </x:c>
      <x:c r="I13" s="14" t="str">
        <x:v>https://www.sec.gov/Archives/edgar/data/1341439/000119312526277521/orcl-20260531.htm</x:v>
      </x:c>
      <x:c r="J13" s="14" t="str">
        <x:v>us-gaap:PaymentsToAcquirePropertyPlantAndEquipment</x:v>
      </x:c>
      <x:c r="K13" s="14" t="str">
        <x:v>C_24317829-d237-4c29-bae3-2e46dd1ae625</x:v>
      </x:c>
      <x:c r="L13" s="51" t="str">
        <x:v>Exact tag, USD duration, exact start and end dates, no dimensions</x:v>
      </x:c>
    </x:row>
    <x:row r="14" ht="32" customHeight="1">
      <x:c r="A14" s="12" t="str">
        <x:v>capital_spending: Current year to date</x:v>
      </x:c>
      <x:c r="B14" s="14" t="str">
        <x:v>Reported fact</x:v>
      </x:c>
      <x:c r="C14" s="52" t="n">
        <x:v>28499000000</x:v>
      </x:c>
      <x:c r="D14" s="37" t="d">
        <x:v>2026-06-01T00:00:00.000Z</x:v>
      </x:c>
      <x:c r="E14" s="37" t="d">
        <x:v>2026-08-31T00:00:00.000Z</x:v>
      </x:c>
      <x:c r="F14" s="14" t="str">
        <x:v>10-Q</x:v>
      </x:c>
      <x:c r="G14" s="37" t="d">
        <x:v>2026-09-11T00:00:00.000Z</x:v>
      </x:c>
      <x:c r="H14" s="14" t="str">
        <x:v>0001193125-26-389274</x:v>
      </x:c>
      <x:c r="I14" s="14" t="str">
        <x:v>https://www.sec.gov/Archives/edgar/data/1341439/000119312526389274/orcl-20260831.htm</x:v>
      </x:c>
      <x:c r="J14" s="14" t="str">
        <x:v>us-gaap:PaymentsToAcquirePropertyPlantAndEquipment</x:v>
      </x:c>
      <x:c r="K14" s="14" t="str">
        <x:v>C_f2f9ad85-08df-4e59-8948-bfd9405570de</x:v>
      </x:c>
      <x:c r="L14" s="51" t="str">
        <x:v>Exact tag, USD duration, exact start and end dates, no dimensions</x:v>
      </x:c>
    </x:row>
    <x:row r="15" ht="32" customHeight="1">
      <x:c r="A15" s="12" t="str">
        <x:v>capital_spending: Prior year to date</x:v>
      </x:c>
      <x:c r="B15" s="14" t="str">
        <x:v>Reported fact</x:v>
      </x:c>
      <x:c r="C15" s="52" t="n">
        <x:v>8502000000</x:v>
      </x:c>
      <x:c r="D15" s="37" t="d">
        <x:v>2025-06-01T00:00:00.000Z</x:v>
      </x:c>
      <x:c r="E15" s="37" t="d">
        <x:v>2025-08-31T00:00:00.000Z</x:v>
      </x:c>
      <x:c r="F15" s="14" t="str">
        <x:v>10-Q</x:v>
      </x:c>
      <x:c r="G15" s="37" t="d">
        <x:v>2026-09-11T00:00:00.000Z</x:v>
      </x:c>
      <x:c r="H15" s="14" t="str">
        <x:v>0001193125-26-389274</x:v>
      </x:c>
      <x:c r="I15" s="14" t="str">
        <x:v>https://www.sec.gov/Archives/edgar/data/1341439/000119312526389274/orcl-20260831.htm</x:v>
      </x:c>
      <x:c r="J15" s="14" t="str">
        <x:v>us-gaap:PaymentsToAcquirePropertyPlantAndEquipment</x:v>
      </x:c>
      <x:c r="K15" s="14" t="str">
        <x:v>C_a0bdcecc-b2bf-40f4-8106-f50197737571</x:v>
      </x:c>
      <x:c r="L15" s="51" t="str">
        <x:v>Exact tag, USD duration, exact start and end dates, no dimensions</x:v>
      </x:c>
    </x:row>
    <x:row r="16" ht="40" customHeight="1">
      <x:c r="A16" s="12" t="str">
        <x:v>Term loan, scheduled installment (2.50% of the amount borrowed)</x:v>
      </x:c>
      <x:c r="B16" s="14" t="str">
        <x:v>Derived checked calendar</x:v>
      </x:c>
      <x:c r="C16" s="52" t="n">
        <x:v>140750000</x:v>
      </x:c>
      <x:c r="D16" s="14"/>
      <x:c r="E16" s="37" t="d">
        <x:v>2026-09-30T00:00:00.000Z</x:v>
      </x:c>
      <x:c r="F16" s="14" t="str">
        <x:v>10-K / 10-Q</x:v>
      </x:c>
      <x:c r="G16" s="14"/>
      <x:c r="H16" s="14" t="str">
        <x:v>0001193125-26-277521</x:v>
      </x:c>
      <x:c r="I16" s="14" t="str">
        <x:v>https://www.sec.gov/Archives/edgar/data/1341439/000119312526277521/orcl-20260531.htm</x:v>
      </x:c>
      <x:c r="J16" s="14" t="str">
        <x:v>Calendar date; contractual amortization where applicable</x:v>
      </x:c>
      <x:c r="K16" s="14"/>
      <x:c r="L16" s="51" t="str">
        <x:v>Principal only; no commercial paper or interest. Loan extension/prepayment may change dates. See checked calendar.</x:v>
      </x:c>
    </x:row>
    <x:row r="17" ht="40" customHeight="1">
      <x:c r="A17" s="12" t="str">
        <x:v>Term loan, scheduled installment (2.50% of the amount borrowed)</x:v>
      </x:c>
      <x:c r="B17" s="14" t="str">
        <x:v>Derived checked calendar</x:v>
      </x:c>
      <x:c r="C17" s="52" t="n">
        <x:v>140750000</x:v>
      </x:c>
      <x:c r="D17" s="14"/>
      <x:c r="E17" s="37" t="d">
        <x:v>2026-12-31T00:00:00.000Z</x:v>
      </x:c>
      <x:c r="F17" s="14" t="str">
        <x:v>10-K / 10-Q</x:v>
      </x:c>
      <x:c r="G17" s="14"/>
      <x:c r="H17" s="14" t="str">
        <x:v>0001193125-26-277521</x:v>
      </x:c>
      <x:c r="I17" s="14" t="str">
        <x:v>https://www.sec.gov/Archives/edgar/data/1341439/000119312526277521/orcl-20260531.htm</x:v>
      </x:c>
      <x:c r="J17" s="14" t="str">
        <x:v>Calendar date; contractual amortization where applicable</x:v>
      </x:c>
      <x:c r="K17" s="14"/>
      <x:c r="L17" s="51" t="str">
        <x:v>Principal only; no commercial paper or interest. Loan extension/prepayment may change dates. See checked calendar.</x:v>
      </x:c>
    </x:row>
    <x:row r="18" ht="40" customHeight="1">
      <x:c r="A18" s="12" t="str">
        <x:v>Term loan, scheduled installment (2.50% of the amount borrowed)</x:v>
      </x:c>
      <x:c r="B18" s="14" t="str">
        <x:v>Derived checked calendar</x:v>
      </x:c>
      <x:c r="C18" s="52" t="n">
        <x:v>140750000</x:v>
      </x:c>
      <x:c r="D18" s="14"/>
      <x:c r="E18" s="37" t="d">
        <x:v>2027-03-31T00:00:00.000Z</x:v>
      </x:c>
      <x:c r="F18" s="14" t="str">
        <x:v>10-K / 10-Q</x:v>
      </x:c>
      <x:c r="G18" s="14"/>
      <x:c r="H18" s="14" t="str">
        <x:v>0001193125-26-277521</x:v>
      </x:c>
      <x:c r="I18" s="14" t="str">
        <x:v>https://www.sec.gov/Archives/edgar/data/1341439/000119312526277521/orcl-20260531.htm</x:v>
      </x:c>
      <x:c r="J18" s="14" t="str">
        <x:v>Calendar date; contractual amortization where applicable</x:v>
      </x:c>
      <x:c r="K18" s="14"/>
      <x:c r="L18" s="51" t="str">
        <x:v>Principal only; no commercial paper or interest. Loan extension/prepayment may change dates. See checked calendar.</x:v>
      </x:c>
    </x:row>
    <x:row r="19" ht="40" customHeight="1">
      <x:c r="A19" s="12" t="str">
        <x:v>$2,250M, 2.80%, due April 2027</x:v>
      </x:c>
      <x:c r="B19" s="14" t="str">
        <x:v>Derived checked calendar</x:v>
      </x:c>
      <x:c r="C19" s="52" t="n">
        <x:v>2250000000</x:v>
      </x:c>
      <x:c r="D19" s="14"/>
      <x:c r="E19" s="37" t="d">
        <x:v>2027-04-01T00:00:00.000Z</x:v>
      </x:c>
      <x:c r="F19" s="14" t="str">
        <x:v>10-K / 10-Q</x:v>
      </x:c>
      <x:c r="G19" s="14"/>
      <x:c r="H19" s="14" t="str">
        <x:v>0001193125-26-277521</x:v>
      </x:c>
      <x:c r="I19" s="14" t="str">
        <x:v>https://www.sec.gov/Archives/edgar/data/1341439/000119312526277521/orcl-20260531.htm</x:v>
      </x:c>
      <x:c r="J19" s="14" t="str">
        <x:v>Calendar date; contractual amortization where applicable</x:v>
      </x:c>
      <x:c r="K19" s="14"/>
      <x:c r="L19" s="51" t="str">
        <x:v>Principal only; no commercial paper or interest. Loan extension/prepayment may change dates. See checked calendar.</x:v>
      </x:c>
    </x:row>
    <x:row r="20" ht="40" customHeight="1">
      <x:c r="A20" s="12" t="str">
        <x:v>Term loan, scheduled installment (2.50% of the amount borrowed)</x:v>
      </x:c>
      <x:c r="B20" s="14" t="str">
        <x:v>Derived checked calendar</x:v>
      </x:c>
      <x:c r="C20" s="52" t="n">
        <x:v>140750000</x:v>
      </x:c>
      <x:c r="D20" s="14"/>
      <x:c r="E20" s="37" t="d">
        <x:v>2027-06-30T00:00:00.000Z</x:v>
      </x:c>
      <x:c r="F20" s="14" t="str">
        <x:v>10-K / 10-Q</x:v>
      </x:c>
      <x:c r="G20" s="14"/>
      <x:c r="H20" s="14" t="str">
        <x:v>0001193125-26-277521</x:v>
      </x:c>
      <x:c r="I20" s="14" t="str">
        <x:v>https://www.sec.gov/Archives/edgar/data/1341439/000119312526277521/orcl-20260531.htm</x:v>
      </x:c>
      <x:c r="J20" s="14" t="str">
        <x:v>Calendar date; contractual amortization where applicable</x:v>
      </x:c>
      <x:c r="K20" s="14"/>
      <x:c r="L20" s="51" t="str">
        <x:v>Principal only; no commercial paper or interest. Loan extension/prepayment may change dates. See checked calendar.</x:v>
      </x:c>
    </x:row>
    <x:row r="21" ht="40" customHeight="1">
      <x:c r="A21" s="12" t="str">
        <x:v>Term loan, remaining principal</x:v>
      </x:c>
      <x:c r="B21" s="14" t="str">
        <x:v>Derived checked calendar</x:v>
      </x:c>
      <x:c r="C21" s="52" t="n">
        <x:v>4504000000</x:v>
      </x:c>
      <x:c r="D21" s="14"/>
      <x:c r="E21" s="37" t="d">
        <x:v>2027-08-16T00:00:00.000Z</x:v>
      </x:c>
      <x:c r="F21" s="14" t="str">
        <x:v>10-K / 10-Q</x:v>
      </x:c>
      <x:c r="G21" s="14"/>
      <x:c r="H21" s="14" t="str">
        <x:v>0001193125-26-277521</x:v>
      </x:c>
      <x:c r="I21" s="14" t="str">
        <x:v>https://www.sec.gov/Archives/edgar/data/1341439/000119312526277521/orcl-20260531.htm</x:v>
      </x:c>
      <x:c r="J21" s="14" t="str">
        <x:v>Calendar date; contractual amortization where applicable</x:v>
      </x:c>
      <x:c r="K21" s="14"/>
      <x:c r="L21" s="51" t="str">
        <x:v>Principal only; no commercial paper or interest. Loan extension/prepayment may change dates. See checked calendar.</x:v>
      </x:c>
    </x:row>
    <x:row r="22" ht="40" customHeight="1">
      <x:c r="A22" s="12" t="str">
        <x:v>Revolver commitment</x:v>
      </x:c>
      <x:c r="B22" s="14" t="str">
        <x:v>Reported contract; usability assumed</x:v>
      </x:c>
      <x:c r="C22" s="52" t="n">
        <x:v>10000000000</x:v>
      </x:c>
      <x:c r="D22" s="14"/>
      <x:c r="E22" s="37" t="d">
        <x:v>2026-03-06T00:00:00.000Z</x:v>
      </x:c>
      <x:c r="F22" s="14" t="str">
        <x:v>10-Q Ex. 10.17</x:v>
      </x:c>
      <x:c r="G22" s="37" t="d">
        <x:v>2026-03-11T00:00:00.000Z</x:v>
      </x:c>
      <x:c r="H22" s="14" t="str">
        <x:v>0001193125-26-101045</x:v>
      </x:c>
      <x:c r="I22" s="14" t="str">
        <x:v>https://www.sec.gov/Archives/edgar/data/1341439/000119312526101045/orcl-ex10_17.htm</x:v>
      </x:c>
      <x:c r="J22" s="14"/>
      <x:c r="K22" s="14"/>
      <x:c r="L22" s="51" t="str">
        <x:v>Drawable capacity Unavailable. Only the scenario assumes a draw up to the commitment.</x:v>
      </x:c>
    </x:row>
    <x:row r="23" ht="40" customHeight="1">
      <x:c r="A23" s="12" t="str">
        <x:v>Capex financing net proceeds FY2025</x:v>
      </x:c>
      <x:c r="B23" s="14" t="str">
        <x:v>Reported historical flow</x:v>
      </x:c>
      <x:c r="C23" s="52" t="n">
        <x:v>1422000000</x:v>
      </x:c>
      <x:c r="D23" s="14"/>
      <x:c r="E23" s="37" t="d">
        <x:v>2025-05-31T00:00:00.000Z</x:v>
      </x:c>
      <x:c r="F23" s="14" t="str">
        <x:v>10-K</x:v>
      </x:c>
      <x:c r="G23" s="37" t="d">
        <x:v>2026-06-22T00:00:00.000Z</x:v>
      </x:c>
      <x:c r="H23" s="14" t="str">
        <x:v>0001193125-26-277521</x:v>
      </x:c>
      <x:c r="I23" s="14" t="str">
        <x:v>https://www.sec.gov/Archives/edgar/data/1341439/000119312526277521/orcl-20260531.htm</x:v>
      </x:c>
      <x:c r="J23" s="14"/>
      <x:c r="K23" s="14"/>
      <x:c r="L23" s="51" t="str">
        <x:v>Cash-flow statement p. 68. Historical net proceeds are not an outstanding balance or payment due.</x:v>
      </x:c>
    </x:row>
    <x:row r="24" ht="40" customHeight="1">
      <x:c r="A24" s="17" t="str">
        <x:v>Capex financing net proceeds FY2026</x:v>
      </x:c>
      <x:c r="B24" s="19" t="str">
        <x:v>Reported historical flow</x:v>
      </x:c>
      <x:c r="C24" s="58" t="n">
        <x:v>3345000000</x:v>
      </x:c>
      <x:c r="D24" s="19"/>
      <x:c r="E24" s="38" t="d">
        <x:v>2026-05-31T00:00:00.000Z</x:v>
      </x:c>
      <x:c r="F24" s="19" t="str">
        <x:v>10-K</x:v>
      </x:c>
      <x:c r="G24" s="38" t="d">
        <x:v>2026-06-22T00:00:00.000Z</x:v>
      </x:c>
      <x:c r="H24" s="19" t="str">
        <x:v>0001193125-26-277521</x:v>
      </x:c>
      <x:c r="I24" s="19" t="str">
        <x:v>https://www.sec.gov/Archives/edgar/data/1341439/000119312526277521/orcl-20260531.htm</x:v>
      </x:c>
      <x:c r="J24" s="19"/>
      <x:c r="K24" s="19"/>
      <x:c r="L24" s="54" t="str">
        <x:v>Cash-flow statement p. 68. Historical net proceeds are not an outstanding balance or payment due.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20" hidden="0" customWidth="1"/>
  </x:cols>
  <x:sheetData>
    <x:row r="1" ht="32" customHeight="1">
      <x:c r="A1" s="31" t="str">
        <x:v>Item</x:v>
      </x:c>
      <x:c r="B1" s="33" t="str">
        <x:v>Description</x:v>
      </x:c>
    </x:row>
    <x:row r="2" ht="32" customHeight="1">
      <x:c r="A2" s="12" t="str">
        <x:v>Record</x:v>
      </x:c>
      <x:c r="B2" s="51" t="str">
        <x:v>Oracle illustrative stress scenario, September 1, 2026–August 31, 2027. Not investment advice.</x:v>
      </x:c>
    </x:row>
    <x:row r="3" ht="40" customHeight="1">
      <x:c r="A3" s="12" t="str">
        <x:v>Meaning</x:v>
      </x:c>
      <x:c r="B3" s="51" t="str">
        <x:v>Illustrative scenario from stated assumptions, not a forecast or funding conclusion. Future funding coverage remains Unavailable.</x:v>
      </x:c>
    </x:row>
    <x:row r="4" ht="40" customHeight="1">
      <x:c r="A4" s="12" t="str">
        <x:v>Reproduction</x:v>
      </x:c>
      <x:c r="B4" s="51" t="str">
        <x:v>Seed 2026; 10,000 trials. Change assumptions in the app and download again. Editing this workbook does not rerun Monte Carlo; outputs are saved simulation results.</x:v>
      </x:c>
    </x:row>
    <x:row r="5" ht="40" customHeight="1">
      <x:c r="A5" s="12" t="str">
        <x:v>Units</x:v>
      </x:c>
      <x:c r="B5" s="51" t="str">
        <x:v>Amounts are stored in whole USD and displayed in millions; shares are fractions formatted as percentages. Dates are real dates.</x:v>
      </x:c>
    </x:row>
    <x:row r="6" ht="40" customHeight="1">
      <x:c r="A6" s="12" t="str">
        <x:v>Colors</x:v>
      </x:c>
      <x:c r="B6" s="51" t="str">
        <x:v>Blue numeric text: recorded inputs. Green: links to another sheet. Black: formulas or saved simulation outputs. No cells are editable model controls.</x:v>
      </x:c>
    </x:row>
    <x:row r="7" ht="40" customHeight="1">
      <x:c r="A7" s="12" t="str">
        <x:v>Fact versus assumption</x:v>
      </x:c>
      <x:c r="B7" s="51" t="str">
        <x:v>Data records reported facts and derived evidence separately. Scenario records the chosen distributions. Capex/dividends are decisions; revolver usability is hypothetical.</x:v>
      </x:c>
    </x:row>
    <x:row r="8" ht="82" customHeight="1">
      <x:c r="A8" s="12" t="str">
        <x:v>Timing</x:v>
      </x:c>
      <x:c r="B8" s="51" t="str">
        <x:v>Cash is tested at each month end, September 2026 to August 2027, as well as on August 31, 2027. Dated note and term-loan principal falls in the month the principal calendar dates it; the other flows are spread evenly by month, an assumption. The model does not test cash on each payment date within a month (a maturity on April 1 is netted against all of April's assumed cash flow), and it does not model OCF seasonality or the timing of capex and dividends within the year. Evenly spread flows do not establish liquidity on actual payment dates.</x:v>
      </x:c>
    </x:row>
    <x:row r="9" ht="68" customHeight="1">
      <x:c r="A9" s="12" t="str">
        <x:v>Monthly allocation</x:v>
      </x:c>
      <x:c r="B9" s="51" t="str">
        <x:v>Assumed timing: OCF, prepayments, capex, dividends and any added use are spread evenly, one twelfth per month; the filings give no timing within the year. Commercial paper outstanding at August 31 is assumed repaid in September 2026 (its maturity dates are not disclosed). Where the revolver is assumed usable, a draw fills a month-end gap and is repaid as cash recovers. Evenly spread monthly flows do not establish liquidity on actual payment dates.</x:v>
      </x:c>
    </x:row>
    <x:row r="10" ht="68" customHeight="1">
      <x:c r="A10" s="12" t="str">
        <x:v>Sensitivity</x:v>
      </x:c>
      <x:c r="B10" s="51" t="str">
        <x:v>These are sensitivity amounts, not established balances or payments due in the window. Each is subtracted once over the twelve months (spread evenly by month in the month-end path); none is in the base result. They may overlap each other and the modelled lines (purchase obligations with capex, finance-lease interest with OCF), so the combined row can count the same cash twice, and June–August 2027 lease and purchase payments are missing.</x:v>
      </x:c>
    </x:row>
    <x:row r="11" ht="40" customHeight="1">
      <x:c r="A11" s="12" t="str">
        <x:v>Shares</x:v>
      </x:c>
      <x:c r="B11" s="51" t="str">
        <x:v>Shares of trials below zero describe simulated trials under stated assumptions, not probabilities of default or of a funding gap.</x:v>
      </x:c>
    </x:row>
    <x:row r="12" ht="40" customHeight="1">
      <x:c r="A12" s="12" t="str">
        <x:v>Percentiles</x:v>
      </x:c>
      <x:c r="B12" s="51" t="str">
        <x:v>Monthly percentiles summarize trials at each month end; they are not individual cash paths or confidence intervals for Oracle.</x:v>
      </x:c>
    </x:row>
    <x:row r="13" ht="54" customHeight="1">
      <x:c r="A13" s="12" t="str">
        <x:v>Sheets</x:v>
      </x:c>
      <x:c r="B13" s="51" t="str">
        <x:v>Results: four decisions. Monthly path: timing summary. Monthly path by month: monthly results. Correlation and Outside-use effects: sensitivities. Scenario: chosen inputs. Uses not modelled: omissions. Data: evidence. About: method and limits.</x:v>
      </x:c>
    </x:row>
    <x:row r="14" ht="32" customHeight="1">
      <x:c r="A14" s="17" t="str">
        <x:v>Method</x:v>
      </x:c>
      <x:c r="B14" s="54" t="str">
        <x:v>https://github.com/jackconnolly1000-ux/sec-filing-research-terminal/blob/main/docs/liquidity_simulation.md</x:v>
      </x:c>
    </x:row>
  </x:sheetData>
  <x:pageMargins left="0.7" right="0.7" top="0.75" bottom="0.75" header="0.3" footer="0.3"/>
</x:worksheet>
</file>